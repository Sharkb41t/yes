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Universe" sheetId="3" state="visible" r:id="rId5"/>
    <sheet name="Buyback_Tracker" sheetId="4" state="visible" r:id="rId6"/>
    <sheet name="Dividend_Tracker" sheetId="5" state="visible" r:id="rId7"/>
    <sheet name="Splits_Rights_Tracker" sheetId="6" state="visible" r:id="rId8"/>
    <sheet name="MA_Board_Track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6" authorId="0">
      <text>
        <r>
          <rPr>
            <sz val="10"/>
            <rFont val="Arial"/>
            <family val="2"/>
          </rPr>
          <t xml:space="preserve">This column pulls any manually-logged M&amp;A/board-change flag from the MA_Board_Tracker tab for the matching ticker (that tab is manual-entry, not a live Bloomberg formula — see its notes).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VERIFY: 'FSTAS Index' is the Bloomberg ticker for the FTSE ST All-Share Index as of my last check — confirm it still resolves in Bloomberg before relying on this list, and replace with your EQS export for full exchange coverage.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VERIFY: BDH pulling a single historical point via start date = end date = lookback date. Confirm EQY_SH_OUT is populated historically for your names (some smaller caps report less frequently, which BDH will show as the last available print).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VERIFY these mnemonics in FLDS&lt;GO&gt;: DVD_DECLARED_DT, DVD_EX_DT, DVD_SH_LAST, DVD_TYPE. These are commonly used dividend fields but Bloomberg has several variants (e.g. DVD_HIST_ALL for a full historical table) — pick whichever your terminal resolves correctly.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VERIFY: Bloomberg does not expose one universal 'next corporate action' field the way it does for dividends. Candidates to test in FLDS&lt;GO&gt;: CAPITAL_CHANGE_ANNOUNCEMENT_DT, EQY_SPLIT_DT / EQY_SPLIT_RATIO for splits, RIGHTS_ISSUE fields for rights issues. If none resolve cleanly, the most reliable route is Bloomberg's CACS&lt;GO&gt; corporate actions calendar screen, monitored manually and logged on this tab — I've left columns D/E free-text for that purpose.</t>
        </r>
      </text>
    </comment>
  </commentList>
</comments>
</file>

<file path=xl/sharedStrings.xml><?xml version="1.0" encoding="utf-8"?>
<sst xmlns="http://schemas.openxmlformats.org/spreadsheetml/2006/main" count="106" uniqueCount="86">
  <si>
    <t xml:space="preserve">SGX Equity Sales — Corporate Actions Dashboard</t>
  </si>
  <si>
    <t xml:space="preserve">Change the lookback window and thresholds on the Settings tab — everything below updates from there.</t>
  </si>
  <si>
    <t xml:space="preserve">Ticker</t>
  </si>
  <si>
    <t xml:space="preserve">Name</t>
  </si>
  <si>
    <t xml:space="preserve">Buyback Flag</t>
  </si>
  <si>
    <t xml:space="preserve">Volume Flag</t>
  </si>
  <si>
    <t xml:space="preserve">Dividend Flag</t>
  </si>
  <si>
    <t xml:space="preserve">Split/Rights Flag</t>
  </si>
  <si>
    <t xml:space="preserve">M&amp;A/Board Flag</t>
  </si>
  <si>
    <t xml:space="preserve">Total Flags</t>
  </si>
  <si>
    <t xml:space="preserve">Status</t>
  </si>
  <si>
    <t xml:space="preserve">SGX Corporate Actions Tracker — Settings</t>
  </si>
  <si>
    <t xml:space="preserve">Adjustable inputs (blue/yellow) drive every flag on every tab. Change here, not on the tracker tabs.</t>
  </si>
  <si>
    <t xml:space="preserve">Setting</t>
  </si>
  <si>
    <t xml:space="preserve">Value</t>
  </si>
  <si>
    <t xml:space="preserve">Notes</t>
  </si>
  <si>
    <t xml:space="preserve">Lookback window (weeks)</t>
  </si>
  <si>
    <t xml:space="preserve">Number of weeks counted as 'recent'. All tracker tabs reference this.</t>
  </si>
  <si>
    <t xml:space="preserve">Lookback start date</t>
  </si>
  <si>
    <t xml:space="preserve">Calculated — do not edit.</t>
  </si>
  <si>
    <t xml:space="preserve">Buyback flag threshold (% shares out decline)</t>
  </si>
  <si>
    <t xml:space="preserve">Flags a ticker if shares outstanding fell by at least this % over the lookback window. Stored as a fraction, e.g. -0.005 = -0.5%. Chosen as a starting point — tighten/loosen based on what noise level you see.</t>
  </si>
  <si>
    <t xml:space="preserve">Volume spike multiple (x 30D avg)</t>
  </si>
  <si>
    <t xml:space="preserve">Flags a ticker if today's volume is at least this multiple of its 30-day average volume — a secondary, market-based corroboration of buyback activity.</t>
  </si>
  <si>
    <t xml:space="preserve">Dividend flag rule</t>
  </si>
  <si>
    <t xml:space="preserve">New declaration OR special-type dividend within lookback window</t>
  </si>
  <si>
    <t xml:space="preserve">Any declaration in the window is flagged since dividend events are comparatively rare and binary.</t>
  </si>
  <si>
    <t xml:space="preserve">Split/Rights flag rule</t>
  </si>
  <si>
    <t xml:space="preserve">Any occurrence within lookback window</t>
  </si>
  <si>
    <t xml:space="preserve">Binary flag — these are rare corporate events.</t>
  </si>
  <si>
    <t xml:space="preserve">Legend</t>
  </si>
  <si>
    <t xml:space="preserve">Yellow fill / blue text</t>
  </si>
  <si>
    <t xml:space="preserve">Input cell — safe to edit</t>
  </si>
  <si>
    <t xml:space="preserve">Black text</t>
  </si>
  <si>
    <t xml:space="preserve">Formula — do not overwrite</t>
  </si>
  <si>
    <t xml:space="preserve">Green text</t>
  </si>
  <si>
    <t xml:space="preserve">Link pulling from another tab</t>
  </si>
  <si>
    <t xml:space="preserve">Orange fill</t>
  </si>
  <si>
    <t xml:space="preserve">Bloomberg field to VERIFY in FLDS&lt;GO&gt; before relying on it — Bloomberg periodically renames/retires fields, and I could not test these live</t>
  </si>
  <si>
    <t xml:space="preserve">Red fill on a Flag cell</t>
  </si>
  <si>
    <t xml:space="preserve">Significant activity detected in the lookback window</t>
  </si>
  <si>
    <t xml:space="preserve">How this workbook refreshes</t>
  </si>
  <si>
    <t xml:space="preserve">All BDP/BDH/BDS formulas are live Bloomberg Excel Add-in functions. With a Bloomberg Terminal running and logged in, this file recalculates in real time. Force a full refresh anytime with Ctrl+Alt+F9. Opened without a live Terminal session, these cells will show blank or an error value instead of data.</t>
  </si>
  <si>
    <t xml:space="preserve">Universe — SGX-Listed Stocks</t>
  </si>
  <si>
    <t xml:space="preserve">Bloomberg's BDP/BDS/BDH functions query one ticker at a time — there is no single formula that dynamically screens 'every SGX-listed name.' Two ways to populate column A below:</t>
  </si>
  <si>
    <t xml:space="preserve">1) Best coverage: in Bloomberg Terminal run EQS&lt;GO&gt; → new screen → Exchange = Singapore Exchange, Primary Listing = Yes → export tickers → paste into column A from row 8 down.</t>
  </si>
  <si>
    <t xml:space="preserve">2) Quick start (built into row 8 below): pulls the ~200 most liquid/relevant names via the FTSE ST All-Share Index membership list, which covers the names an equity sales desk actually trades. Thinly-traded shells outside this index rarely matter for flow coverage, but re-run option 1 periodically if you need true full-exchange coverage.</t>
  </si>
  <si>
    <t xml:space="preserve">Ticker (Bloomberg)</t>
  </si>
  <si>
    <t xml:space="preserve">Company Name</t>
  </si>
  <si>
    <t xml:space="preserve">GICS Sector</t>
  </si>
  <si>
    <t xml:space="preserve">Primary Exchange</t>
  </si>
  <si>
    <t xml:space="preserve">Include in Trackers? (Y/N)</t>
  </si>
  <si>
    <t xml:space="preserve">— Example rows below (delete once you paste your real universe) —</t>
  </si>
  <si>
    <t xml:space="preserve">D05 SP Equity</t>
  </si>
  <si>
    <t xml:space="preserve">Y</t>
  </si>
  <si>
    <t xml:space="preserve">O39 SP Equity</t>
  </si>
  <si>
    <t xml:space="preserve">U11 SP Equity</t>
  </si>
  <si>
    <t xml:space="preserve">Z74 SP Equity</t>
  </si>
  <si>
    <t xml:space="preserve">BN4 SP Equity</t>
  </si>
  <si>
    <t xml:space="preserve">C38U SP Equity</t>
  </si>
  <si>
    <t xml:space="preserve">Share Buyback Tracker</t>
  </si>
  <si>
    <t xml:space="preserve">Primary signal: change in shares outstanding over the lookback window (a buyback mechanically reduces EQY_SH_OUT). Secondary corroboration: today's volume vs 30-day average, since buyback execution often shows up as elevated volume.</t>
  </si>
  <si>
    <t xml:space="preserve">Shares Out — Today</t>
  </si>
  <si>
    <t xml:space="preserve">Shares Out — {Lookback} Wks Ago</t>
  </si>
  <si>
    <t xml:space="preserve">% Change</t>
  </si>
  <si>
    <t xml:space="preserve">Avg Vol (30D)</t>
  </si>
  <si>
    <t xml:space="preserve">Volume — Today</t>
  </si>
  <si>
    <t xml:space="preserve">Vol vs Avg (x)</t>
  </si>
  <si>
    <t xml:space="preserve">Dividend &amp; Distribution Tracker</t>
  </si>
  <si>
    <t xml:space="preserve">Flags any dividend/distribution declared within the lookback window, and separately flags special dividends (which sales desks usually want surfaced regardless of window).</t>
  </si>
  <si>
    <t xml:space="preserve">Declared Date</t>
  </si>
  <si>
    <t xml:space="preserve">Ex-Date</t>
  </si>
  <si>
    <t xml:space="preserve">Div/Unit (Local Ccy)</t>
  </si>
  <si>
    <t xml:space="preserve">Dividend Type</t>
  </si>
  <si>
    <t xml:space="preserve">In Lookback Window?</t>
  </si>
  <si>
    <t xml:space="preserve">Flag</t>
  </si>
  <si>
    <t xml:space="preserve">Splits, Bonus Issues &amp; Rights Issues Tracker</t>
  </si>
  <si>
    <t xml:space="preserve">These are rare, discrete events — any occurrence inside the lookback window is flagged. Fields here are lower-confidence mnemonics; verify all of them in FLDS&lt;GO&gt; before trusting this tab.</t>
  </si>
  <si>
    <t xml:space="preserve">Latest Corp. Action Date</t>
  </si>
  <si>
    <t xml:space="preserve">Action Type</t>
  </si>
  <si>
    <t xml:space="preserve">Ratio / Terms</t>
  </si>
  <si>
    <t xml:space="preserve">M&amp;A, Delisting &amp; Board Changes — Manual Log</t>
  </si>
  <si>
    <t xml:space="preserve">No single Bloomberg formula reliably screens for M&amp;A announcements, delistings or board changes across a universe the way BDP/BDH do for prices or dividends — these are best monitored via Bloomberg's MA&lt;GO&gt; (M&amp;A) and NI SGMA &lt;GO&gt; (Singapore M&amp;A news) screens, or a company news monitor. Log entries here as they're spotted; the Date column drives the flag and the Dashboard rollup so the rest of the workbook still treats this tab consistently.</t>
  </si>
  <si>
    <t xml:space="preserve">Event Type</t>
  </si>
  <si>
    <t xml:space="preserve">Date</t>
  </si>
  <si>
    <t xml:space="preserve">Source / Link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</si>
</sst>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mm/dd/yy"/>
    <numFmt numFmtId="167" formatCode="0.0%"/>
    <numFmt numFmtId="168" formatCode="0.00%"/>
    <numFmt numFmtId="169" formatCode="0.00\x"/>
    <numFmt numFmtId="170" formatCode="dd\-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C7CE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tr">
        <f aca="false">" Lookback window: " &amp; Settings!$B$4 &amp; " weeks   |   Since " &amp; TEXT(Settings!$B$5,"DD-MMM-YYYY")</f>
        <v> Lookback window: 4 weeks   |   Since 10-Aug-2026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customFormat="false" ht="15" hidden="false" customHeight="false" outlineLevel="0" collapsed="false">
      <c r="A7" s="4" t="str">
        <f aca="false">Universe!A12</f>
        <v>D05 SP Equity</v>
      </c>
      <c r="B7" s="4" t="str">
        <f aca="false">Universe!B12</f>
        <v/>
      </c>
      <c r="C7" s="4" t="str">
        <f aca="false">Buyback_Tracker!F5</f>
        <v/>
      </c>
      <c r="D7" s="4" t="str">
        <f aca="false">Buyback_Tracker!J5</f>
        <v/>
      </c>
      <c r="E7" s="4" t="str">
        <f aca="false">Dividend_Tracker!H5</f>
        <v/>
      </c>
      <c r="F7" s="4" t="str">
        <f aca="false">Splits_Rights_Tracker!G5</f>
        <v/>
      </c>
      <c r="G7" s="4" t="str">
        <f aca="false">_xlfn.TEXTJOIN(", ",TRUE(),IF(MA_Board_Tracker!$A$7:$A$16=A7,MA_Board_Tracker!$H$7:$H$16,""))</f>
        <v/>
      </c>
      <c r="H7" s="5" t="n">
        <f aca="false">SUMPRODUCT(--(C7&lt;&gt;""))+SUMPRODUCT(--(D7&lt;&gt;""))+SUMPRODUCT(--(E7&lt;&gt;""))+SUMPRODUCT(--(F7&lt;&gt;""))+SUMPRODUCT(--(G7&lt;&gt;""))</f>
        <v>0</v>
      </c>
      <c r="I7" s="6" t="str">
        <f aca="false">IF(H7&gt;=2,"🔴 REVIEW NOW",IF(H7=1,"🟡 WATCH","🟢 QUIET"))</f>
        <v>🟢 QUIET</v>
      </c>
    </row>
    <row r="8" customFormat="false" ht="15" hidden="false" customHeight="false" outlineLevel="0" collapsed="false">
      <c r="A8" s="4" t="str">
        <f aca="false">Universe!A13</f>
        <v>O39 SP Equity</v>
      </c>
      <c r="B8" s="4" t="str">
        <f aca="false">Universe!B13</f>
        <v/>
      </c>
      <c r="C8" s="4" t="str">
        <f aca="false">Buyback_Tracker!F6</f>
        <v/>
      </c>
      <c r="D8" s="4" t="str">
        <f aca="false">Buyback_Tracker!J6</f>
        <v/>
      </c>
      <c r="E8" s="4" t="str">
        <f aca="false">Dividend_Tracker!H6</f>
        <v/>
      </c>
      <c r="F8" s="4" t="str">
        <f aca="false">Splits_Rights_Tracker!G6</f>
        <v/>
      </c>
      <c r="G8" s="4" t="str">
        <f aca="false">_xlfn.TEXTJOIN(", ",TRUE(),IF(MA_Board_Tracker!$A$7:$A$16=A8,MA_Board_Tracker!$H$7:$H$16,""))</f>
        <v/>
      </c>
      <c r="H8" s="5" t="n">
        <f aca="false">SUMPRODUCT(--(C8&lt;&gt;""))+SUMPRODUCT(--(D8&lt;&gt;""))+SUMPRODUCT(--(E8&lt;&gt;""))+SUMPRODUCT(--(F8&lt;&gt;""))+SUMPRODUCT(--(G8&lt;&gt;""))</f>
        <v>0</v>
      </c>
      <c r="I8" s="6" t="str">
        <f aca="false">IF(H8&gt;=2,"🔴 REVIEW NOW",IF(H8=1,"🟡 WATCH","🟢 QUIET"))</f>
        <v>🟢 QUIET</v>
      </c>
    </row>
    <row r="9" customFormat="false" ht="15" hidden="false" customHeight="false" outlineLevel="0" collapsed="false">
      <c r="A9" s="4" t="str">
        <f aca="false">Universe!A14</f>
        <v>U11 SP Equity</v>
      </c>
      <c r="B9" s="4" t="str">
        <f aca="false">Universe!B14</f>
        <v/>
      </c>
      <c r="C9" s="4" t="str">
        <f aca="false">Buyback_Tracker!F7</f>
        <v/>
      </c>
      <c r="D9" s="4" t="str">
        <f aca="false">Buyback_Tracker!J7</f>
        <v/>
      </c>
      <c r="E9" s="4" t="str">
        <f aca="false">Dividend_Tracker!H7</f>
        <v/>
      </c>
      <c r="F9" s="4" t="str">
        <f aca="false">Splits_Rights_Tracker!G7</f>
        <v/>
      </c>
      <c r="G9" s="4" t="str">
        <f aca="false">_xlfn.TEXTJOIN(", ",TRUE(),IF(MA_Board_Tracker!$A$7:$A$16=A9,MA_Board_Tracker!$H$7:$H$16,""))</f>
        <v/>
      </c>
      <c r="H9" s="5" t="n">
        <f aca="false">SUMPRODUCT(--(C9&lt;&gt;""))+SUMPRODUCT(--(D9&lt;&gt;""))+SUMPRODUCT(--(E9&lt;&gt;""))+SUMPRODUCT(--(F9&lt;&gt;""))+SUMPRODUCT(--(G9&lt;&gt;""))</f>
        <v>0</v>
      </c>
      <c r="I9" s="6" t="str">
        <f aca="false">IF(H9&gt;=2,"🔴 REVIEW NOW",IF(H9=1,"🟡 WATCH","🟢 QUIET"))</f>
        <v>🟢 QUIET</v>
      </c>
    </row>
    <row r="10" customFormat="false" ht="15" hidden="false" customHeight="false" outlineLevel="0" collapsed="false">
      <c r="A10" s="4" t="str">
        <f aca="false">Universe!A15</f>
        <v>Z74 SP Equity</v>
      </c>
      <c r="B10" s="4" t="str">
        <f aca="false">Universe!B15</f>
        <v/>
      </c>
      <c r="C10" s="4" t="str">
        <f aca="false">Buyback_Tracker!F8</f>
        <v/>
      </c>
      <c r="D10" s="4" t="str">
        <f aca="false">Buyback_Tracker!J8</f>
        <v/>
      </c>
      <c r="E10" s="4" t="str">
        <f aca="false">Dividend_Tracker!H8</f>
        <v/>
      </c>
      <c r="F10" s="4" t="str">
        <f aca="false">Splits_Rights_Tracker!G8</f>
        <v/>
      </c>
      <c r="G10" s="4" t="str">
        <f aca="false">_xlfn.TEXTJOIN(", ",TRUE(),IF(MA_Board_Tracker!$A$7:$A$16=A10,MA_Board_Tracker!$H$7:$H$16,""))</f>
        <v/>
      </c>
      <c r="H10" s="5" t="n">
        <f aca="false">SUMPRODUCT(--(C10&lt;&gt;""))+SUMPRODUCT(--(D10&lt;&gt;""))+SUMPRODUCT(--(E10&lt;&gt;""))+SUMPRODUCT(--(F10&lt;&gt;""))+SUMPRODUCT(--(G10&lt;&gt;""))</f>
        <v>0</v>
      </c>
      <c r="I10" s="6" t="str">
        <f aca="false">IF(H10&gt;=2,"🔴 REVIEW NOW",IF(H10=1,"🟡 WATCH","🟢 QUIET"))</f>
        <v>🟢 QUIET</v>
      </c>
    </row>
    <row r="11" customFormat="false" ht="15" hidden="false" customHeight="false" outlineLevel="0" collapsed="false">
      <c r="A11" s="4" t="str">
        <f aca="false">Universe!A16</f>
        <v>BN4 SP Equity</v>
      </c>
      <c r="B11" s="4" t="str">
        <f aca="false">Universe!B16</f>
        <v/>
      </c>
      <c r="C11" s="4" t="str">
        <f aca="false">Buyback_Tracker!F9</f>
        <v/>
      </c>
      <c r="D11" s="4" t="str">
        <f aca="false">Buyback_Tracker!J9</f>
        <v/>
      </c>
      <c r="E11" s="4" t="str">
        <f aca="false">Dividend_Tracker!H9</f>
        <v/>
      </c>
      <c r="F11" s="4" t="str">
        <f aca="false">Splits_Rights_Tracker!G9</f>
        <v/>
      </c>
      <c r="G11" s="4" t="str">
        <f aca="false">_xlfn.TEXTJOIN(", ",TRUE(),IF(MA_Board_Tracker!$A$7:$A$16=A11,MA_Board_Tracker!$H$7:$H$16,""))</f>
        <v/>
      </c>
      <c r="H11" s="5" t="n">
        <f aca="false">SUMPRODUCT(--(C11&lt;&gt;""))+SUMPRODUCT(--(D11&lt;&gt;""))+SUMPRODUCT(--(E11&lt;&gt;""))+SUMPRODUCT(--(F11&lt;&gt;""))+SUMPRODUCT(--(G11&lt;&gt;""))</f>
        <v>0</v>
      </c>
      <c r="I11" s="6" t="str">
        <f aca="false">IF(H11&gt;=2,"🔴 REVIEW NOW",IF(H11=1,"🟡 WATCH","🟢 QUIET"))</f>
        <v>🟢 QUIET</v>
      </c>
    </row>
    <row r="12" customFormat="false" ht="15" hidden="false" customHeight="false" outlineLevel="0" collapsed="false">
      <c r="A12" s="4" t="str">
        <f aca="false">Universe!A17</f>
        <v>C38U SP Equity</v>
      </c>
      <c r="B12" s="4" t="str">
        <f aca="false">Universe!B17</f>
        <v/>
      </c>
      <c r="C12" s="4" t="str">
        <f aca="false">Buyback_Tracker!F10</f>
        <v/>
      </c>
      <c r="D12" s="4" t="str">
        <f aca="false">Buyback_Tracker!J10</f>
        <v/>
      </c>
      <c r="E12" s="4" t="str">
        <f aca="false">Dividend_Tracker!H10</f>
        <v/>
      </c>
      <c r="F12" s="4" t="str">
        <f aca="false">Splits_Rights_Tracker!G10</f>
        <v/>
      </c>
      <c r="G12" s="4" t="str">
        <f aca="false">_xlfn.TEXTJOIN(", ",TRUE(),IF(MA_Board_Tracker!$A$7:$A$16=A12,MA_Board_Tracker!$H$7:$H$16,""))</f>
        <v/>
      </c>
      <c r="H12" s="5" t="n">
        <f aca="false">SUMPRODUCT(--(C12&lt;&gt;""))+SUMPRODUCT(--(D12&lt;&gt;""))+SUMPRODUCT(--(E12&lt;&gt;""))+SUMPRODUCT(--(F12&lt;&gt;""))+SUMPRODUCT(--(G12&lt;&gt;""))</f>
        <v>0</v>
      </c>
      <c r="I12" s="6" t="str">
        <f aca="false">IF(H12&gt;=2,"🔴 REVIEW NOW",IF(H12=1,"🟡 WATCH","🟢 QUIET"))</f>
        <v>🟢 QUIET</v>
      </c>
    </row>
  </sheetData>
  <mergeCells count="3">
    <mergeCell ref="A1:F1"/>
    <mergeCell ref="A2:F2"/>
    <mergeCell ref="A4:J4"/>
  </mergeCells>
  <conditionalFormatting sqref="H7:H12">
    <cfRule type="cellIs" priority="2" operator="greaterThanOrEqual" aboveAverage="0" equalAverage="0" bottom="0" percent="0" rank="0" text="" dxfId="0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7" t="s">
        <v>11</v>
      </c>
    </row>
    <row r="2" customFormat="false" ht="15" hidden="false" customHeight="false" outlineLevel="0" collapsed="false">
      <c r="A2" s="8" t="s">
        <v>12</v>
      </c>
    </row>
    <row r="3" customFormat="false" ht="15" hidden="false" customHeight="false" outlineLevel="0" collapsed="false">
      <c r="A3" s="9" t="s">
        <v>13</v>
      </c>
      <c r="B3" s="9" t="s">
        <v>14</v>
      </c>
      <c r="C3" s="9" t="s">
        <v>15</v>
      </c>
    </row>
    <row r="4" customFormat="false" ht="15" hidden="false" customHeight="false" outlineLevel="0" collapsed="false">
      <c r="A4" s="10" t="s">
        <v>16</v>
      </c>
      <c r="B4" s="11" t="n">
        <v>4</v>
      </c>
      <c r="C4" s="12" t="s">
        <v>17</v>
      </c>
    </row>
    <row r="5" customFormat="false" ht="15" hidden="false" customHeight="false" outlineLevel="0" collapsed="false">
      <c r="A5" s="10" t="s">
        <v>18</v>
      </c>
      <c r="B5" s="13" t="n">
        <f aca="true">TODAY()-(B4*7)</f>
        <v>46244</v>
      </c>
      <c r="C5" s="12" t="s">
        <v>19</v>
      </c>
    </row>
    <row r="6" customFormat="false" ht="35.05" hidden="false" customHeight="false" outlineLevel="0" collapsed="false">
      <c r="A6" s="10" t="s">
        <v>20</v>
      </c>
      <c r="B6" s="14" t="n">
        <v>-0.005</v>
      </c>
      <c r="C6" s="12" t="s">
        <v>21</v>
      </c>
    </row>
    <row r="7" customFormat="false" ht="23.85" hidden="false" customHeight="false" outlineLevel="0" collapsed="false">
      <c r="A7" s="10" t="s">
        <v>22</v>
      </c>
      <c r="B7" s="11" t="n">
        <v>2</v>
      </c>
      <c r="C7" s="12" t="s">
        <v>23</v>
      </c>
    </row>
    <row r="8" customFormat="false" ht="23.85" hidden="false" customHeight="false" outlineLevel="0" collapsed="false">
      <c r="A8" s="10" t="s">
        <v>24</v>
      </c>
      <c r="B8" s="11" t="s">
        <v>25</v>
      </c>
      <c r="C8" s="12" t="s">
        <v>26</v>
      </c>
    </row>
    <row r="9" customFormat="false" ht="15" hidden="false" customHeight="false" outlineLevel="0" collapsed="false">
      <c r="A9" s="10" t="s">
        <v>27</v>
      </c>
      <c r="B9" s="11" t="s">
        <v>28</v>
      </c>
      <c r="C9" s="12" t="s">
        <v>29</v>
      </c>
    </row>
    <row r="11" customFormat="false" ht="15" hidden="false" customHeight="false" outlineLevel="0" collapsed="false">
      <c r="A11" s="9" t="s">
        <v>30</v>
      </c>
    </row>
    <row r="12" customFormat="false" ht="15" hidden="false" customHeight="false" outlineLevel="0" collapsed="false">
      <c r="A12" s="15" t="s">
        <v>31</v>
      </c>
      <c r="B12" s="10" t="s">
        <v>32</v>
      </c>
    </row>
    <row r="13" customFormat="false" ht="15" hidden="false" customHeight="false" outlineLevel="0" collapsed="false">
      <c r="A13" s="10" t="s">
        <v>33</v>
      </c>
      <c r="B13" s="10" t="s">
        <v>34</v>
      </c>
    </row>
    <row r="14" customFormat="false" ht="15" hidden="false" customHeight="false" outlineLevel="0" collapsed="false">
      <c r="A14" s="10" t="s">
        <v>35</v>
      </c>
      <c r="B14" s="10" t="s">
        <v>36</v>
      </c>
    </row>
    <row r="15" customFormat="false" ht="15" hidden="false" customHeight="false" outlineLevel="0" collapsed="false">
      <c r="A15" s="16" t="s">
        <v>37</v>
      </c>
      <c r="B15" s="10" t="s">
        <v>38</v>
      </c>
    </row>
    <row r="16" customFormat="false" ht="15" hidden="false" customHeight="false" outlineLevel="0" collapsed="false">
      <c r="A16" s="17" t="s">
        <v>39</v>
      </c>
      <c r="B16" s="10" t="s">
        <v>40</v>
      </c>
    </row>
    <row r="19" customFormat="false" ht="15" hidden="false" customHeight="false" outlineLevel="0" collapsed="false">
      <c r="A19" s="9" t="s">
        <v>41</v>
      </c>
    </row>
    <row r="20" customFormat="false" ht="15" hidden="false" customHeight="true" outlineLevel="0" collapsed="false">
      <c r="A20" s="18" t="s">
        <v>42</v>
      </c>
      <c r="B20" s="18"/>
      <c r="C20" s="18"/>
      <c r="D20" s="18"/>
      <c r="E20" s="18"/>
      <c r="F20" s="18"/>
      <c r="G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</row>
  </sheetData>
  <mergeCells count="1">
    <mergeCell ref="A20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7" t="s">
        <v>43</v>
      </c>
    </row>
    <row r="2" customFormat="false" ht="27.75" hidden="false" customHeight="true" outlineLevel="0" collapsed="false">
      <c r="A2" s="18" t="s">
        <v>44</v>
      </c>
      <c r="B2" s="18"/>
      <c r="C2" s="18"/>
      <c r="D2" s="18"/>
      <c r="E2" s="18"/>
      <c r="F2" s="18"/>
      <c r="G2" s="18"/>
      <c r="H2" s="18"/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  <c r="G3" s="18"/>
      <c r="H3" s="18"/>
    </row>
    <row r="4" customFormat="false" ht="27.75" hidden="false" customHeight="true" outlineLevel="0" collapsed="false">
      <c r="A4" s="18" t="s">
        <v>45</v>
      </c>
      <c r="B4" s="18"/>
      <c r="C4" s="18"/>
      <c r="D4" s="18"/>
      <c r="E4" s="18"/>
      <c r="F4" s="18"/>
      <c r="G4" s="18"/>
      <c r="H4" s="18"/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</row>
    <row r="6" customFormat="false" ht="27.75" hidden="false" customHeight="true" outlineLevel="0" collapsed="false">
      <c r="A6" s="18" t="s">
        <v>46</v>
      </c>
      <c r="B6" s="18"/>
      <c r="C6" s="18"/>
      <c r="D6" s="18"/>
      <c r="E6" s="18"/>
      <c r="F6" s="18"/>
      <c r="G6" s="18"/>
      <c r="H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</row>
    <row r="9" customFormat="false" ht="26.85" hidden="false" customHeight="false" outlineLevel="0" collapsed="false">
      <c r="A9" s="3" t="s">
        <v>47</v>
      </c>
      <c r="B9" s="3" t="s">
        <v>48</v>
      </c>
      <c r="C9" s="3" t="s">
        <v>49</v>
      </c>
      <c r="D9" s="3" t="s">
        <v>50</v>
      </c>
      <c r="E9" s="3" t="s">
        <v>51</v>
      </c>
    </row>
    <row r="10" customFormat="false" ht="15" hidden="false" customHeight="false" outlineLevel="0" collapsed="false">
      <c r="A10" s="16" t="e">
        <f aca="false">IFERROR(bds("FSTAS Index","INDX_MEMBERS"),NA())</f>
        <v>#N/A</v>
      </c>
    </row>
    <row r="11" customFormat="false" ht="15" hidden="false" customHeight="false" outlineLevel="0" collapsed="false">
      <c r="A11" s="8" t="s">
        <v>52</v>
      </c>
    </row>
    <row r="12" customFormat="false" ht="15" hidden="false" customHeight="false" outlineLevel="0" collapsed="false">
      <c r="A12" s="19" t="s">
        <v>53</v>
      </c>
      <c r="B12" s="6" t="str">
        <f aca="false">IFERROR(bdp(A12,"NAME"),"")</f>
        <v/>
      </c>
      <c r="C12" s="6" t="str">
        <f aca="false">IFERROR(bdp(A12,"GICS_SECTOR_NAME"),"")</f>
        <v/>
      </c>
      <c r="D12" s="6" t="str">
        <f aca="false">IFERROR(bdp(A12,"PRIMARY_EXCHANGE_NAME"),"")</f>
        <v/>
      </c>
      <c r="E12" s="19" t="s">
        <v>54</v>
      </c>
    </row>
    <row r="13" customFormat="false" ht="15" hidden="false" customHeight="false" outlineLevel="0" collapsed="false">
      <c r="A13" s="19" t="s">
        <v>55</v>
      </c>
      <c r="B13" s="6" t="str">
        <f aca="false">IFERROR(bdp(A13,"NAME"),"")</f>
        <v/>
      </c>
      <c r="C13" s="6" t="str">
        <f aca="false">IFERROR(bdp(A13,"GICS_SECTOR_NAME"),"")</f>
        <v/>
      </c>
      <c r="D13" s="6" t="str">
        <f aca="false">IFERROR(bdp(A13,"PRIMARY_EXCHANGE_NAME"),"")</f>
        <v/>
      </c>
      <c r="E13" s="19" t="s">
        <v>54</v>
      </c>
    </row>
    <row r="14" customFormat="false" ht="15" hidden="false" customHeight="false" outlineLevel="0" collapsed="false">
      <c r="A14" s="19" t="s">
        <v>56</v>
      </c>
      <c r="B14" s="6" t="str">
        <f aca="false">IFERROR(bdp(A14,"NAME"),"")</f>
        <v/>
      </c>
      <c r="C14" s="6" t="str">
        <f aca="false">IFERROR(bdp(A14,"GICS_SECTOR_NAME"),"")</f>
        <v/>
      </c>
      <c r="D14" s="6" t="str">
        <f aca="false">IFERROR(bdp(A14,"PRIMARY_EXCHANGE_NAME"),"")</f>
        <v/>
      </c>
      <c r="E14" s="19" t="s">
        <v>54</v>
      </c>
    </row>
    <row r="15" customFormat="false" ht="15" hidden="false" customHeight="false" outlineLevel="0" collapsed="false">
      <c r="A15" s="19" t="s">
        <v>57</v>
      </c>
      <c r="B15" s="6" t="str">
        <f aca="false">IFERROR(bdp(A15,"NAME"),"")</f>
        <v/>
      </c>
      <c r="C15" s="6" t="str">
        <f aca="false">IFERROR(bdp(A15,"GICS_SECTOR_NAME"),"")</f>
        <v/>
      </c>
      <c r="D15" s="6" t="str">
        <f aca="false">IFERROR(bdp(A15,"PRIMARY_EXCHANGE_NAME"),"")</f>
        <v/>
      </c>
      <c r="E15" s="19" t="s">
        <v>54</v>
      </c>
    </row>
    <row r="16" customFormat="false" ht="15" hidden="false" customHeight="false" outlineLevel="0" collapsed="false">
      <c r="A16" s="19" t="s">
        <v>58</v>
      </c>
      <c r="B16" s="6" t="str">
        <f aca="false">IFERROR(bdp(A16,"NAME"),"")</f>
        <v/>
      </c>
      <c r="C16" s="6" t="str">
        <f aca="false">IFERROR(bdp(A16,"GICS_SECTOR_NAME"),"")</f>
        <v/>
      </c>
      <c r="D16" s="6" t="str">
        <f aca="false">IFERROR(bdp(A16,"PRIMARY_EXCHANGE_NAME"),"")</f>
        <v/>
      </c>
      <c r="E16" s="19" t="s">
        <v>54</v>
      </c>
    </row>
    <row r="17" customFormat="false" ht="15" hidden="false" customHeight="false" outlineLevel="0" collapsed="false">
      <c r="A17" s="19" t="s">
        <v>59</v>
      </c>
      <c r="B17" s="6" t="str">
        <f aca="false">IFERROR(bdp(A17,"NAME"),"")</f>
        <v/>
      </c>
      <c r="C17" s="6" t="str">
        <f aca="false">IFERROR(bdp(A17,"GICS_SECTOR_NAME"),"")</f>
        <v/>
      </c>
      <c r="D17" s="6" t="str">
        <f aca="false">IFERROR(bdp(A17,"PRIMARY_EXCHANGE_NAME"),"")</f>
        <v/>
      </c>
      <c r="E17" s="19" t="s">
        <v>54</v>
      </c>
    </row>
  </sheetData>
  <mergeCells count="3">
    <mergeCell ref="A2:H3"/>
    <mergeCell ref="A4:H5"/>
    <mergeCell ref="A6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7" t="s">
        <v>60</v>
      </c>
    </row>
    <row r="2" customFormat="false" ht="25.5" hidden="false" customHeight="true" outlineLevel="0" collapsed="false">
      <c r="A2" s="18" t="s">
        <v>61</v>
      </c>
      <c r="B2" s="18"/>
      <c r="C2" s="18"/>
      <c r="D2" s="18"/>
      <c r="E2" s="18"/>
      <c r="F2" s="18"/>
      <c r="G2" s="18"/>
      <c r="H2" s="18"/>
      <c r="I2" s="18"/>
      <c r="J2" s="18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62</v>
      </c>
      <c r="D4" s="3" t="s">
        <v>63</v>
      </c>
      <c r="E4" s="3" t="s">
        <v>64</v>
      </c>
      <c r="F4" s="3" t="s">
        <v>4</v>
      </c>
      <c r="G4" s="3" t="s">
        <v>65</v>
      </c>
      <c r="H4" s="3" t="s">
        <v>66</v>
      </c>
      <c r="I4" s="3" t="s">
        <v>67</v>
      </c>
      <c r="J4" s="3" t="s">
        <v>5</v>
      </c>
    </row>
    <row r="5" customFormat="false" ht="15" hidden="false" customHeight="false" outlineLevel="0" collapsed="false">
      <c r="A5" s="4" t="str">
        <f aca="false">Universe!A12</f>
        <v>D05 SP Equity</v>
      </c>
      <c r="B5" s="6" t="str">
        <f aca="false">IFERROR(bdp(A5,"NAME"),"")</f>
        <v/>
      </c>
      <c r="C5" s="6" t="e">
        <f aca="false">IFERROR(bdp(A5,"EQY_SH_OUT"),NA())</f>
        <v>#N/A</v>
      </c>
      <c r="D5" s="20" t="e">
        <f aca="false">IFERROR(bdh(A5,"EQY_SH_OUT",Settings!$B$5,Settings!$B$5),NA())</f>
        <v>#N/A</v>
      </c>
      <c r="E5" s="21" t="e">
        <f aca="false">IFERROR((C5-D5)/D5,NA())</f>
        <v>#N/A</v>
      </c>
      <c r="F5" s="5" t="str">
        <f aca="false">IF(ISNUMBER(E5),IF(E5&lt;=Settings!$B$6,"⚠ BUYBACK ACTIVITY",""),"")</f>
        <v/>
      </c>
      <c r="G5" s="6" t="e">
        <f aca="false">IFERROR(bdp(A5,"VOLUME_AVG_30D"),NA())</f>
        <v>#N/A</v>
      </c>
      <c r="H5" s="6" t="e">
        <f aca="false">IFERROR(bdp(A5,"PX_VOLUME"),NA())</f>
        <v>#N/A</v>
      </c>
      <c r="I5" s="22" t="e">
        <f aca="false">IFERROR(H5/G5,NA())</f>
        <v>#N/A</v>
      </c>
      <c r="J5" s="6" t="str">
        <f aca="false">IF(ISNUMBER(I5),IF(I5&gt;=Settings!$B$7,"⚠ VOL SPIKE",""),"")</f>
        <v/>
      </c>
    </row>
    <row r="6" customFormat="false" ht="15" hidden="false" customHeight="false" outlineLevel="0" collapsed="false">
      <c r="A6" s="4" t="str">
        <f aca="false">Universe!A13</f>
        <v>O39 SP Equity</v>
      </c>
      <c r="B6" s="6" t="str">
        <f aca="false">IFERROR(bdp(A6,"NAME"),"")</f>
        <v/>
      </c>
      <c r="C6" s="6" t="e">
        <f aca="false">IFERROR(bdp(A6,"EQY_SH_OUT"),NA())</f>
        <v>#N/A</v>
      </c>
      <c r="D6" s="20" t="e">
        <f aca="false">IFERROR(bdh(A6,"EQY_SH_OUT",Settings!$B$5,Settings!$B$5),NA())</f>
        <v>#N/A</v>
      </c>
      <c r="E6" s="21" t="e">
        <f aca="false">IFERROR((C6-D6)/D6,NA())</f>
        <v>#N/A</v>
      </c>
      <c r="F6" s="5" t="str">
        <f aca="false">IF(ISNUMBER(E6),IF(E6&lt;=Settings!$B$6,"⚠ BUYBACK ACTIVITY",""),"")</f>
        <v/>
      </c>
      <c r="G6" s="6" t="e">
        <f aca="false">IFERROR(bdp(A6,"VOLUME_AVG_30D"),NA())</f>
        <v>#N/A</v>
      </c>
      <c r="H6" s="6" t="e">
        <f aca="false">IFERROR(bdp(A6,"PX_VOLUME"),NA())</f>
        <v>#N/A</v>
      </c>
      <c r="I6" s="22" t="e">
        <f aca="false">IFERROR(H6/G6,NA())</f>
        <v>#N/A</v>
      </c>
      <c r="J6" s="6" t="str">
        <f aca="false">IF(ISNUMBER(I6),IF(I6&gt;=Settings!$B$7,"⚠ VOL SPIKE",""),"")</f>
        <v/>
      </c>
    </row>
    <row r="7" customFormat="false" ht="15" hidden="false" customHeight="false" outlineLevel="0" collapsed="false">
      <c r="A7" s="4" t="str">
        <f aca="false">Universe!A14</f>
        <v>U11 SP Equity</v>
      </c>
      <c r="B7" s="6" t="str">
        <f aca="false">IFERROR(bdp(A7,"NAME"),"")</f>
        <v/>
      </c>
      <c r="C7" s="6" t="e">
        <f aca="false">IFERROR(bdp(A7,"EQY_SH_OUT"),NA())</f>
        <v>#N/A</v>
      </c>
      <c r="D7" s="20" t="e">
        <f aca="false">IFERROR(bdh(A7,"EQY_SH_OUT",Settings!$B$5,Settings!$B$5),NA())</f>
        <v>#N/A</v>
      </c>
      <c r="E7" s="21" t="e">
        <f aca="false">IFERROR((C7-D7)/D7,NA())</f>
        <v>#N/A</v>
      </c>
      <c r="F7" s="5" t="str">
        <f aca="false">IF(ISNUMBER(E7),IF(E7&lt;=Settings!$B$6,"⚠ BUYBACK ACTIVITY",""),"")</f>
        <v/>
      </c>
      <c r="G7" s="6" t="e">
        <f aca="false">IFERROR(bdp(A7,"VOLUME_AVG_30D"),NA())</f>
        <v>#N/A</v>
      </c>
      <c r="H7" s="6" t="e">
        <f aca="false">IFERROR(bdp(A7,"PX_VOLUME"),NA())</f>
        <v>#N/A</v>
      </c>
      <c r="I7" s="22" t="e">
        <f aca="false">IFERROR(H7/G7,NA())</f>
        <v>#N/A</v>
      </c>
      <c r="J7" s="6" t="str">
        <f aca="false">IF(ISNUMBER(I7),IF(I7&gt;=Settings!$B$7,"⚠ VOL SPIKE",""),"")</f>
        <v/>
      </c>
    </row>
    <row r="8" customFormat="false" ht="15" hidden="false" customHeight="false" outlineLevel="0" collapsed="false">
      <c r="A8" s="4" t="str">
        <f aca="false">Universe!A15</f>
        <v>Z74 SP Equity</v>
      </c>
      <c r="B8" s="6" t="str">
        <f aca="false">IFERROR(bdp(A8,"NAME"),"")</f>
        <v/>
      </c>
      <c r="C8" s="6" t="e">
        <f aca="false">IFERROR(bdp(A8,"EQY_SH_OUT"),NA())</f>
        <v>#N/A</v>
      </c>
      <c r="D8" s="20" t="e">
        <f aca="false">IFERROR(bdh(A8,"EQY_SH_OUT",Settings!$B$5,Settings!$B$5),NA())</f>
        <v>#N/A</v>
      </c>
      <c r="E8" s="21" t="e">
        <f aca="false">IFERROR((C8-D8)/D8,NA())</f>
        <v>#N/A</v>
      </c>
      <c r="F8" s="5" t="str">
        <f aca="false">IF(ISNUMBER(E8),IF(E8&lt;=Settings!$B$6,"⚠ BUYBACK ACTIVITY",""),"")</f>
        <v/>
      </c>
      <c r="G8" s="6" t="e">
        <f aca="false">IFERROR(bdp(A8,"VOLUME_AVG_30D"),NA())</f>
        <v>#N/A</v>
      </c>
      <c r="H8" s="6" t="e">
        <f aca="false">IFERROR(bdp(A8,"PX_VOLUME"),NA())</f>
        <v>#N/A</v>
      </c>
      <c r="I8" s="22" t="e">
        <f aca="false">IFERROR(H8/G8,NA())</f>
        <v>#N/A</v>
      </c>
      <c r="J8" s="6" t="str">
        <f aca="false">IF(ISNUMBER(I8),IF(I8&gt;=Settings!$B$7,"⚠ VOL SPIKE",""),"")</f>
        <v/>
      </c>
    </row>
    <row r="9" customFormat="false" ht="15" hidden="false" customHeight="false" outlineLevel="0" collapsed="false">
      <c r="A9" s="4" t="str">
        <f aca="false">Universe!A16</f>
        <v>BN4 SP Equity</v>
      </c>
      <c r="B9" s="6" t="str">
        <f aca="false">IFERROR(bdp(A9,"NAME"),"")</f>
        <v/>
      </c>
      <c r="C9" s="6" t="e">
        <f aca="false">IFERROR(bdp(A9,"EQY_SH_OUT"),NA())</f>
        <v>#N/A</v>
      </c>
      <c r="D9" s="20" t="e">
        <f aca="false">IFERROR(bdh(A9,"EQY_SH_OUT",Settings!$B$5,Settings!$B$5),NA())</f>
        <v>#N/A</v>
      </c>
      <c r="E9" s="21" t="e">
        <f aca="false">IFERROR((C9-D9)/D9,NA())</f>
        <v>#N/A</v>
      </c>
      <c r="F9" s="5" t="str">
        <f aca="false">IF(ISNUMBER(E9),IF(E9&lt;=Settings!$B$6,"⚠ BUYBACK ACTIVITY",""),"")</f>
        <v/>
      </c>
      <c r="G9" s="6" t="e">
        <f aca="false">IFERROR(bdp(A9,"VOLUME_AVG_30D"),NA())</f>
        <v>#N/A</v>
      </c>
      <c r="H9" s="6" t="e">
        <f aca="false">IFERROR(bdp(A9,"PX_VOLUME"),NA())</f>
        <v>#N/A</v>
      </c>
      <c r="I9" s="22" t="e">
        <f aca="false">IFERROR(H9/G9,NA())</f>
        <v>#N/A</v>
      </c>
      <c r="J9" s="6" t="str">
        <f aca="false">IF(ISNUMBER(I9),IF(I9&gt;=Settings!$B$7,"⚠ VOL SPIKE",""),"")</f>
        <v/>
      </c>
    </row>
    <row r="10" customFormat="false" ht="15" hidden="false" customHeight="false" outlineLevel="0" collapsed="false">
      <c r="A10" s="4" t="str">
        <f aca="false">Universe!A17</f>
        <v>C38U SP Equity</v>
      </c>
      <c r="B10" s="6" t="str">
        <f aca="false">IFERROR(bdp(A10,"NAME"),"")</f>
        <v/>
      </c>
      <c r="C10" s="6" t="e">
        <f aca="false">IFERROR(bdp(A10,"EQY_SH_OUT"),NA())</f>
        <v>#N/A</v>
      </c>
      <c r="D10" s="20" t="e">
        <f aca="false">IFERROR(bdh(A10,"EQY_SH_OUT",Settings!$B$5,Settings!$B$5),NA())</f>
        <v>#N/A</v>
      </c>
      <c r="E10" s="21" t="e">
        <f aca="false">IFERROR((C10-D10)/D10,NA())</f>
        <v>#N/A</v>
      </c>
      <c r="F10" s="5" t="str">
        <f aca="false">IF(ISNUMBER(E10),IF(E10&lt;=Settings!$B$6,"⚠ BUYBACK ACTIVITY",""),"")</f>
        <v/>
      </c>
      <c r="G10" s="6" t="e">
        <f aca="false">IFERROR(bdp(A10,"VOLUME_AVG_30D"),NA())</f>
        <v>#N/A</v>
      </c>
      <c r="H10" s="6" t="e">
        <f aca="false">IFERROR(bdp(A10,"PX_VOLUME"),NA())</f>
        <v>#N/A</v>
      </c>
      <c r="I10" s="22" t="e">
        <f aca="false">IFERROR(H10/G10,NA())</f>
        <v>#N/A</v>
      </c>
      <c r="J10" s="6" t="str">
        <f aca="false">IF(ISNUMBER(I10),IF(I10&gt;=Settings!$B$7,"⚠ VOL SPIKE",""),"")</f>
        <v/>
      </c>
    </row>
  </sheetData>
  <mergeCells count="1">
    <mergeCell ref="A2:J2"/>
  </mergeCells>
  <conditionalFormatting sqref="F5:F10">
    <cfRule type="cellIs" priority="2" operator="notEqual" aboveAverage="0" equalAverage="0" bottom="0" percent="0" rank="0" text="" dxfId="0">
      <formula>""</formula>
    </cfRule>
  </conditionalFormatting>
  <conditionalFormatting sqref="J5:J10">
    <cfRule type="cellIs" priority="3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7" t="s">
        <v>68</v>
      </c>
    </row>
    <row r="2" customFormat="false" ht="25.5" hidden="false" customHeight="true" outlineLevel="0" collapsed="false">
      <c r="A2" s="18" t="s">
        <v>69</v>
      </c>
      <c r="B2" s="18"/>
      <c r="C2" s="18"/>
      <c r="D2" s="18"/>
      <c r="E2" s="18"/>
      <c r="F2" s="18"/>
      <c r="G2" s="18"/>
      <c r="H2" s="18"/>
      <c r="I2" s="18"/>
      <c r="J2" s="18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</row>
    <row r="5" customFormat="false" ht="15" hidden="false" customHeight="false" outlineLevel="0" collapsed="false">
      <c r="A5" s="4" t="str">
        <f aca="false">Universe!A12</f>
        <v>D05 SP Equity</v>
      </c>
      <c r="B5" s="6" t="str">
        <f aca="false">IFERROR(bdp(A5,"NAME"),"")</f>
        <v/>
      </c>
      <c r="C5" s="23" t="e">
        <f aca="false">IFERROR(bdp(A5,"DVD_DECLARED_DT"),NA())</f>
        <v>#N/A</v>
      </c>
      <c r="D5" s="23" t="e">
        <f aca="false">IFERROR(bdp(A5,"DVD_EX_DT"),NA())</f>
        <v>#N/A</v>
      </c>
      <c r="E5" s="20" t="e">
        <f aca="false">IFERROR(bdp(A5,"DVD_SH_LAST"),NA())</f>
        <v>#N/A</v>
      </c>
      <c r="F5" s="20" t="str">
        <f aca="false">IFERROR(bdp(A5,"DVD_TYPE"),"")</f>
        <v/>
      </c>
      <c r="G5" s="6" t="str">
        <f aca="false">IF(ISNUMBER(C5),IF(C5&gt;=Settings!$B$5,"Y","N"),"")</f>
        <v/>
      </c>
      <c r="H5" s="5" t="str">
        <f aca="false">IF(G5="Y",IF(ISNUMBER(SEARCH("Special",F5)),"⚠ SPECIAL DIVIDEND","⚠ NEW DIVIDEND"),IF(ISNUMBER(SEARCH("Special",F5)),"⚠ SPECIAL DIVIDEND",""))</f>
        <v/>
      </c>
    </row>
    <row r="6" customFormat="false" ht="15" hidden="false" customHeight="false" outlineLevel="0" collapsed="false">
      <c r="A6" s="4" t="str">
        <f aca="false">Universe!A13</f>
        <v>O39 SP Equity</v>
      </c>
      <c r="B6" s="6" t="str">
        <f aca="false">IFERROR(bdp(A6,"NAME"),"")</f>
        <v/>
      </c>
      <c r="C6" s="23" t="e">
        <f aca="false">IFERROR(bdp(A6,"DVD_DECLARED_DT"),NA())</f>
        <v>#N/A</v>
      </c>
      <c r="D6" s="23" t="e">
        <f aca="false">IFERROR(bdp(A6,"DVD_EX_DT"),NA())</f>
        <v>#N/A</v>
      </c>
      <c r="E6" s="20" t="e">
        <f aca="false">IFERROR(bdp(A6,"DVD_SH_LAST"),NA())</f>
        <v>#N/A</v>
      </c>
      <c r="F6" s="20" t="str">
        <f aca="false">IFERROR(bdp(A6,"DVD_TYPE"),"")</f>
        <v/>
      </c>
      <c r="G6" s="6" t="str">
        <f aca="false">IF(ISNUMBER(C6),IF(C6&gt;=Settings!$B$5,"Y","N"),"")</f>
        <v/>
      </c>
      <c r="H6" s="5" t="str">
        <f aca="false">IF(G6="Y",IF(ISNUMBER(SEARCH("Special",F6)),"⚠ SPECIAL DIVIDEND","⚠ NEW DIVIDEND"),IF(ISNUMBER(SEARCH("Special",F6)),"⚠ SPECIAL DIVIDEND",""))</f>
        <v/>
      </c>
    </row>
    <row r="7" customFormat="false" ht="15" hidden="false" customHeight="false" outlineLevel="0" collapsed="false">
      <c r="A7" s="4" t="str">
        <f aca="false">Universe!A14</f>
        <v>U11 SP Equity</v>
      </c>
      <c r="B7" s="6" t="str">
        <f aca="false">IFERROR(bdp(A7,"NAME"),"")</f>
        <v/>
      </c>
      <c r="C7" s="23" t="e">
        <f aca="false">IFERROR(bdp(A7,"DVD_DECLARED_DT"),NA())</f>
        <v>#N/A</v>
      </c>
      <c r="D7" s="23" t="e">
        <f aca="false">IFERROR(bdp(A7,"DVD_EX_DT"),NA())</f>
        <v>#N/A</v>
      </c>
      <c r="E7" s="20" t="e">
        <f aca="false">IFERROR(bdp(A7,"DVD_SH_LAST"),NA())</f>
        <v>#N/A</v>
      </c>
      <c r="F7" s="20" t="str">
        <f aca="false">IFERROR(bdp(A7,"DVD_TYPE"),"")</f>
        <v/>
      </c>
      <c r="G7" s="6" t="str">
        <f aca="false">IF(ISNUMBER(C7),IF(C7&gt;=Settings!$B$5,"Y","N"),"")</f>
        <v/>
      </c>
      <c r="H7" s="5" t="str">
        <f aca="false">IF(G7="Y",IF(ISNUMBER(SEARCH("Special",F7)),"⚠ SPECIAL DIVIDEND","⚠ NEW DIVIDEND"),IF(ISNUMBER(SEARCH("Special",F7)),"⚠ SPECIAL DIVIDEND",""))</f>
        <v/>
      </c>
    </row>
    <row r="8" customFormat="false" ht="15" hidden="false" customHeight="false" outlineLevel="0" collapsed="false">
      <c r="A8" s="4" t="str">
        <f aca="false">Universe!A15</f>
        <v>Z74 SP Equity</v>
      </c>
      <c r="B8" s="6" t="str">
        <f aca="false">IFERROR(bdp(A8,"NAME"),"")</f>
        <v/>
      </c>
      <c r="C8" s="23" t="e">
        <f aca="false">IFERROR(bdp(A8,"DVD_DECLARED_DT"),NA())</f>
        <v>#N/A</v>
      </c>
      <c r="D8" s="23" t="e">
        <f aca="false">IFERROR(bdp(A8,"DVD_EX_DT"),NA())</f>
        <v>#N/A</v>
      </c>
      <c r="E8" s="20" t="e">
        <f aca="false">IFERROR(bdp(A8,"DVD_SH_LAST"),NA())</f>
        <v>#N/A</v>
      </c>
      <c r="F8" s="20" t="str">
        <f aca="false">IFERROR(bdp(A8,"DVD_TYPE"),"")</f>
        <v/>
      </c>
      <c r="G8" s="6" t="str">
        <f aca="false">IF(ISNUMBER(C8),IF(C8&gt;=Settings!$B$5,"Y","N"),"")</f>
        <v/>
      </c>
      <c r="H8" s="5" t="str">
        <f aca="false">IF(G8="Y",IF(ISNUMBER(SEARCH("Special",F8)),"⚠ SPECIAL DIVIDEND","⚠ NEW DIVIDEND"),IF(ISNUMBER(SEARCH("Special",F8)),"⚠ SPECIAL DIVIDEND",""))</f>
        <v/>
      </c>
    </row>
    <row r="9" customFormat="false" ht="15" hidden="false" customHeight="false" outlineLevel="0" collapsed="false">
      <c r="A9" s="4" t="str">
        <f aca="false">Universe!A16</f>
        <v>BN4 SP Equity</v>
      </c>
      <c r="B9" s="6" t="str">
        <f aca="false">IFERROR(bdp(A9,"NAME"),"")</f>
        <v/>
      </c>
      <c r="C9" s="23" t="e">
        <f aca="false">IFERROR(bdp(A9,"DVD_DECLARED_DT"),NA())</f>
        <v>#N/A</v>
      </c>
      <c r="D9" s="23" t="e">
        <f aca="false">IFERROR(bdp(A9,"DVD_EX_DT"),NA())</f>
        <v>#N/A</v>
      </c>
      <c r="E9" s="20" t="e">
        <f aca="false">IFERROR(bdp(A9,"DVD_SH_LAST"),NA())</f>
        <v>#N/A</v>
      </c>
      <c r="F9" s="20" t="str">
        <f aca="false">IFERROR(bdp(A9,"DVD_TYPE"),"")</f>
        <v/>
      </c>
      <c r="G9" s="6" t="str">
        <f aca="false">IF(ISNUMBER(C9),IF(C9&gt;=Settings!$B$5,"Y","N"),"")</f>
        <v/>
      </c>
      <c r="H9" s="5" t="str">
        <f aca="false">IF(G9="Y",IF(ISNUMBER(SEARCH("Special",F9)),"⚠ SPECIAL DIVIDEND","⚠ NEW DIVIDEND"),IF(ISNUMBER(SEARCH("Special",F9)),"⚠ SPECIAL DIVIDEND",""))</f>
        <v/>
      </c>
    </row>
    <row r="10" customFormat="false" ht="15" hidden="false" customHeight="false" outlineLevel="0" collapsed="false">
      <c r="A10" s="4" t="str">
        <f aca="false">Universe!A17</f>
        <v>C38U SP Equity</v>
      </c>
      <c r="B10" s="6" t="str">
        <f aca="false">IFERROR(bdp(A10,"NAME"),"")</f>
        <v/>
      </c>
      <c r="C10" s="23" t="e">
        <f aca="false">IFERROR(bdp(A10,"DVD_DECLARED_DT"),NA())</f>
        <v>#N/A</v>
      </c>
      <c r="D10" s="23" t="e">
        <f aca="false">IFERROR(bdp(A10,"DVD_EX_DT"),NA())</f>
        <v>#N/A</v>
      </c>
      <c r="E10" s="20" t="e">
        <f aca="false">IFERROR(bdp(A10,"DVD_SH_LAST"),NA())</f>
        <v>#N/A</v>
      </c>
      <c r="F10" s="20" t="str">
        <f aca="false">IFERROR(bdp(A10,"DVD_TYPE"),"")</f>
        <v/>
      </c>
      <c r="G10" s="6" t="str">
        <f aca="false">IF(ISNUMBER(C10),IF(C10&gt;=Settings!$B$5,"Y","N"),"")</f>
        <v/>
      </c>
      <c r="H10" s="5" t="str">
        <f aca="false">IF(G10="Y",IF(ISNUMBER(SEARCH("Special",F10)),"⚠ SPECIAL DIVIDEND","⚠ NEW DIVIDEND"),IF(ISNUMBER(SEARCH("Special",F10)),"⚠ SPECIAL DIVIDEND",""))</f>
        <v/>
      </c>
    </row>
  </sheetData>
  <mergeCells count="1">
    <mergeCell ref="A2:J2"/>
  </mergeCells>
  <conditionalFormatting sqref="H5:H10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5" min="3" style="0" width="2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7" t="s">
        <v>76</v>
      </c>
    </row>
    <row r="2" customFormat="false" ht="25.5" hidden="false" customHeight="true" outlineLevel="0" collapsed="false">
      <c r="A2" s="18" t="s">
        <v>77</v>
      </c>
      <c r="B2" s="18"/>
      <c r="C2" s="18"/>
      <c r="D2" s="18"/>
      <c r="E2" s="18"/>
      <c r="F2" s="18"/>
      <c r="G2" s="18"/>
      <c r="H2" s="18"/>
      <c r="I2" s="18"/>
      <c r="J2" s="18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78</v>
      </c>
      <c r="D4" s="3" t="s">
        <v>79</v>
      </c>
      <c r="E4" s="3" t="s">
        <v>80</v>
      </c>
      <c r="F4" s="3" t="s">
        <v>74</v>
      </c>
      <c r="G4" s="3" t="s">
        <v>75</v>
      </c>
    </row>
    <row r="5" customFormat="false" ht="15" hidden="false" customHeight="false" outlineLevel="0" collapsed="false">
      <c r="A5" s="4" t="str">
        <f aca="false">Universe!A12</f>
        <v>D05 SP Equity</v>
      </c>
      <c r="B5" s="6" t="str">
        <f aca="false">IFERROR(bdp(A5,"NAME"),"")</f>
        <v/>
      </c>
      <c r="C5" s="23" t="e">
        <f aca="false">IFERROR(bdp(A5,"EQY_SPLIT_DT"),NA())</f>
        <v>#N/A</v>
      </c>
      <c r="D5" s="24"/>
      <c r="E5" s="24"/>
      <c r="F5" s="6" t="str">
        <f aca="false">IF(ISNUMBER(C5),IF(C5&gt;=Settings!$B$5,"Y","N"),"")</f>
        <v/>
      </c>
      <c r="G5" s="5" t="str">
        <f aca="false">IF(F5="Y","⚠ SPLIT/RIGHTS EVENT","")</f>
        <v/>
      </c>
    </row>
    <row r="6" customFormat="false" ht="15" hidden="false" customHeight="false" outlineLevel="0" collapsed="false">
      <c r="A6" s="4" t="str">
        <f aca="false">Universe!A13</f>
        <v>O39 SP Equity</v>
      </c>
      <c r="B6" s="6" t="str">
        <f aca="false">IFERROR(bdp(A6,"NAME"),"")</f>
        <v/>
      </c>
      <c r="C6" s="23" t="e">
        <f aca="false">IFERROR(bdp(A6,"EQY_SPLIT_DT"),NA())</f>
        <v>#N/A</v>
      </c>
      <c r="D6" s="24"/>
      <c r="E6" s="24"/>
      <c r="F6" s="6" t="str">
        <f aca="false">IF(ISNUMBER(C6),IF(C6&gt;=Settings!$B$5,"Y","N"),"")</f>
        <v/>
      </c>
      <c r="G6" s="5" t="str">
        <f aca="false">IF(F6="Y","⚠ SPLIT/RIGHTS EVENT","")</f>
        <v/>
      </c>
    </row>
    <row r="7" customFormat="false" ht="15" hidden="false" customHeight="false" outlineLevel="0" collapsed="false">
      <c r="A7" s="4" t="str">
        <f aca="false">Universe!A14</f>
        <v>U11 SP Equity</v>
      </c>
      <c r="B7" s="6" t="str">
        <f aca="false">IFERROR(bdp(A7,"NAME"),"")</f>
        <v/>
      </c>
      <c r="C7" s="23" t="e">
        <f aca="false">IFERROR(bdp(A7,"EQY_SPLIT_DT"),NA())</f>
        <v>#N/A</v>
      </c>
      <c r="D7" s="24"/>
      <c r="E7" s="24"/>
      <c r="F7" s="6" t="str">
        <f aca="false">IF(ISNUMBER(C7),IF(C7&gt;=Settings!$B$5,"Y","N"),"")</f>
        <v/>
      </c>
      <c r="G7" s="5" t="str">
        <f aca="false">IF(F7="Y","⚠ SPLIT/RIGHTS EVENT","")</f>
        <v/>
      </c>
    </row>
    <row r="8" customFormat="false" ht="15" hidden="false" customHeight="false" outlineLevel="0" collapsed="false">
      <c r="A8" s="4" t="str">
        <f aca="false">Universe!A15</f>
        <v>Z74 SP Equity</v>
      </c>
      <c r="B8" s="6" t="str">
        <f aca="false">IFERROR(bdp(A8,"NAME"),"")</f>
        <v/>
      </c>
      <c r="C8" s="23" t="e">
        <f aca="false">IFERROR(bdp(A8,"EQY_SPLIT_DT"),NA())</f>
        <v>#N/A</v>
      </c>
      <c r="D8" s="24"/>
      <c r="E8" s="24"/>
      <c r="F8" s="6" t="str">
        <f aca="false">IF(ISNUMBER(C8),IF(C8&gt;=Settings!$B$5,"Y","N"),"")</f>
        <v/>
      </c>
      <c r="G8" s="5" t="str">
        <f aca="false">IF(F8="Y","⚠ SPLIT/RIGHTS EVENT","")</f>
        <v/>
      </c>
    </row>
    <row r="9" customFormat="false" ht="15" hidden="false" customHeight="false" outlineLevel="0" collapsed="false">
      <c r="A9" s="4" t="str">
        <f aca="false">Universe!A16</f>
        <v>BN4 SP Equity</v>
      </c>
      <c r="B9" s="6" t="str">
        <f aca="false">IFERROR(bdp(A9,"NAME"),"")</f>
        <v/>
      </c>
      <c r="C9" s="23" t="e">
        <f aca="false">IFERROR(bdp(A9,"EQY_SPLIT_DT"),NA())</f>
        <v>#N/A</v>
      </c>
      <c r="D9" s="24"/>
      <c r="E9" s="24"/>
      <c r="F9" s="6" t="str">
        <f aca="false">IF(ISNUMBER(C9),IF(C9&gt;=Settings!$B$5,"Y","N"),"")</f>
        <v/>
      </c>
      <c r="G9" s="5" t="str">
        <f aca="false">IF(F9="Y","⚠ SPLIT/RIGHTS EVENT","")</f>
        <v/>
      </c>
    </row>
    <row r="10" customFormat="false" ht="15" hidden="false" customHeight="false" outlineLevel="0" collapsed="false">
      <c r="A10" s="4" t="str">
        <f aca="false">Universe!A17</f>
        <v>C38U SP Equity</v>
      </c>
      <c r="B10" s="6" t="str">
        <f aca="false">IFERROR(bdp(A10,"NAME"),"")</f>
        <v/>
      </c>
      <c r="C10" s="23" t="e">
        <f aca="false">IFERROR(bdp(A10,"EQY_SPLIT_DT"),NA())</f>
        <v>#N/A</v>
      </c>
      <c r="D10" s="24"/>
      <c r="E10" s="24"/>
      <c r="F10" s="6" t="str">
        <f aca="false">IF(ISNUMBER(C10),IF(C10&gt;=Settings!$B$5,"Y","N"),"")</f>
        <v/>
      </c>
      <c r="G10" s="5" t="str">
        <f aca="false">IF(F10="Y","⚠ SPLIT/RIGHTS EVENT","")</f>
        <v/>
      </c>
    </row>
  </sheetData>
  <mergeCells count="1">
    <mergeCell ref="A2:J2"/>
  </mergeCells>
  <conditionalFormatting sqref="G5:G10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7" t="s">
        <v>81</v>
      </c>
    </row>
    <row r="2" customFormat="false" ht="25.5" hidden="false" customHeight="true" outlineLevel="0" collapsed="false">
      <c r="A2" s="18" t="s">
        <v>82</v>
      </c>
      <c r="B2" s="18"/>
      <c r="C2" s="18"/>
      <c r="D2" s="18"/>
      <c r="E2" s="18"/>
      <c r="F2" s="18"/>
      <c r="G2" s="18"/>
      <c r="H2" s="18"/>
      <c r="I2" s="18"/>
      <c r="J2" s="18"/>
    </row>
    <row r="6" customFormat="false" ht="26.85" hidden="false" customHeight="false" outlineLevel="0" collapsed="false">
      <c r="A6" s="3" t="s">
        <v>2</v>
      </c>
      <c r="B6" s="3" t="s">
        <v>3</v>
      </c>
      <c r="C6" s="3" t="s">
        <v>83</v>
      </c>
      <c r="D6" s="3" t="s">
        <v>84</v>
      </c>
      <c r="E6" s="3" t="s">
        <v>85</v>
      </c>
      <c r="F6" s="3" t="s">
        <v>15</v>
      </c>
      <c r="G6" s="3" t="s">
        <v>74</v>
      </c>
      <c r="H6" s="3" t="s">
        <v>75</v>
      </c>
    </row>
    <row r="7" customFormat="false" ht="15" hidden="false" customHeight="false" outlineLevel="0" collapsed="false">
      <c r="A7" s="24"/>
      <c r="B7" s="24"/>
      <c r="C7" s="24"/>
      <c r="D7" s="25"/>
      <c r="E7" s="24"/>
      <c r="F7" s="24"/>
      <c r="G7" s="6" t="str">
        <f aca="false">IF(ISNUMBER(D7),IF(D7&gt;=Settings!$B$5,"Y","N"),"")</f>
        <v/>
      </c>
      <c r="H7" s="5" t="str">
        <f aca="false">IF(G7="Y","⚠ "&amp;IF(C7="","EVENT",UPPER(C7)),"")</f>
        <v/>
      </c>
    </row>
    <row r="8" customFormat="false" ht="15" hidden="false" customHeight="false" outlineLevel="0" collapsed="false">
      <c r="A8" s="24"/>
      <c r="B8" s="24"/>
      <c r="C8" s="24"/>
      <c r="D8" s="25"/>
      <c r="E8" s="24"/>
      <c r="F8" s="24"/>
      <c r="G8" s="6" t="str">
        <f aca="false">IF(ISNUMBER(D8),IF(D8&gt;=Settings!$B$5,"Y","N"),"")</f>
        <v/>
      </c>
      <c r="H8" s="5" t="str">
        <f aca="false">IF(G8="Y","⚠ "&amp;IF(C8="","EVENT",UPPER(C8)),"")</f>
        <v/>
      </c>
    </row>
    <row r="9" customFormat="false" ht="15" hidden="false" customHeight="false" outlineLevel="0" collapsed="false">
      <c r="A9" s="24"/>
      <c r="B9" s="24"/>
      <c r="C9" s="24"/>
      <c r="D9" s="25"/>
      <c r="E9" s="24"/>
      <c r="F9" s="24"/>
      <c r="G9" s="6" t="str">
        <f aca="false">IF(ISNUMBER(D9),IF(D9&gt;=Settings!$B$5,"Y","N"),"")</f>
        <v/>
      </c>
      <c r="H9" s="5" t="str">
        <f aca="false">IF(G9="Y","⚠ "&amp;IF(C9="","EVENT",UPPER(C9)),"")</f>
        <v/>
      </c>
    </row>
    <row r="10" customFormat="false" ht="15" hidden="false" customHeight="false" outlineLevel="0" collapsed="false">
      <c r="A10" s="24"/>
      <c r="B10" s="24"/>
      <c r="C10" s="24"/>
      <c r="D10" s="25"/>
      <c r="E10" s="24"/>
      <c r="F10" s="24"/>
      <c r="G10" s="6" t="str">
        <f aca="false">IF(ISNUMBER(D10),IF(D10&gt;=Settings!$B$5,"Y","N"),"")</f>
        <v/>
      </c>
      <c r="H10" s="5" t="str">
        <f aca="false">IF(G10="Y","⚠ "&amp;IF(C10="","EVENT",UPPER(C10)),"")</f>
        <v/>
      </c>
    </row>
    <row r="11" customFormat="false" ht="15" hidden="false" customHeight="false" outlineLevel="0" collapsed="false">
      <c r="A11" s="24"/>
      <c r="B11" s="24"/>
      <c r="C11" s="24"/>
      <c r="D11" s="25"/>
      <c r="E11" s="24"/>
      <c r="F11" s="24"/>
      <c r="G11" s="6" t="str">
        <f aca="false">IF(ISNUMBER(D11),IF(D11&gt;=Settings!$B$5,"Y","N"),"")</f>
        <v/>
      </c>
      <c r="H11" s="5" t="str">
        <f aca="false">IF(G11="Y","⚠ "&amp;IF(C11="","EVENT",UPPER(C11)),"")</f>
        <v/>
      </c>
    </row>
    <row r="12" customFormat="false" ht="15" hidden="false" customHeight="false" outlineLevel="0" collapsed="false">
      <c r="A12" s="24"/>
      <c r="B12" s="24"/>
      <c r="C12" s="24"/>
      <c r="D12" s="25"/>
      <c r="E12" s="24"/>
      <c r="F12" s="24"/>
      <c r="G12" s="6" t="str">
        <f aca="false">IF(ISNUMBER(D12),IF(D12&gt;=Settings!$B$5,"Y","N"),"")</f>
        <v/>
      </c>
      <c r="H12" s="5" t="str">
        <f aca="false">IF(G12="Y","⚠ "&amp;IF(C12="","EVENT",UPPER(C12)),"")</f>
        <v/>
      </c>
    </row>
    <row r="13" customFormat="false" ht="15" hidden="false" customHeight="false" outlineLevel="0" collapsed="false">
      <c r="A13" s="24"/>
      <c r="B13" s="24"/>
      <c r="C13" s="24"/>
      <c r="D13" s="25"/>
      <c r="E13" s="24"/>
      <c r="F13" s="24"/>
      <c r="G13" s="6" t="str">
        <f aca="false">IF(ISNUMBER(D13),IF(D13&gt;=Settings!$B$5,"Y","N"),"")</f>
        <v/>
      </c>
      <c r="H13" s="5" t="str">
        <f aca="false">IF(G13="Y","⚠ "&amp;IF(C13="","EVENT",UPPER(C13)),"")</f>
        <v/>
      </c>
    </row>
    <row r="14" customFormat="false" ht="15" hidden="false" customHeight="false" outlineLevel="0" collapsed="false">
      <c r="A14" s="24"/>
      <c r="B14" s="24"/>
      <c r="C14" s="24"/>
      <c r="D14" s="25"/>
      <c r="E14" s="24"/>
      <c r="F14" s="24"/>
      <c r="G14" s="6" t="str">
        <f aca="false">IF(ISNUMBER(D14),IF(D14&gt;=Settings!$B$5,"Y","N"),"")</f>
        <v/>
      </c>
      <c r="H14" s="5" t="str">
        <f aca="false">IF(G14="Y","⚠ "&amp;IF(C14="","EVENT",UPPER(C14)),"")</f>
        <v/>
      </c>
    </row>
    <row r="15" customFormat="false" ht="15" hidden="false" customHeight="false" outlineLevel="0" collapsed="false">
      <c r="A15" s="24"/>
      <c r="B15" s="24"/>
      <c r="C15" s="24"/>
      <c r="D15" s="25"/>
      <c r="E15" s="24"/>
      <c r="F15" s="24"/>
      <c r="G15" s="6" t="str">
        <f aca="false">IF(ISNUMBER(D15),IF(D15&gt;=Settings!$B$5,"Y","N"),"")</f>
        <v/>
      </c>
      <c r="H15" s="5" t="str">
        <f aca="false">IF(G15="Y","⚠ "&amp;IF(C15="","EVENT",UPPER(C15)),"")</f>
        <v/>
      </c>
    </row>
    <row r="16" customFormat="false" ht="15" hidden="false" customHeight="false" outlineLevel="0" collapsed="false">
      <c r="A16" s="24"/>
      <c r="B16" s="24"/>
      <c r="C16" s="24"/>
      <c r="D16" s="25"/>
      <c r="E16" s="24"/>
      <c r="F16" s="24"/>
      <c r="G16" s="6" t="str">
        <f aca="false">IF(ISNUMBER(D16),IF(D16&gt;=Settings!$B$5,"Y","N"),"")</f>
        <v/>
      </c>
      <c r="H16" s="5" t="str">
        <f aca="false">IF(G16="Y","⚠ "&amp;IF(C16="","EVENT",UPPER(C16)),"")</f>
        <v/>
      </c>
    </row>
  </sheetData>
  <mergeCells count="1">
    <mergeCell ref="A2:J2"/>
  </mergeCells>
  <conditionalFormatting sqref="H7:H16">
    <cfRule type="cellIs" priority="2" operator="notEqual" aboveAverage="0" equalAverage="0" bottom="0" percent="0" rank="0" text="" dxfId="0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2026-09-07T08:40:01Z</dcterms:created>
  <dc:creator>openpyxl</dc:creator>
  <dc:description/>
  <dc:language>en-US</dc:language>
  <cp:lastModifiedBy/>
  <dcterms:modified xsi:type="dcterms:W3CDTF">2026-09-07T08:40:01Z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