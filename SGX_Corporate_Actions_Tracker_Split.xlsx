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TI30 Dashboard" sheetId="2" state="visible" r:id="rId2"/>
    <sheet xmlns:r="http://schemas.openxmlformats.org/officeDocument/2006/relationships" name="STI30 Universe" sheetId="3" state="visible" r:id="rId3"/>
    <sheet xmlns:r="http://schemas.openxmlformats.org/officeDocument/2006/relationships" name="STI30 Buybacks" sheetId="4" state="visible" r:id="rId4"/>
    <sheet xmlns:r="http://schemas.openxmlformats.org/officeDocument/2006/relationships" name="STI30 Dividends" sheetId="5" state="visible" r:id="rId5"/>
    <sheet xmlns:r="http://schemas.openxmlformats.org/officeDocument/2006/relationships" name="STI30 Offerings" sheetId="6" state="visible" r:id="rId6"/>
    <sheet xmlns:r="http://schemas.openxmlformats.org/officeDocument/2006/relationships" name="Rest Dashboard" sheetId="7" state="visible" r:id="rId7"/>
    <sheet xmlns:r="http://schemas.openxmlformats.org/officeDocument/2006/relationships" name="Rest Universe" sheetId="8" state="visible" r:id="rId8"/>
    <sheet xmlns:r="http://schemas.openxmlformats.org/officeDocument/2006/relationships" name="Rest Buybacks" sheetId="9" state="visible" r:id="rId9"/>
    <sheet xmlns:r="http://schemas.openxmlformats.org/officeDocument/2006/relationships" name="Rest Dividends" sheetId="10" state="visible" r:id="rId10"/>
    <sheet xmlns:r="http://schemas.openxmlformats.org/officeDocument/2006/relationships" name="Rest Offerin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i val="1"/>
      <color rgb="FF595959"/>
      <sz val="10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FF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808080"/>
      <sz val="9"/>
    </font>
    <font>
      <i val="1"/>
      <color rgb="00C00000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E4D6"/>
        <bgColor rgb="FFFFC7CE"/>
      </patternFill>
    </fill>
    <fill>
      <patternFill patternType="solid">
        <fgColor rgb="FFFFC7CE"/>
        <bgColor rgb="FFFCE4D6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F9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164" fontId="4" fillId="0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0" fontId="5" fillId="2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6" fillId="5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7" borderId="1" pivotButton="0" quotePrefix="0" xfId="0"/>
    <xf numFmtId="0" fontId="9" fillId="0" borderId="1" pivotButton="0" quotePrefix="0" xfId="0"/>
    <xf numFmtId="0" fontId="7" fillId="6" borderId="0" pivotButton="0" quotePrefix="0" xfId="0"/>
    <xf numFmtId="0" fontId="0" fillId="7" borderId="0" pivotButton="0" quotePrefix="0" xfId="0"/>
    <xf numFmtId="0" fontId="0" fillId="8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6.140625" customWidth="1" min="1" max="1"/>
    <col width="24.42578125" customWidth="1" min="2" max="2"/>
    <col width="70" customWidth="1" min="3" max="3"/>
    <col width="8.7109375" customWidth="1" min="4" max="4"/>
  </cols>
  <sheetData>
    <row r="1">
      <c r="A1" s="1" t="inlineStr">
        <is>
          <t>Settings for the dashboard</t>
        </is>
      </c>
    </row>
    <row r="2">
      <c r="A2" s="2" t="n"/>
    </row>
    <row r="3">
      <c r="A3" s="3" t="inlineStr">
        <is>
          <t>Setting</t>
        </is>
      </c>
      <c r="B3" s="3" t="inlineStr">
        <is>
          <t>Value</t>
        </is>
      </c>
      <c r="C3" s="3" t="n"/>
    </row>
    <row r="4">
      <c r="A4" s="4" t="inlineStr">
        <is>
          <t>Lookback window (weeks)</t>
        </is>
      </c>
      <c r="B4" s="5" t="n">
        <v>1</v>
      </c>
      <c r="C4" s="6" t="n"/>
    </row>
    <row r="5">
      <c r="A5" s="4" t="inlineStr">
        <is>
          <t>Lookback start date</t>
        </is>
      </c>
      <c r="B5" s="7">
        <f>TODAY()-(B4*7)</f>
        <v/>
      </c>
      <c r="C5" s="6" t="n"/>
    </row>
    <row r="6">
      <c r="A6" s="4" t="inlineStr">
        <is>
          <t>Buyback flag threshold (% shares out decline)</t>
        </is>
      </c>
      <c r="B6" s="8" t="n">
        <v>-1e-05</v>
      </c>
      <c r="C6" s="6" t="n"/>
    </row>
    <row r="7">
      <c r="A7" s="4" t="inlineStr">
        <is>
          <t>Volume spike multiple (x 30D avg)</t>
        </is>
      </c>
      <c r="B7" s="5" t="n">
        <v>2</v>
      </c>
      <c r="C7" s="6" t="n"/>
    </row>
    <row r="8">
      <c r="A8" s="4" t="inlineStr">
        <is>
          <t>Dividend flag rule</t>
        </is>
      </c>
      <c r="B8" s="9" t="n"/>
      <c r="C8" s="6" t="n"/>
    </row>
    <row r="9">
      <c r="A9" s="4" t="inlineStr">
        <is>
          <t>Split/Rights flag rule</t>
        </is>
      </c>
      <c r="B9" s="9" t="inlineStr">
        <is>
          <t>Any occurrence within lookback window</t>
        </is>
      </c>
      <c r="C9" s="6" t="n"/>
    </row>
    <row r="11">
      <c r="A11" s="3" t="inlineStr">
        <is>
          <t>Legend</t>
        </is>
      </c>
    </row>
    <row r="12">
      <c r="A12" s="10" t="inlineStr">
        <is>
          <t>Yellow fill / blue text</t>
        </is>
      </c>
      <c r="B12" s="4" t="inlineStr">
        <is>
          <t>Input Cell</t>
        </is>
      </c>
    </row>
    <row r="13">
      <c r="A13" s="4" t="inlineStr">
        <is>
          <t>Black text</t>
        </is>
      </c>
      <c r="B13" s="4" t="inlineStr">
        <is>
          <t>Formula</t>
        </is>
      </c>
    </row>
    <row r="14">
      <c r="A14" s="4" t="inlineStr">
        <is>
          <t>Green text</t>
        </is>
      </c>
      <c r="B14" s="4" t="inlineStr">
        <is>
          <t>Linked Cell</t>
        </is>
      </c>
    </row>
    <row r="15">
      <c r="A15" s="11" t="inlineStr">
        <is>
          <t>Orange fill</t>
        </is>
      </c>
      <c r="B15" s="4" t="inlineStr">
        <is>
          <t>Cells using Bloomberg Formula</t>
        </is>
      </c>
    </row>
    <row r="16">
      <c r="A16" s="12" t="inlineStr">
        <is>
          <t>Red fill on a Flag cell</t>
        </is>
      </c>
      <c r="B16" s="4" t="inlineStr">
        <is>
          <t>Significant activity detected in the lookback window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3" t="inlineStr">
        <is>
          <t>CORPORATE ACTIONS DASHBOARD — STI TOP 30</t>
        </is>
      </c>
    </row>
    <row r="3">
      <c r="A3" s="14" t="inlineStr">
        <is>
          <t>Ticker</t>
        </is>
      </c>
      <c r="B3" s="14" t="inlineStr">
        <is>
          <t>Name</t>
        </is>
      </c>
      <c r="C3" s="14" t="inlineStr">
        <is>
          <t>Buyback Flag</t>
        </is>
      </c>
      <c r="D3" s="14" t="inlineStr">
        <is>
          <t>Volume Flag</t>
        </is>
      </c>
      <c r="E3" s="14" t="inlineStr">
        <is>
          <t>Dividend Flag</t>
        </is>
      </c>
      <c r="F3" s="14" t="inlineStr">
        <is>
          <t>Split/Rights Flag</t>
        </is>
      </c>
      <c r="H3" s="20" t="inlineStr">
        <is>
          <t>SHARE BUYBACK AGGREGATOR</t>
        </is>
      </c>
    </row>
    <row r="4">
      <c r="A4" s="16">
        <f>'STI30 Universe'!A5</f>
        <v/>
      </c>
      <c r="B4" s="16">
        <f>'STI30 Universe'!B5</f>
        <v/>
      </c>
      <c r="C4" s="16">
        <f>'STI30 Buybacks'!F4</f>
        <v/>
      </c>
      <c r="D4" s="16">
        <f>'STI30 Buybacks'!J4</f>
        <v/>
      </c>
      <c r="E4" s="16">
        <f>'STI30 Dividends'!H4</f>
        <v/>
      </c>
      <c r="F4" s="16">
        <f>'STI30 Offerings'!J4</f>
        <v/>
      </c>
      <c r="H4" t="inlineStr">
        <is>
          <t>Number of Trading Days of Lookback</t>
        </is>
      </c>
      <c r="L4" s="21" t="n">
        <v>30</v>
      </c>
    </row>
    <row r="5">
      <c r="A5" s="16">
        <f>'STI30 Universe'!A6</f>
        <v/>
      </c>
      <c r="B5" s="16">
        <f>'STI30 Universe'!B6</f>
        <v/>
      </c>
      <c r="C5" s="16">
        <f>'STI30 Buybacks'!F5</f>
        <v/>
      </c>
      <c r="D5" s="16">
        <f>'STI30 Buybacks'!J5</f>
        <v/>
      </c>
      <c r="E5" s="16">
        <f>'STI30 Dividends'!H5</f>
        <v/>
      </c>
      <c r="F5" s="16">
        <f>'STI30 Offerings'!J5</f>
        <v/>
      </c>
      <c r="H5" t="inlineStr">
        <is>
          <t>Company Ticker</t>
        </is>
      </c>
      <c r="L5" s="21" t="inlineStr">
        <is>
          <t>ST SP Equity</t>
        </is>
      </c>
    </row>
    <row r="6">
      <c r="A6" s="16">
        <f>'STI30 Universe'!A7</f>
        <v/>
      </c>
      <c r="B6" s="16">
        <f>'STI30 Universe'!B7</f>
        <v/>
      </c>
      <c r="C6" s="16">
        <f>'STI30 Buybacks'!F6</f>
        <v/>
      </c>
      <c r="D6" s="16">
        <f>'STI30 Buybacks'!J6</f>
        <v/>
      </c>
      <c r="E6" s="16">
        <f>'STI30 Dividends'!H6</f>
        <v/>
      </c>
      <c r="F6" s="16">
        <f>'STI30 Offerings'!J6</f>
        <v/>
      </c>
      <c r="H6" t="inlineStr">
        <is>
          <t>Company Name</t>
        </is>
      </c>
      <c r="L6">
        <f>_xll.BDP(L5,"NAME")</f>
        <v/>
      </c>
    </row>
    <row r="7">
      <c r="A7" s="16">
        <f>'STI30 Universe'!A8</f>
        <v/>
      </c>
      <c r="B7" s="16">
        <f>'STI30 Universe'!B8</f>
        <v/>
      </c>
      <c r="C7" s="16">
        <f>'STI30 Buybacks'!F7</f>
        <v/>
      </c>
      <c r="D7" s="16">
        <f>'STI30 Buybacks'!J7</f>
        <v/>
      </c>
      <c r="E7" s="16">
        <f>'STI30 Dividends'!H7</f>
        <v/>
      </c>
      <c r="F7" s="16">
        <f>'STI30 Offerings'!J7</f>
        <v/>
      </c>
      <c r="H7" t="inlineStr">
        <is>
          <t>Buyback Amount</t>
        </is>
      </c>
      <c r="L7">
        <f>_xll.BQL(L5, "sum(share_buybacks(effective_date=range(-" &amp; L4 &amp;"D, 0D)))", "currency", "SGD")</f>
        <v/>
      </c>
    </row>
    <row r="8">
      <c r="A8" s="16">
        <f>'STI30 Universe'!A9</f>
        <v/>
      </c>
      <c r="B8" s="16">
        <f>'STI30 Universe'!B9</f>
        <v/>
      </c>
      <c r="C8" s="16">
        <f>'STI30 Buybacks'!F8</f>
        <v/>
      </c>
      <c r="D8" s="16">
        <f>'STI30 Buybacks'!J8</f>
        <v/>
      </c>
      <c r="E8" s="16">
        <f>'STI30 Dividends'!H8</f>
        <v/>
      </c>
      <c r="F8" s="16">
        <f>'STI30 Offerings'!J8</f>
        <v/>
      </c>
    </row>
    <row r="9">
      <c r="A9" s="16">
        <f>'STI30 Universe'!A10</f>
        <v/>
      </c>
      <c r="B9" s="16">
        <f>'STI30 Universe'!B10</f>
        <v/>
      </c>
      <c r="C9" s="16">
        <f>'STI30 Buybacks'!F9</f>
        <v/>
      </c>
      <c r="D9" s="16">
        <f>'STI30 Buybacks'!J9</f>
        <v/>
      </c>
      <c r="E9" s="16">
        <f>'STI30 Dividends'!H9</f>
        <v/>
      </c>
      <c r="F9" s="16">
        <f>'STI30 Offerings'!J9</f>
        <v/>
      </c>
    </row>
    <row r="10">
      <c r="A10" s="16">
        <f>'STI30 Universe'!A11</f>
        <v/>
      </c>
      <c r="B10" s="16">
        <f>'STI30 Universe'!B11</f>
        <v/>
      </c>
      <c r="C10" s="16">
        <f>'STI30 Buybacks'!F10</f>
        <v/>
      </c>
      <c r="D10" s="16">
        <f>'STI30 Buybacks'!J10</f>
        <v/>
      </c>
      <c r="E10" s="16">
        <f>'STI30 Dividends'!H10</f>
        <v/>
      </c>
      <c r="F10" s="16">
        <f>'STI30 Offerings'!J10</f>
        <v/>
      </c>
    </row>
    <row r="11">
      <c r="A11" s="16">
        <f>'STI30 Universe'!A12</f>
        <v/>
      </c>
      <c r="B11" s="16">
        <f>'STI30 Universe'!B12</f>
        <v/>
      </c>
      <c r="C11" s="16">
        <f>'STI30 Buybacks'!F11</f>
        <v/>
      </c>
      <c r="D11" s="16">
        <f>'STI30 Buybacks'!J11</f>
        <v/>
      </c>
      <c r="E11" s="16">
        <f>'STI30 Dividends'!H11</f>
        <v/>
      </c>
      <c r="F11" s="16">
        <f>'STI30 Offerings'!J11</f>
        <v/>
      </c>
    </row>
    <row r="12">
      <c r="A12" s="16">
        <f>'STI30 Universe'!A13</f>
        <v/>
      </c>
      <c r="B12" s="16">
        <f>'STI30 Universe'!B13</f>
        <v/>
      </c>
      <c r="C12" s="16">
        <f>'STI30 Buybacks'!F12</f>
        <v/>
      </c>
      <c r="D12" s="16">
        <f>'STI30 Buybacks'!J12</f>
        <v/>
      </c>
      <c r="E12" s="16">
        <f>'STI30 Dividends'!H12</f>
        <v/>
      </c>
      <c r="F12" s="16">
        <f>'STI30 Offerings'!J12</f>
        <v/>
      </c>
    </row>
    <row r="13">
      <c r="A13" s="16">
        <f>'STI30 Universe'!A14</f>
        <v/>
      </c>
      <c r="B13" s="16">
        <f>'STI30 Universe'!B14</f>
        <v/>
      </c>
      <c r="C13" s="16">
        <f>'STI30 Buybacks'!F13</f>
        <v/>
      </c>
      <c r="D13" s="16">
        <f>'STI30 Buybacks'!J13</f>
        <v/>
      </c>
      <c r="E13" s="16">
        <f>'STI30 Dividends'!H13</f>
        <v/>
      </c>
      <c r="F13" s="16">
        <f>'STI30 Offerings'!J13</f>
        <v/>
      </c>
    </row>
    <row r="14">
      <c r="A14" s="16">
        <f>'STI30 Universe'!A15</f>
        <v/>
      </c>
      <c r="B14" s="16">
        <f>'STI30 Universe'!B15</f>
        <v/>
      </c>
      <c r="C14" s="16">
        <f>'STI30 Buybacks'!F14</f>
        <v/>
      </c>
      <c r="D14" s="16">
        <f>'STI30 Buybacks'!J14</f>
        <v/>
      </c>
      <c r="E14" s="16">
        <f>'STI30 Dividends'!H14</f>
        <v/>
      </c>
      <c r="F14" s="16">
        <f>'STI30 Offerings'!J14</f>
        <v/>
      </c>
    </row>
    <row r="15">
      <c r="A15" s="16">
        <f>'STI30 Universe'!A16</f>
        <v/>
      </c>
      <c r="B15" s="16">
        <f>'STI30 Universe'!B16</f>
        <v/>
      </c>
      <c r="C15" s="16">
        <f>'STI30 Buybacks'!F15</f>
        <v/>
      </c>
      <c r="D15" s="16">
        <f>'STI30 Buybacks'!J15</f>
        <v/>
      </c>
      <c r="E15" s="16">
        <f>'STI30 Dividends'!H15</f>
        <v/>
      </c>
      <c r="F15" s="16">
        <f>'STI30 Offerings'!J15</f>
        <v/>
      </c>
    </row>
    <row r="16">
      <c r="A16" s="16">
        <f>'STI30 Universe'!A17</f>
        <v/>
      </c>
      <c r="B16" s="16">
        <f>'STI30 Universe'!B17</f>
        <v/>
      </c>
      <c r="C16" s="16">
        <f>'STI30 Buybacks'!F16</f>
        <v/>
      </c>
      <c r="D16" s="16">
        <f>'STI30 Buybacks'!J16</f>
        <v/>
      </c>
      <c r="E16" s="16">
        <f>'STI30 Dividends'!H16</f>
        <v/>
      </c>
      <c r="F16" s="16">
        <f>'STI30 Offerings'!J16</f>
        <v/>
      </c>
    </row>
    <row r="17">
      <c r="A17" s="16">
        <f>'STI30 Universe'!A18</f>
        <v/>
      </c>
      <c r="B17" s="16">
        <f>'STI30 Universe'!B18</f>
        <v/>
      </c>
      <c r="C17" s="16">
        <f>'STI30 Buybacks'!F17</f>
        <v/>
      </c>
      <c r="D17" s="16">
        <f>'STI30 Buybacks'!J17</f>
        <v/>
      </c>
      <c r="E17" s="16">
        <f>'STI30 Dividends'!H17</f>
        <v/>
      </c>
      <c r="F17" s="16">
        <f>'STI30 Offerings'!J17</f>
        <v/>
      </c>
    </row>
    <row r="18">
      <c r="A18" s="16">
        <f>'STI30 Universe'!A19</f>
        <v/>
      </c>
      <c r="B18" s="16">
        <f>'STI30 Universe'!B19</f>
        <v/>
      </c>
      <c r="C18" s="16">
        <f>'STI30 Buybacks'!F18</f>
        <v/>
      </c>
      <c r="D18" s="16">
        <f>'STI30 Buybacks'!J18</f>
        <v/>
      </c>
      <c r="E18" s="16">
        <f>'STI30 Dividends'!H18</f>
        <v/>
      </c>
      <c r="F18" s="16">
        <f>'STI30 Offerings'!J18</f>
        <v/>
      </c>
    </row>
    <row r="19">
      <c r="A19" s="16">
        <f>'STI30 Universe'!A20</f>
        <v/>
      </c>
      <c r="B19" s="16">
        <f>'STI30 Universe'!B20</f>
        <v/>
      </c>
      <c r="C19" s="16">
        <f>'STI30 Buybacks'!F19</f>
        <v/>
      </c>
      <c r="D19" s="16">
        <f>'STI30 Buybacks'!J19</f>
        <v/>
      </c>
      <c r="E19" s="16">
        <f>'STI30 Dividends'!H19</f>
        <v/>
      </c>
      <c r="F19" s="16">
        <f>'STI30 Offerings'!J19</f>
        <v/>
      </c>
    </row>
    <row r="20">
      <c r="A20" s="16">
        <f>'STI30 Universe'!A21</f>
        <v/>
      </c>
      <c r="B20" s="16">
        <f>'STI30 Universe'!B21</f>
        <v/>
      </c>
      <c r="C20" s="16">
        <f>'STI30 Buybacks'!F20</f>
        <v/>
      </c>
      <c r="D20" s="16">
        <f>'STI30 Buybacks'!J20</f>
        <v/>
      </c>
      <c r="E20" s="16">
        <f>'STI30 Dividends'!H20</f>
        <v/>
      </c>
      <c r="F20" s="16">
        <f>'STI30 Offerings'!J20</f>
        <v/>
      </c>
    </row>
    <row r="21">
      <c r="A21" s="16">
        <f>'STI30 Universe'!A22</f>
        <v/>
      </c>
      <c r="B21" s="16">
        <f>'STI30 Universe'!B22</f>
        <v/>
      </c>
      <c r="C21" s="16">
        <f>'STI30 Buybacks'!F21</f>
        <v/>
      </c>
      <c r="D21" s="16">
        <f>'STI30 Buybacks'!J21</f>
        <v/>
      </c>
      <c r="E21" s="16">
        <f>'STI30 Dividends'!H21</f>
        <v/>
      </c>
      <c r="F21" s="16">
        <f>'STI30 Offerings'!J21</f>
        <v/>
      </c>
    </row>
    <row r="22">
      <c r="A22" s="16">
        <f>'STI30 Universe'!A23</f>
        <v/>
      </c>
      <c r="B22" s="16">
        <f>'STI30 Universe'!B23</f>
        <v/>
      </c>
      <c r="C22" s="16">
        <f>'STI30 Buybacks'!F22</f>
        <v/>
      </c>
      <c r="D22" s="16">
        <f>'STI30 Buybacks'!J22</f>
        <v/>
      </c>
      <c r="E22" s="16">
        <f>'STI30 Dividends'!H22</f>
        <v/>
      </c>
      <c r="F22" s="16">
        <f>'STI30 Offerings'!J22</f>
        <v/>
      </c>
    </row>
    <row r="23">
      <c r="A23" s="16">
        <f>'STI30 Universe'!A24</f>
        <v/>
      </c>
      <c r="B23" s="16">
        <f>'STI30 Universe'!B24</f>
        <v/>
      </c>
      <c r="C23" s="16">
        <f>'STI30 Buybacks'!F23</f>
        <v/>
      </c>
      <c r="D23" s="16">
        <f>'STI30 Buybacks'!J23</f>
        <v/>
      </c>
      <c r="E23" s="16">
        <f>'STI30 Dividends'!H23</f>
        <v/>
      </c>
      <c r="F23" s="16">
        <f>'STI30 Offerings'!J23</f>
        <v/>
      </c>
    </row>
    <row r="24">
      <c r="A24" s="16">
        <f>'STI30 Universe'!A25</f>
        <v/>
      </c>
      <c r="B24" s="16">
        <f>'STI30 Universe'!B25</f>
        <v/>
      </c>
      <c r="C24" s="16">
        <f>'STI30 Buybacks'!F24</f>
        <v/>
      </c>
      <c r="D24" s="16">
        <f>'STI30 Buybacks'!J24</f>
        <v/>
      </c>
      <c r="E24" s="16">
        <f>'STI30 Dividends'!H24</f>
        <v/>
      </c>
      <c r="F24" s="16">
        <f>'STI30 Offerings'!J24</f>
        <v/>
      </c>
    </row>
    <row r="25">
      <c r="A25" s="16">
        <f>'STI30 Universe'!A26</f>
        <v/>
      </c>
      <c r="B25" s="16">
        <f>'STI30 Universe'!B26</f>
        <v/>
      </c>
      <c r="C25" s="16">
        <f>'STI30 Buybacks'!F25</f>
        <v/>
      </c>
      <c r="D25" s="16">
        <f>'STI30 Buybacks'!J25</f>
        <v/>
      </c>
      <c r="E25" s="16">
        <f>'STI30 Dividends'!H25</f>
        <v/>
      </c>
      <c r="F25" s="16">
        <f>'STI30 Offerings'!J25</f>
        <v/>
      </c>
    </row>
    <row r="26">
      <c r="A26" s="16">
        <f>'STI30 Universe'!A27</f>
        <v/>
      </c>
      <c r="B26" s="16">
        <f>'STI30 Universe'!B27</f>
        <v/>
      </c>
      <c r="C26" s="16">
        <f>'STI30 Buybacks'!F26</f>
        <v/>
      </c>
      <c r="D26" s="16">
        <f>'STI30 Buybacks'!J26</f>
        <v/>
      </c>
      <c r="E26" s="16">
        <f>'STI30 Dividends'!H26</f>
        <v/>
      </c>
      <c r="F26" s="16">
        <f>'STI30 Offerings'!J26</f>
        <v/>
      </c>
    </row>
    <row r="27">
      <c r="A27" s="16">
        <f>'STI30 Universe'!A28</f>
        <v/>
      </c>
      <c r="B27" s="16">
        <f>'STI30 Universe'!B28</f>
        <v/>
      </c>
      <c r="C27" s="16">
        <f>'STI30 Buybacks'!F27</f>
        <v/>
      </c>
      <c r="D27" s="16">
        <f>'STI30 Buybacks'!J27</f>
        <v/>
      </c>
      <c r="E27" s="16">
        <f>'STI30 Dividends'!H27</f>
        <v/>
      </c>
      <c r="F27" s="16">
        <f>'STI30 Offerings'!J27</f>
        <v/>
      </c>
    </row>
    <row r="28">
      <c r="A28" s="16">
        <f>'STI30 Universe'!A29</f>
        <v/>
      </c>
      <c r="B28" s="16">
        <f>'STI30 Universe'!B29</f>
        <v/>
      </c>
      <c r="C28" s="16">
        <f>'STI30 Buybacks'!F28</f>
        <v/>
      </c>
      <c r="D28" s="16">
        <f>'STI30 Buybacks'!J28</f>
        <v/>
      </c>
      <c r="E28" s="16">
        <f>'STI30 Dividends'!H28</f>
        <v/>
      </c>
      <c r="F28" s="16">
        <f>'STI30 Offerings'!J28</f>
        <v/>
      </c>
    </row>
    <row r="29">
      <c r="A29" s="16">
        <f>'STI30 Universe'!A30</f>
        <v/>
      </c>
      <c r="B29" s="16">
        <f>'STI30 Universe'!B30</f>
        <v/>
      </c>
      <c r="C29" s="16">
        <f>'STI30 Buybacks'!F29</f>
        <v/>
      </c>
      <c r="D29" s="16">
        <f>'STI30 Buybacks'!J29</f>
        <v/>
      </c>
      <c r="E29" s="16">
        <f>'STI30 Dividends'!H29</f>
        <v/>
      </c>
      <c r="F29" s="16">
        <f>'STI30 Offerings'!J29</f>
        <v/>
      </c>
    </row>
    <row r="30">
      <c r="A30" s="16">
        <f>'STI30 Universe'!A31</f>
        <v/>
      </c>
      <c r="B30" s="16">
        <f>'STI30 Universe'!B31</f>
        <v/>
      </c>
      <c r="C30" s="16">
        <f>'STI30 Buybacks'!F30</f>
        <v/>
      </c>
      <c r="D30" s="16">
        <f>'STI30 Buybacks'!J30</f>
        <v/>
      </c>
      <c r="E30" s="16">
        <f>'STI30 Dividends'!H30</f>
        <v/>
      </c>
      <c r="F30" s="16">
        <f>'STI30 Offerings'!J30</f>
        <v/>
      </c>
    </row>
    <row r="31">
      <c r="A31" s="16">
        <f>'STI30 Universe'!A32</f>
        <v/>
      </c>
      <c r="B31" s="16">
        <f>'STI30 Universe'!B32</f>
        <v/>
      </c>
      <c r="C31" s="16">
        <f>'STI30 Buybacks'!F31</f>
        <v/>
      </c>
      <c r="D31" s="16">
        <f>'STI30 Buybacks'!J31</f>
        <v/>
      </c>
      <c r="E31" s="16">
        <f>'STI30 Dividends'!H31</f>
        <v/>
      </c>
      <c r="F31" s="16">
        <f>'STI30 Offerings'!J31</f>
        <v/>
      </c>
    </row>
    <row r="32">
      <c r="A32" s="16">
        <f>'STI30 Universe'!A33</f>
        <v/>
      </c>
      <c r="B32" s="16">
        <f>'STI30 Universe'!B33</f>
        <v/>
      </c>
      <c r="C32" s="16">
        <f>'STI30 Buybacks'!F32</f>
        <v/>
      </c>
      <c r="D32" s="16">
        <f>'STI30 Buybacks'!J32</f>
        <v/>
      </c>
      <c r="E32" s="16">
        <f>'STI30 Dividends'!H32</f>
        <v/>
      </c>
      <c r="F32" s="16">
        <f>'STI30 Offerings'!J32</f>
        <v/>
      </c>
    </row>
    <row r="33">
      <c r="A33" s="16">
        <f>'STI30 Universe'!A34</f>
        <v/>
      </c>
      <c r="B33" s="16">
        <f>'STI30 Universe'!B34</f>
        <v/>
      </c>
      <c r="C33" s="16">
        <f>'STI30 Buybacks'!F33</f>
        <v/>
      </c>
      <c r="D33" s="16">
        <f>'STI30 Buybacks'!J33</f>
        <v/>
      </c>
      <c r="E33" s="16">
        <f>'STI30 Dividends'!H33</f>
        <v/>
      </c>
      <c r="F33" s="16">
        <f>'STI30 Offerings'!J33</f>
        <v/>
      </c>
    </row>
  </sheetData>
  <mergeCells count="2">
    <mergeCell ref="A1:F1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22" customWidth="1" min="4" max="4"/>
    <col width="18" customWidth="1" min="5" max="5"/>
  </cols>
  <sheetData>
    <row r="1" ht="22" customHeight="1">
      <c r="A1" s="13" t="inlineStr">
        <is>
          <t>Universe — STI Top 30 Constituents</t>
        </is>
      </c>
    </row>
    <row r="3">
      <c r="A3" s="14" t="inlineStr">
        <is>
          <t>Ticker (Bloomberg)</t>
        </is>
      </c>
      <c r="B3" s="14" t="inlineStr">
        <is>
          <t>Company Name</t>
        </is>
      </c>
      <c r="C3" s="14" t="inlineStr">
        <is>
          <t>Market Cap</t>
        </is>
      </c>
      <c r="D3" s="14" t="inlineStr">
        <is>
          <t>GICS Sector</t>
        </is>
      </c>
      <c r="E3" s="14" t="inlineStr">
        <is>
          <t>Primary Exchange</t>
        </is>
      </c>
    </row>
    <row r="4">
      <c r="A4" s="15" t="inlineStr">
        <is>
          <t>(static snapshot from source Universe tab — re-run your BQL universe pull to refresh tickers/names/sectors)</t>
        </is>
      </c>
    </row>
    <row r="5">
      <c r="A5" s="16" t="inlineStr">
        <is>
          <t>DBS SP Equity</t>
        </is>
      </c>
      <c r="B5" s="16" t="inlineStr">
        <is>
          <t>DBS Group Holdings Ltd</t>
        </is>
      </c>
      <c r="C5" s="17" t="n">
        <v>220694324190.8018</v>
      </c>
      <c r="D5" s="16" t="inlineStr">
        <is>
          <t>Financials</t>
        </is>
      </c>
      <c r="E5" s="16" t="inlineStr">
        <is>
          <t>Singapore</t>
        </is>
      </c>
    </row>
    <row r="6">
      <c r="A6" s="16" t="inlineStr">
        <is>
          <t>OCBC SP Equity</t>
        </is>
      </c>
      <c r="B6" s="16" t="inlineStr">
        <is>
          <t>Oversea-Chinese Banking Corp L</t>
        </is>
      </c>
      <c r="C6" s="17" t="n">
        <v>143622089259.8761</v>
      </c>
      <c r="D6" s="16" t="inlineStr">
        <is>
          <t>Financials</t>
        </is>
      </c>
      <c r="E6" s="16" t="inlineStr">
        <is>
          <t>Singapore</t>
        </is>
      </c>
    </row>
    <row r="7">
      <c r="A7" s="16" t="inlineStr">
        <is>
          <t>ST SP Equity</t>
        </is>
      </c>
      <c r="B7" s="16" t="inlineStr">
        <is>
          <t>Singapore Telecommunications L</t>
        </is>
      </c>
      <c r="C7" s="17" t="n">
        <v>72707904836.84036</v>
      </c>
      <c r="D7" s="16" t="inlineStr">
        <is>
          <t>Communication Services</t>
        </is>
      </c>
      <c r="E7" s="16" t="inlineStr">
        <is>
          <t>Singapore</t>
        </is>
      </c>
    </row>
    <row r="8">
      <c r="A8" s="16" t="inlineStr">
        <is>
          <t>UOB SP Equity</t>
        </is>
      </c>
      <c r="B8" s="16" t="inlineStr">
        <is>
          <t>United Overseas Bank Ltd</t>
        </is>
      </c>
      <c r="C8" s="17" t="n">
        <v>70135384330.56314</v>
      </c>
      <c r="D8" s="16" t="inlineStr">
        <is>
          <t>Financials</t>
        </is>
      </c>
      <c r="E8" s="16" t="inlineStr">
        <is>
          <t>Singapore</t>
        </is>
      </c>
    </row>
    <row r="9">
      <c r="A9" s="16" t="inlineStr">
        <is>
          <t>STE SP Equity</t>
        </is>
      </c>
      <c r="B9" s="16" t="inlineStr">
        <is>
          <t>Singapore Technologies Enginee</t>
        </is>
      </c>
      <c r="C9" s="17" t="n">
        <v>31895143600.02214</v>
      </c>
      <c r="D9" s="16" t="inlineStr">
        <is>
          <t>Industrials</t>
        </is>
      </c>
      <c r="E9" s="16" t="inlineStr">
        <is>
          <t>Singapore</t>
        </is>
      </c>
    </row>
    <row r="10">
      <c r="A10" s="16" t="inlineStr">
        <is>
          <t>SGX SP Equity</t>
        </is>
      </c>
      <c r="B10" s="16" t="inlineStr">
        <is>
          <t>Singapore Exchange Ltd</t>
        </is>
      </c>
      <c r="C10" s="17" t="n">
        <v>24425939298.14788</v>
      </c>
      <c r="D10" s="16" t="inlineStr">
        <is>
          <t>Financials</t>
        </is>
      </c>
      <c r="E10" s="16" t="inlineStr">
        <is>
          <t>Singapore</t>
        </is>
      </c>
    </row>
    <row r="11">
      <c r="A11" s="16" t="inlineStr">
        <is>
          <t>WIL SP Equity</t>
        </is>
      </c>
      <c r="B11" s="16" t="inlineStr">
        <is>
          <t>Wilmar International Ltd</t>
        </is>
      </c>
      <c r="C11" s="17" t="n">
        <v>23101906584.92561</v>
      </c>
      <c r="D11" s="16" t="inlineStr">
        <is>
          <t>Consumer Staples</t>
        </is>
      </c>
      <c r="E11" s="16" t="inlineStr">
        <is>
          <t>Singapore</t>
        </is>
      </c>
    </row>
    <row r="12">
      <c r="A12" s="16" t="inlineStr">
        <is>
          <t>SIA SP Equity</t>
        </is>
      </c>
      <c r="B12" s="16" t="inlineStr">
        <is>
          <t>Singapore Airlines Ltd</t>
        </is>
      </c>
      <c r="C12" s="17" t="n">
        <v>20877285473.19127</v>
      </c>
      <c r="D12" s="16" t="inlineStr">
        <is>
          <t>Industrials</t>
        </is>
      </c>
      <c r="E12" s="16" t="inlineStr">
        <is>
          <t>Singapore</t>
        </is>
      </c>
    </row>
    <row r="13">
      <c r="A13" s="16" t="inlineStr">
        <is>
          <t>KEP SP Equity</t>
        </is>
      </c>
      <c r="B13" s="16" t="inlineStr">
        <is>
          <t>Keppel Ltd</t>
        </is>
      </c>
      <c r="C13" s="17" t="n">
        <v>20332637385.65031</v>
      </c>
      <c r="D13" s="16" t="inlineStr">
        <is>
          <t>Industrials</t>
        </is>
      </c>
      <c r="E13" s="16" t="inlineStr">
        <is>
          <t>Singapore</t>
        </is>
      </c>
    </row>
    <row r="14">
      <c r="A14" s="16" t="inlineStr">
        <is>
          <t>YZJSGD SP Equity</t>
        </is>
      </c>
      <c r="B14" s="16" t="inlineStr">
        <is>
          <t>Yangzijiang Shipbuilding Holdi</t>
        </is>
      </c>
      <c r="C14" s="17" t="n">
        <v>20189573148.99244</v>
      </c>
      <c r="D14" s="16" t="inlineStr">
        <is>
          <t>Industrials</t>
        </is>
      </c>
      <c r="E14" s="16" t="inlineStr">
        <is>
          <t>Singapore</t>
        </is>
      </c>
    </row>
    <row r="15">
      <c r="A15" s="16" t="inlineStr">
        <is>
          <t>CICT SP Equity</t>
        </is>
      </c>
      <c r="B15" s="16" t="inlineStr">
        <is>
          <t>CapitaLand Integrated Commerci</t>
        </is>
      </c>
      <c r="C15" s="17" t="n">
        <v>18180830474.98064</v>
      </c>
      <c r="D15" s="16" t="inlineStr">
        <is>
          <t>Real Estate</t>
        </is>
      </c>
      <c r="E15" s="16" t="inlineStr">
        <is>
          <t>Singapore</t>
        </is>
      </c>
    </row>
    <row r="16">
      <c r="A16" s="16" t="inlineStr">
        <is>
          <t>CLI SP Equity</t>
        </is>
      </c>
      <c r="B16" s="16" t="inlineStr">
        <is>
          <t>CapitaLand Investment Ltd/Sing</t>
        </is>
      </c>
      <c r="C16" s="17" t="n">
        <v>13132988014.07431</v>
      </c>
      <c r="D16" s="16" t="inlineStr">
        <is>
          <t>Real Estate</t>
        </is>
      </c>
      <c r="E16" s="16" t="inlineStr">
        <is>
          <t>Singapore</t>
        </is>
      </c>
    </row>
    <row r="17">
      <c r="A17" s="16" t="inlineStr">
        <is>
          <t>CLAR SP Equity</t>
        </is>
      </c>
      <c r="B17" s="16" t="inlineStr">
        <is>
          <t>CapitaLand Ascendas REIT</t>
        </is>
      </c>
      <c r="C17" s="17" t="n">
        <v>11588897392.37345</v>
      </c>
      <c r="D17" s="16" t="inlineStr">
        <is>
          <t>Real Estate</t>
        </is>
      </c>
      <c r="E17" s="16" t="inlineStr">
        <is>
          <t>Singapore</t>
        </is>
      </c>
    </row>
    <row r="18">
      <c r="A18" s="16" t="inlineStr">
        <is>
          <t>THBEV SP Equity</t>
        </is>
      </c>
      <c r="B18" s="16" t="inlineStr">
        <is>
          <t>Thai Beverage PCL</t>
        </is>
      </c>
      <c r="C18" s="17" t="n">
        <v>11309258464.75695</v>
      </c>
      <c r="D18" s="16" t="inlineStr">
        <is>
          <t>Consumer Staples</t>
        </is>
      </c>
      <c r="E18" s="16" t="inlineStr">
        <is>
          <t>Singapore</t>
        </is>
      </c>
    </row>
    <row r="19">
      <c r="A19" s="16" t="inlineStr">
        <is>
          <t>SCI SP Equity</t>
        </is>
      </c>
      <c r="B19" s="16" t="inlineStr">
        <is>
          <t>Sembcorp Industries Ltd</t>
        </is>
      </c>
      <c r="C19" s="17" t="n">
        <v>10807116065.6884</v>
      </c>
      <c r="D19" s="16" t="inlineStr">
        <is>
          <t>Utilities</t>
        </is>
      </c>
      <c r="E19" s="16" t="inlineStr">
        <is>
          <t>Singapore</t>
        </is>
      </c>
    </row>
    <row r="20">
      <c r="A20" s="16" t="inlineStr">
        <is>
          <t>GENS SP Equity</t>
        </is>
      </c>
      <c r="B20" s="16" t="inlineStr">
        <is>
          <t>Genting Singapore Ltd</t>
        </is>
      </c>
      <c r="C20" s="17" t="n">
        <v>7358821959.711787</v>
      </c>
      <c r="D20" s="16" t="inlineStr">
        <is>
          <t>Consumer Discretionary</t>
        </is>
      </c>
      <c r="E20" s="16" t="inlineStr">
        <is>
          <t>Singapore</t>
        </is>
      </c>
    </row>
    <row r="21">
      <c r="A21" s="16" t="inlineStr">
        <is>
          <t>CIT SP Equity</t>
        </is>
      </c>
      <c r="B21" s="16" t="inlineStr">
        <is>
          <t>City Developments Ltd</t>
        </is>
      </c>
      <c r="C21" s="17" t="n">
        <v>7263356167.141715</v>
      </c>
      <c r="D21" s="16" t="inlineStr">
        <is>
          <t>Real Estate</t>
        </is>
      </c>
      <c r="E21" s="16" t="inlineStr">
        <is>
          <t>Singapore</t>
        </is>
      </c>
    </row>
    <row r="22">
      <c r="A22" s="16" t="inlineStr">
        <is>
          <t>STM SP Equity</t>
        </is>
      </c>
      <c r="B22" s="16" t="inlineStr">
        <is>
          <t>Seatrium Ltd</t>
        </is>
      </c>
      <c r="C22" s="17" t="n">
        <v>7231487260.952133</v>
      </c>
      <c r="D22" s="16" t="inlineStr">
        <is>
          <t>Industrials</t>
        </is>
      </c>
      <c r="E22" s="16" t="inlineStr">
        <is>
          <t>Singapore</t>
        </is>
      </c>
    </row>
    <row r="23">
      <c r="A23" s="16" t="inlineStr">
        <is>
          <t>UOL SP Equity</t>
        </is>
      </c>
      <c r="B23" s="16" t="inlineStr">
        <is>
          <t>UOL Group Ltd</t>
        </is>
      </c>
      <c r="C23" s="17" t="n">
        <v>7218453084.473969</v>
      </c>
      <c r="D23" s="16" t="inlineStr">
        <is>
          <t>Real Estate</t>
        </is>
      </c>
      <c r="E23" s="16" t="inlineStr">
        <is>
          <t>Singapore</t>
        </is>
      </c>
    </row>
    <row r="24">
      <c r="A24" s="16" t="inlineStr">
        <is>
          <t>MPACT SP Equity</t>
        </is>
      </c>
      <c r="B24" s="16" t="inlineStr">
        <is>
          <t>Mapletree Pan Asia Commercial</t>
        </is>
      </c>
      <c r="C24" s="17" t="n">
        <v>6292503726.14137</v>
      </c>
      <c r="D24" s="16" t="inlineStr">
        <is>
          <t>Real Estate</t>
        </is>
      </c>
      <c r="E24" s="16" t="inlineStr">
        <is>
          <t>Singapore</t>
        </is>
      </c>
    </row>
    <row r="25">
      <c r="A25" s="16" t="inlineStr">
        <is>
          <t>DFI SP Equity</t>
        </is>
      </c>
      <c r="B25" s="16" t="inlineStr">
        <is>
          <t>DFI Retail Group Holdings Ltd</t>
        </is>
      </c>
      <c r="C25" s="17" t="n">
        <v>6106297904.81723</v>
      </c>
      <c r="D25" s="16" t="inlineStr">
        <is>
          <t>Consumer Staples</t>
        </is>
      </c>
      <c r="E25" s="16" t="inlineStr">
        <is>
          <t>Singapore</t>
        </is>
      </c>
    </row>
    <row r="26">
      <c r="A26" s="16" t="inlineStr">
        <is>
          <t>KDCREIT SP Equity</t>
        </is>
      </c>
      <c r="B26" s="16" t="inlineStr">
        <is>
          <t>Keppel DC REIT</t>
        </is>
      </c>
      <c r="C26" s="17" t="n">
        <v>5874782230.965585</v>
      </c>
      <c r="D26" s="16" t="inlineStr">
        <is>
          <t>Real Estate</t>
        </is>
      </c>
      <c r="E26" s="16" t="inlineStr">
        <is>
          <t>Singapore</t>
        </is>
      </c>
    </row>
    <row r="27">
      <c r="A27" s="16" t="inlineStr">
        <is>
          <t>SATS SP Equity</t>
        </is>
      </c>
      <c r="B27" s="16" t="inlineStr">
        <is>
          <t>SATS Ltd</t>
        </is>
      </c>
      <c r="C27" s="17" t="n">
        <v>5797244011.061091</v>
      </c>
      <c r="D27" s="16" t="inlineStr">
        <is>
          <t>Industrials</t>
        </is>
      </c>
      <c r="E27" s="16" t="inlineStr">
        <is>
          <t>Singapore</t>
        </is>
      </c>
    </row>
    <row r="28">
      <c r="A28" s="16" t="inlineStr">
        <is>
          <t>MLT SP Equity</t>
        </is>
      </c>
      <c r="B28" s="16" t="inlineStr">
        <is>
          <t>Mapletree Logistics Trust</t>
        </is>
      </c>
      <c r="C28" s="17" t="n">
        <v>5755655243.384557</v>
      </c>
      <c r="D28" s="16" t="inlineStr">
        <is>
          <t>Real Estate</t>
        </is>
      </c>
      <c r="E28" s="16" t="inlineStr">
        <is>
          <t>Singapore</t>
        </is>
      </c>
    </row>
    <row r="29">
      <c r="A29" s="16" t="inlineStr">
        <is>
          <t>MINT SP Equity</t>
        </is>
      </c>
      <c r="B29" s="16" t="inlineStr">
        <is>
          <t>Mapletree Industrial Trust</t>
        </is>
      </c>
      <c r="C29" s="17" t="n">
        <v>5426073160.411755</v>
      </c>
      <c r="D29" s="16" t="inlineStr">
        <is>
          <t>Real Estate</t>
        </is>
      </c>
      <c r="E29" s="16" t="inlineStr">
        <is>
          <t>Singapore</t>
        </is>
      </c>
    </row>
    <row r="30">
      <c r="A30" s="16" t="inlineStr">
        <is>
          <t>VMS SP Equity</t>
        </is>
      </c>
      <c r="B30" s="16" t="inlineStr">
        <is>
          <t>Venture Corp Ltd</t>
        </is>
      </c>
      <c r="C30" s="17" t="n">
        <v>4821845237.372171</v>
      </c>
      <c r="D30" s="16" t="inlineStr">
        <is>
          <t>Information Technology</t>
        </is>
      </c>
      <c r="E30" s="16" t="inlineStr">
        <is>
          <t>Singapore</t>
        </is>
      </c>
    </row>
    <row r="31">
      <c r="A31" s="16" t="inlineStr">
        <is>
          <t>FCT SP Equity</t>
        </is>
      </c>
      <c r="B31" s="16" t="inlineStr">
        <is>
          <t>Frasers Centrepoint Trust</t>
        </is>
      </c>
      <c r="C31" s="17" t="n">
        <v>4262147323.035046</v>
      </c>
      <c r="D31" s="16" t="inlineStr">
        <is>
          <t>Real Estate</t>
        </is>
      </c>
      <c r="E31" s="16" t="inlineStr">
        <is>
          <t>Singapore</t>
        </is>
      </c>
    </row>
    <row r="32">
      <c r="A32" s="16" t="inlineStr">
        <is>
          <t>FLT SP Equity</t>
        </is>
      </c>
      <c r="B32" s="16" t="inlineStr">
        <is>
          <t>Frasers Logistics &amp; Commercial</t>
        </is>
      </c>
      <c r="C32" s="17" t="n">
        <v>3408705116.606546</v>
      </c>
      <c r="D32" s="16" t="inlineStr">
        <is>
          <t>Real Estate</t>
        </is>
      </c>
      <c r="E32" s="16" t="inlineStr">
        <is>
          <t>Singapore</t>
        </is>
      </c>
    </row>
    <row r="33">
      <c r="A33" s="18" t="inlineStr">
        <is>
          <t>JM SP Equity</t>
        </is>
      </c>
      <c r="B33" s="19" t="inlineStr">
        <is>
          <t>ADD MANUALLY: Jardine Matheson Holdings Ltd</t>
        </is>
      </c>
      <c r="C33" s="16" t="n"/>
      <c r="D33" s="16" t="n"/>
      <c r="E33" s="16" t="n"/>
    </row>
    <row r="34">
      <c r="A34" s="18" t="inlineStr">
        <is>
          <t>HKL SP Equity</t>
        </is>
      </c>
      <c r="B34" s="19" t="inlineStr">
        <is>
          <t>ADD MANUALLY: Hongkong Land Holdings Ltd</t>
        </is>
      </c>
      <c r="C34" s="16" t="n"/>
      <c r="D34" s="16" t="n"/>
      <c r="E34" s="16" t="n"/>
    </row>
  </sheetData>
  <mergeCells count="2">
    <mergeCell ref="A1:E1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6" customWidth="1" min="4" max="4"/>
    <col width="10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22" customHeight="1">
      <c r="A1" s="13" t="inlineStr">
        <is>
          <t>Share Buyback Tracker — STI Top 30</t>
        </is>
      </c>
    </row>
    <row r="3">
      <c r="A3" s="14" t="inlineStr">
        <is>
          <t>Ticker</t>
        </is>
      </c>
      <c r="B3" s="14" t="inlineStr">
        <is>
          <t>Company Name</t>
        </is>
      </c>
      <c r="C3" s="14" t="inlineStr">
        <is>
          <t>Shares Out
Today</t>
        </is>
      </c>
      <c r="D3" s="14">
        <f>CONCATENATE("Shares Out ",Settings!B4, IF(Settings!B4&gt;1," Wks Ago"," Wk Ago"))</f>
        <v/>
      </c>
      <c r="E3" s="14" t="inlineStr">
        <is>
          <t>% Change</t>
        </is>
      </c>
      <c r="F3" s="14" t="inlineStr">
        <is>
          <t>Buyback Flag</t>
        </is>
      </c>
      <c r="G3" s="14" t="inlineStr">
        <is>
          <t>Avg Vol (30D)</t>
        </is>
      </c>
      <c r="H3" s="14" t="inlineStr">
        <is>
          <t>Volume — Today</t>
        </is>
      </c>
      <c r="I3" s="14" t="inlineStr">
        <is>
          <t>Vol vs Avg (x)</t>
        </is>
      </c>
      <c r="J3" s="14" t="inlineStr">
        <is>
          <t>Volume Flag</t>
        </is>
      </c>
    </row>
    <row r="4">
      <c r="A4" s="16">
        <f>'STI30 Universe'!A5</f>
        <v/>
      </c>
      <c r="B4" s="22">
        <f>IFERROR(_xll.BDP(A4,"NAME"),"")</f>
        <v/>
      </c>
      <c r="C4" s="22">
        <f>IFERROR(_xll.BDP(A4,"EQY_SH_OUT"),NA())</f>
        <v/>
      </c>
      <c r="D4" s="22">
        <f>IFERROR(_xll.BDH(A4,"EQY_SH_OUT","-"&amp;Settings!$B$4&amp;"AW","-"&amp;Settings!$B$4&amp;"AW","days=a","fill=p"),NA())</f>
        <v/>
      </c>
      <c r="E4" s="23">
        <f>IFERROR((C4-D4)/D4,NA())</f>
        <v/>
      </c>
      <c r="F4" s="16">
        <f>IF(ISNUMBER(E4),IF(E4&lt;=Settings!$B$6,"BUYBACK ACTIVITY",""),"")</f>
        <v/>
      </c>
      <c r="G4" s="22">
        <f>IFERROR(_xll.BDP(A4,"VOLUME_AVG_30D"),NA())</f>
        <v/>
      </c>
      <c r="H4" s="22">
        <f>IFERROR(_xll.BDP(A4,"PX_VOLUME"),NA())</f>
        <v/>
      </c>
      <c r="I4" s="16">
        <f>IFERROR(H4/G4,NA())</f>
        <v/>
      </c>
      <c r="J4" s="16">
        <f>IF(ISNUMBER(I4),IF(I4&gt;=Settings!$B$7,"VOL SPIKE",""),"")</f>
        <v/>
      </c>
    </row>
    <row r="5">
      <c r="A5" s="16">
        <f>'STI30 Universe'!A6</f>
        <v/>
      </c>
      <c r="B5" s="22">
        <f>IFERROR(_xll.BDP(A5,"NAME"),"")</f>
        <v/>
      </c>
      <c r="C5" s="22">
        <f>IFERROR(_xll.BDP(A5,"EQY_SH_OUT"),NA())</f>
        <v/>
      </c>
      <c r="D5" s="22">
        <f>IFERROR(_xll.BDH(A5,"EQY_SH_OUT","-"&amp;Settings!$B$4&amp;"AW","-"&amp;Settings!$B$4&amp;"AW","days=a","fill=p"),NA())</f>
        <v/>
      </c>
      <c r="E5" s="23">
        <f>IFERROR((C5-D5)/D5,NA())</f>
        <v/>
      </c>
      <c r="F5" s="16">
        <f>IF(ISNUMBER(E5),IF(E5&lt;=Settings!$B$6,"BUYBACK ACTIVITY",""),"")</f>
        <v/>
      </c>
      <c r="G5" s="22">
        <f>IFERROR(_xll.BDP(A5,"VOLUME_AVG_30D"),NA())</f>
        <v/>
      </c>
      <c r="H5" s="22">
        <f>IFERROR(_xll.BDP(A5,"PX_VOLUME"),NA())</f>
        <v/>
      </c>
      <c r="I5" s="16">
        <f>IFERROR(H5/G5,NA())</f>
        <v/>
      </c>
      <c r="J5" s="16">
        <f>IF(ISNUMBER(I5),IF(I5&gt;=Settings!$B$7,"VOL SPIKE",""),"")</f>
        <v/>
      </c>
    </row>
    <row r="6">
      <c r="A6" s="16">
        <f>'STI30 Universe'!A7</f>
        <v/>
      </c>
      <c r="B6" s="22">
        <f>IFERROR(_xll.BDP(A6,"NAME"),"")</f>
        <v/>
      </c>
      <c r="C6" s="22">
        <f>IFERROR(_xll.BDP(A6,"EQY_SH_OUT"),NA())</f>
        <v/>
      </c>
      <c r="D6" s="22">
        <f>IFERROR(_xll.BDH(A6,"EQY_SH_OUT","-"&amp;Settings!$B$4&amp;"AW","-"&amp;Settings!$B$4&amp;"AW","days=a","fill=p"),NA())</f>
        <v/>
      </c>
      <c r="E6" s="23">
        <f>IFERROR((C6-D6)/D6,NA())</f>
        <v/>
      </c>
      <c r="F6" s="16">
        <f>IF(ISNUMBER(E6),IF(E6&lt;=Settings!$B$6,"BUYBACK ACTIVITY",""),"")</f>
        <v/>
      </c>
      <c r="G6" s="22">
        <f>IFERROR(_xll.BDP(A6,"VOLUME_AVG_30D"),NA())</f>
        <v/>
      </c>
      <c r="H6" s="22">
        <f>IFERROR(_xll.BDP(A6,"PX_VOLUME"),NA())</f>
        <v/>
      </c>
      <c r="I6" s="16">
        <f>IFERROR(H6/G6,NA())</f>
        <v/>
      </c>
      <c r="J6" s="16">
        <f>IF(ISNUMBER(I6),IF(I6&gt;=Settings!$B$7,"VOL SPIKE",""),"")</f>
        <v/>
      </c>
    </row>
    <row r="7">
      <c r="A7" s="16">
        <f>'STI30 Universe'!A8</f>
        <v/>
      </c>
      <c r="B7" s="22">
        <f>IFERROR(_xll.BDP(A7,"NAME"),"")</f>
        <v/>
      </c>
      <c r="C7" s="22">
        <f>IFERROR(_xll.BDP(A7,"EQY_SH_OUT"),NA())</f>
        <v/>
      </c>
      <c r="D7" s="22">
        <f>IFERROR(_xll.BDH(A7,"EQY_SH_OUT","-"&amp;Settings!$B$4&amp;"AW","-"&amp;Settings!$B$4&amp;"AW","days=a","fill=p"),NA())</f>
        <v/>
      </c>
      <c r="E7" s="23">
        <f>IFERROR((C7-D7)/D7,NA())</f>
        <v/>
      </c>
      <c r="F7" s="16">
        <f>IF(ISNUMBER(E7),IF(E7&lt;=Settings!$B$6,"BUYBACK ACTIVITY",""),"")</f>
        <v/>
      </c>
      <c r="G7" s="22">
        <f>IFERROR(_xll.BDP(A7,"VOLUME_AVG_30D"),NA())</f>
        <v/>
      </c>
      <c r="H7" s="22">
        <f>IFERROR(_xll.BDP(A7,"PX_VOLUME"),NA())</f>
        <v/>
      </c>
      <c r="I7" s="16">
        <f>IFERROR(H7/G7,NA())</f>
        <v/>
      </c>
      <c r="J7" s="16">
        <f>IF(ISNUMBER(I7),IF(I7&gt;=Settings!$B$7,"VOL SPIKE",""),"")</f>
        <v/>
      </c>
    </row>
    <row r="8">
      <c r="A8" s="16">
        <f>'STI30 Universe'!A9</f>
        <v/>
      </c>
      <c r="B8" s="22">
        <f>IFERROR(_xll.BDP(A8,"NAME"),"")</f>
        <v/>
      </c>
      <c r="C8" s="22">
        <f>IFERROR(_xll.BDP(A8,"EQY_SH_OUT"),NA())</f>
        <v/>
      </c>
      <c r="D8" s="22">
        <f>IFERROR(_xll.BDH(A8,"EQY_SH_OUT","-"&amp;Settings!$B$4&amp;"AW","-"&amp;Settings!$B$4&amp;"AW","days=a","fill=p"),NA())</f>
        <v/>
      </c>
      <c r="E8" s="23">
        <f>IFERROR((C8-D8)/D8,NA())</f>
        <v/>
      </c>
      <c r="F8" s="16">
        <f>IF(ISNUMBER(E8),IF(E8&lt;=Settings!$B$6,"BUYBACK ACTIVITY",""),"")</f>
        <v/>
      </c>
      <c r="G8" s="22">
        <f>IFERROR(_xll.BDP(A8,"VOLUME_AVG_30D"),NA())</f>
        <v/>
      </c>
      <c r="H8" s="22">
        <f>IFERROR(_xll.BDP(A8,"PX_VOLUME"),NA())</f>
        <v/>
      </c>
      <c r="I8" s="16">
        <f>IFERROR(H8/G8,NA())</f>
        <v/>
      </c>
      <c r="J8" s="16">
        <f>IF(ISNUMBER(I8),IF(I8&gt;=Settings!$B$7,"VOL SPIKE",""),"")</f>
        <v/>
      </c>
    </row>
    <row r="9">
      <c r="A9" s="16">
        <f>'STI30 Universe'!A10</f>
        <v/>
      </c>
      <c r="B9" s="22">
        <f>IFERROR(_xll.BDP(A9,"NAME"),"")</f>
        <v/>
      </c>
      <c r="C9" s="22">
        <f>IFERROR(_xll.BDP(A9,"EQY_SH_OUT"),NA())</f>
        <v/>
      </c>
      <c r="D9" s="22">
        <f>IFERROR(_xll.BDH(A9,"EQY_SH_OUT","-"&amp;Settings!$B$4&amp;"AW","-"&amp;Settings!$B$4&amp;"AW","days=a","fill=p"),NA())</f>
        <v/>
      </c>
      <c r="E9" s="23">
        <f>IFERROR((C9-D9)/D9,NA())</f>
        <v/>
      </c>
      <c r="F9" s="16">
        <f>IF(ISNUMBER(E9),IF(E9&lt;=Settings!$B$6,"BUYBACK ACTIVITY",""),"")</f>
        <v/>
      </c>
      <c r="G9" s="22">
        <f>IFERROR(_xll.BDP(A9,"VOLUME_AVG_30D"),NA())</f>
        <v/>
      </c>
      <c r="H9" s="22">
        <f>IFERROR(_xll.BDP(A9,"PX_VOLUME"),NA())</f>
        <v/>
      </c>
      <c r="I9" s="16">
        <f>IFERROR(H9/G9,NA())</f>
        <v/>
      </c>
      <c r="J9" s="16">
        <f>IF(ISNUMBER(I9),IF(I9&gt;=Settings!$B$7,"VOL SPIKE",""),"")</f>
        <v/>
      </c>
    </row>
    <row r="10">
      <c r="A10" s="16">
        <f>'STI30 Universe'!A11</f>
        <v/>
      </c>
      <c r="B10" s="22">
        <f>IFERROR(_xll.BDP(A10,"NAME"),"")</f>
        <v/>
      </c>
      <c r="C10" s="22">
        <f>IFERROR(_xll.BDP(A10,"EQY_SH_OUT"),NA())</f>
        <v/>
      </c>
      <c r="D10" s="22">
        <f>IFERROR(_xll.BDH(A10,"EQY_SH_OUT","-"&amp;Settings!$B$4&amp;"AW","-"&amp;Settings!$B$4&amp;"AW","days=a","fill=p"),NA())</f>
        <v/>
      </c>
      <c r="E10" s="23">
        <f>IFERROR((C10-D10)/D10,NA())</f>
        <v/>
      </c>
      <c r="F10" s="16">
        <f>IF(ISNUMBER(E10),IF(E10&lt;=Settings!$B$6,"BUYBACK ACTIVITY",""),"")</f>
        <v/>
      </c>
      <c r="G10" s="22">
        <f>IFERROR(_xll.BDP(A10,"VOLUME_AVG_30D"),NA())</f>
        <v/>
      </c>
      <c r="H10" s="22">
        <f>IFERROR(_xll.BDP(A10,"PX_VOLUME"),NA())</f>
        <v/>
      </c>
      <c r="I10" s="16">
        <f>IFERROR(H10/G10,NA())</f>
        <v/>
      </c>
      <c r="J10" s="16">
        <f>IF(ISNUMBER(I10),IF(I10&gt;=Settings!$B$7,"VOL SPIKE",""),"")</f>
        <v/>
      </c>
    </row>
    <row r="11">
      <c r="A11" s="16">
        <f>'STI30 Universe'!A12</f>
        <v/>
      </c>
      <c r="B11" s="22">
        <f>IFERROR(_xll.BDP(A11,"NAME"),"")</f>
        <v/>
      </c>
      <c r="C11" s="22">
        <f>IFERROR(_xll.BDP(A11,"EQY_SH_OUT"),NA())</f>
        <v/>
      </c>
      <c r="D11" s="22">
        <f>IFERROR(_xll.BDH(A11,"EQY_SH_OUT","-"&amp;Settings!$B$4&amp;"AW","-"&amp;Settings!$B$4&amp;"AW","days=a","fill=p"),NA())</f>
        <v/>
      </c>
      <c r="E11" s="23">
        <f>IFERROR((C11-D11)/D11,NA())</f>
        <v/>
      </c>
      <c r="F11" s="16">
        <f>IF(ISNUMBER(E11),IF(E11&lt;=Settings!$B$6,"BUYBACK ACTIVITY",""),"")</f>
        <v/>
      </c>
      <c r="G11" s="22">
        <f>IFERROR(_xll.BDP(A11,"VOLUME_AVG_30D"),NA())</f>
        <v/>
      </c>
      <c r="H11" s="22">
        <f>IFERROR(_xll.BDP(A11,"PX_VOLUME"),NA())</f>
        <v/>
      </c>
      <c r="I11" s="16">
        <f>IFERROR(H11/G11,NA())</f>
        <v/>
      </c>
      <c r="J11" s="16">
        <f>IF(ISNUMBER(I11),IF(I11&gt;=Settings!$B$7,"VOL SPIKE",""),"")</f>
        <v/>
      </c>
    </row>
    <row r="12">
      <c r="A12" s="16">
        <f>'STI30 Universe'!A13</f>
        <v/>
      </c>
      <c r="B12" s="22">
        <f>IFERROR(_xll.BDP(A12,"NAME"),"")</f>
        <v/>
      </c>
      <c r="C12" s="22">
        <f>IFERROR(_xll.BDP(A12,"EQY_SH_OUT"),NA())</f>
        <v/>
      </c>
      <c r="D12" s="22">
        <f>IFERROR(_xll.BDH(A12,"EQY_SH_OUT","-"&amp;Settings!$B$4&amp;"AW","-"&amp;Settings!$B$4&amp;"AW","days=a","fill=p"),NA())</f>
        <v/>
      </c>
      <c r="E12" s="23">
        <f>IFERROR((C12-D12)/D12,NA())</f>
        <v/>
      </c>
      <c r="F12" s="16">
        <f>IF(ISNUMBER(E12),IF(E12&lt;=Settings!$B$6,"BUYBACK ACTIVITY",""),"")</f>
        <v/>
      </c>
      <c r="G12" s="22">
        <f>IFERROR(_xll.BDP(A12,"VOLUME_AVG_30D"),NA())</f>
        <v/>
      </c>
      <c r="H12" s="22">
        <f>IFERROR(_xll.BDP(A12,"PX_VOLUME"),NA())</f>
        <v/>
      </c>
      <c r="I12" s="16">
        <f>IFERROR(H12/G12,NA())</f>
        <v/>
      </c>
      <c r="J12" s="16">
        <f>IF(ISNUMBER(I12),IF(I12&gt;=Settings!$B$7,"VOL SPIKE",""),"")</f>
        <v/>
      </c>
    </row>
    <row r="13">
      <c r="A13" s="16">
        <f>'STI30 Universe'!A14</f>
        <v/>
      </c>
      <c r="B13" s="22">
        <f>IFERROR(_xll.BDP(A13,"NAME"),"")</f>
        <v/>
      </c>
      <c r="C13" s="22">
        <f>IFERROR(_xll.BDP(A13,"EQY_SH_OUT"),NA())</f>
        <v/>
      </c>
      <c r="D13" s="22">
        <f>IFERROR(_xll.BDH(A13,"EQY_SH_OUT","-"&amp;Settings!$B$4&amp;"AW","-"&amp;Settings!$B$4&amp;"AW","days=a","fill=p"),NA())</f>
        <v/>
      </c>
      <c r="E13" s="23">
        <f>IFERROR((C13-D13)/D13,NA())</f>
        <v/>
      </c>
      <c r="F13" s="16">
        <f>IF(ISNUMBER(E13),IF(E13&lt;=Settings!$B$6,"BUYBACK ACTIVITY",""),"")</f>
        <v/>
      </c>
      <c r="G13" s="22">
        <f>IFERROR(_xll.BDP(A13,"VOLUME_AVG_30D"),NA())</f>
        <v/>
      </c>
      <c r="H13" s="22">
        <f>IFERROR(_xll.BDP(A13,"PX_VOLUME"),NA())</f>
        <v/>
      </c>
      <c r="I13" s="16">
        <f>IFERROR(H13/G13,NA())</f>
        <v/>
      </c>
      <c r="J13" s="16">
        <f>IF(ISNUMBER(I13),IF(I13&gt;=Settings!$B$7,"VOL SPIKE",""),"")</f>
        <v/>
      </c>
    </row>
    <row r="14">
      <c r="A14" s="16">
        <f>'STI30 Universe'!A15</f>
        <v/>
      </c>
      <c r="B14" s="22">
        <f>IFERROR(_xll.BDP(A14,"NAME"),"")</f>
        <v/>
      </c>
      <c r="C14" s="22">
        <f>IFERROR(_xll.BDP(A14,"EQY_SH_OUT"),NA())</f>
        <v/>
      </c>
      <c r="D14" s="22">
        <f>IFERROR(_xll.BDH(A14,"EQY_SH_OUT","-"&amp;Settings!$B$4&amp;"AW","-"&amp;Settings!$B$4&amp;"AW","days=a","fill=p"),NA())</f>
        <v/>
      </c>
      <c r="E14" s="23">
        <f>IFERROR((C14-D14)/D14,NA())</f>
        <v/>
      </c>
      <c r="F14" s="16">
        <f>IF(ISNUMBER(E14),IF(E14&lt;=Settings!$B$6,"BUYBACK ACTIVITY",""),"")</f>
        <v/>
      </c>
      <c r="G14" s="22">
        <f>IFERROR(_xll.BDP(A14,"VOLUME_AVG_30D"),NA())</f>
        <v/>
      </c>
      <c r="H14" s="22">
        <f>IFERROR(_xll.BDP(A14,"PX_VOLUME"),NA())</f>
        <v/>
      </c>
      <c r="I14" s="16">
        <f>IFERROR(H14/G14,NA())</f>
        <v/>
      </c>
      <c r="J14" s="16">
        <f>IF(ISNUMBER(I14),IF(I14&gt;=Settings!$B$7,"VOL SPIKE",""),"")</f>
        <v/>
      </c>
    </row>
    <row r="15">
      <c r="A15" s="16">
        <f>'STI30 Universe'!A16</f>
        <v/>
      </c>
      <c r="B15" s="22">
        <f>IFERROR(_xll.BDP(A15,"NAME"),"")</f>
        <v/>
      </c>
      <c r="C15" s="22">
        <f>IFERROR(_xll.BDP(A15,"EQY_SH_OUT"),NA())</f>
        <v/>
      </c>
      <c r="D15" s="22">
        <f>IFERROR(_xll.BDH(A15,"EQY_SH_OUT","-"&amp;Settings!$B$4&amp;"AW","-"&amp;Settings!$B$4&amp;"AW","days=a","fill=p"),NA())</f>
        <v/>
      </c>
      <c r="E15" s="23">
        <f>IFERROR((C15-D15)/D15,NA())</f>
        <v/>
      </c>
      <c r="F15" s="16">
        <f>IF(ISNUMBER(E15),IF(E15&lt;=Settings!$B$6,"BUYBACK ACTIVITY",""),"")</f>
        <v/>
      </c>
      <c r="G15" s="22">
        <f>IFERROR(_xll.BDP(A15,"VOLUME_AVG_30D"),NA())</f>
        <v/>
      </c>
      <c r="H15" s="22">
        <f>IFERROR(_xll.BDP(A15,"PX_VOLUME"),NA())</f>
        <v/>
      </c>
      <c r="I15" s="16">
        <f>IFERROR(H15/G15,NA())</f>
        <v/>
      </c>
      <c r="J15" s="16">
        <f>IF(ISNUMBER(I15),IF(I15&gt;=Settings!$B$7,"VOL SPIKE",""),"")</f>
        <v/>
      </c>
    </row>
    <row r="16">
      <c r="A16" s="16">
        <f>'STI30 Universe'!A17</f>
        <v/>
      </c>
      <c r="B16" s="22">
        <f>IFERROR(_xll.BDP(A16,"NAME"),"")</f>
        <v/>
      </c>
      <c r="C16" s="22">
        <f>IFERROR(_xll.BDP(A16,"EQY_SH_OUT"),NA())</f>
        <v/>
      </c>
      <c r="D16" s="22">
        <f>IFERROR(_xll.BDH(A16,"EQY_SH_OUT","-"&amp;Settings!$B$4&amp;"AW","-"&amp;Settings!$B$4&amp;"AW","days=a","fill=p"),NA())</f>
        <v/>
      </c>
      <c r="E16" s="23">
        <f>IFERROR((C16-D16)/D16,NA())</f>
        <v/>
      </c>
      <c r="F16" s="16">
        <f>IF(ISNUMBER(E16),IF(E16&lt;=Settings!$B$6,"BUYBACK ACTIVITY",""),"")</f>
        <v/>
      </c>
      <c r="G16" s="22">
        <f>IFERROR(_xll.BDP(A16,"VOLUME_AVG_30D"),NA())</f>
        <v/>
      </c>
      <c r="H16" s="22">
        <f>IFERROR(_xll.BDP(A16,"PX_VOLUME"),NA())</f>
        <v/>
      </c>
      <c r="I16" s="16">
        <f>IFERROR(H16/G16,NA())</f>
        <v/>
      </c>
      <c r="J16" s="16">
        <f>IF(ISNUMBER(I16),IF(I16&gt;=Settings!$B$7,"VOL SPIKE",""),"")</f>
        <v/>
      </c>
    </row>
    <row r="17">
      <c r="A17" s="16">
        <f>'STI30 Universe'!A18</f>
        <v/>
      </c>
      <c r="B17" s="22">
        <f>IFERROR(_xll.BDP(A17,"NAME"),"")</f>
        <v/>
      </c>
      <c r="C17" s="22">
        <f>IFERROR(_xll.BDP(A17,"EQY_SH_OUT"),NA())</f>
        <v/>
      </c>
      <c r="D17" s="22">
        <f>IFERROR(_xll.BDH(A17,"EQY_SH_OUT","-"&amp;Settings!$B$4&amp;"AW","-"&amp;Settings!$B$4&amp;"AW","days=a","fill=p"),NA())</f>
        <v/>
      </c>
      <c r="E17" s="23">
        <f>IFERROR((C17-D17)/D17,NA())</f>
        <v/>
      </c>
      <c r="F17" s="16">
        <f>IF(ISNUMBER(E17),IF(E17&lt;=Settings!$B$6,"BUYBACK ACTIVITY",""),"")</f>
        <v/>
      </c>
      <c r="G17" s="22">
        <f>IFERROR(_xll.BDP(A17,"VOLUME_AVG_30D"),NA())</f>
        <v/>
      </c>
      <c r="H17" s="22">
        <f>IFERROR(_xll.BDP(A17,"PX_VOLUME"),NA())</f>
        <v/>
      </c>
      <c r="I17" s="16">
        <f>IFERROR(H17/G17,NA())</f>
        <v/>
      </c>
      <c r="J17" s="16">
        <f>IF(ISNUMBER(I17),IF(I17&gt;=Settings!$B$7,"VOL SPIKE",""),"")</f>
        <v/>
      </c>
    </row>
    <row r="18">
      <c r="A18" s="16">
        <f>'STI30 Universe'!A19</f>
        <v/>
      </c>
      <c r="B18" s="22">
        <f>IFERROR(_xll.BDP(A18,"NAME"),"")</f>
        <v/>
      </c>
      <c r="C18" s="22">
        <f>IFERROR(_xll.BDP(A18,"EQY_SH_OUT"),NA())</f>
        <v/>
      </c>
      <c r="D18" s="22">
        <f>IFERROR(_xll.BDH(A18,"EQY_SH_OUT","-"&amp;Settings!$B$4&amp;"AW","-"&amp;Settings!$B$4&amp;"AW","days=a","fill=p"),NA())</f>
        <v/>
      </c>
      <c r="E18" s="23">
        <f>IFERROR((C18-D18)/D18,NA())</f>
        <v/>
      </c>
      <c r="F18" s="16">
        <f>IF(ISNUMBER(E18),IF(E18&lt;=Settings!$B$6,"BUYBACK ACTIVITY",""),"")</f>
        <v/>
      </c>
      <c r="G18" s="22">
        <f>IFERROR(_xll.BDP(A18,"VOLUME_AVG_30D"),NA())</f>
        <v/>
      </c>
      <c r="H18" s="22">
        <f>IFERROR(_xll.BDP(A18,"PX_VOLUME"),NA())</f>
        <v/>
      </c>
      <c r="I18" s="16">
        <f>IFERROR(H18/G18,NA())</f>
        <v/>
      </c>
      <c r="J18" s="16">
        <f>IF(ISNUMBER(I18),IF(I18&gt;=Settings!$B$7,"VOL SPIKE",""),"")</f>
        <v/>
      </c>
    </row>
    <row r="19">
      <c r="A19" s="16">
        <f>'STI30 Universe'!A20</f>
        <v/>
      </c>
      <c r="B19" s="22">
        <f>IFERROR(_xll.BDP(A19,"NAME"),"")</f>
        <v/>
      </c>
      <c r="C19" s="22">
        <f>IFERROR(_xll.BDP(A19,"EQY_SH_OUT"),NA())</f>
        <v/>
      </c>
      <c r="D19" s="22">
        <f>IFERROR(_xll.BDH(A19,"EQY_SH_OUT","-"&amp;Settings!$B$4&amp;"AW","-"&amp;Settings!$B$4&amp;"AW","days=a","fill=p"),NA())</f>
        <v/>
      </c>
      <c r="E19" s="23">
        <f>IFERROR((C19-D19)/D19,NA())</f>
        <v/>
      </c>
      <c r="F19" s="16">
        <f>IF(ISNUMBER(E19),IF(E19&lt;=Settings!$B$6,"BUYBACK ACTIVITY",""),"")</f>
        <v/>
      </c>
      <c r="G19" s="22">
        <f>IFERROR(_xll.BDP(A19,"VOLUME_AVG_30D"),NA())</f>
        <v/>
      </c>
      <c r="H19" s="22">
        <f>IFERROR(_xll.BDP(A19,"PX_VOLUME"),NA())</f>
        <v/>
      </c>
      <c r="I19" s="16">
        <f>IFERROR(H19/G19,NA())</f>
        <v/>
      </c>
      <c r="J19" s="16">
        <f>IF(ISNUMBER(I19),IF(I19&gt;=Settings!$B$7,"VOL SPIKE",""),"")</f>
        <v/>
      </c>
    </row>
    <row r="20">
      <c r="A20" s="16">
        <f>'STI30 Universe'!A21</f>
        <v/>
      </c>
      <c r="B20" s="22">
        <f>IFERROR(_xll.BDP(A20,"NAME"),"")</f>
        <v/>
      </c>
      <c r="C20" s="22">
        <f>IFERROR(_xll.BDP(A20,"EQY_SH_OUT"),NA())</f>
        <v/>
      </c>
      <c r="D20" s="22">
        <f>IFERROR(_xll.BDH(A20,"EQY_SH_OUT","-"&amp;Settings!$B$4&amp;"AW","-"&amp;Settings!$B$4&amp;"AW","days=a","fill=p"),NA())</f>
        <v/>
      </c>
      <c r="E20" s="23">
        <f>IFERROR((C20-D20)/D20,NA())</f>
        <v/>
      </c>
      <c r="F20" s="16">
        <f>IF(ISNUMBER(E20),IF(E20&lt;=Settings!$B$6,"BUYBACK ACTIVITY",""),"")</f>
        <v/>
      </c>
      <c r="G20" s="22">
        <f>IFERROR(_xll.BDP(A20,"VOLUME_AVG_30D"),NA())</f>
        <v/>
      </c>
      <c r="H20" s="22">
        <f>IFERROR(_xll.BDP(A20,"PX_VOLUME"),NA())</f>
        <v/>
      </c>
      <c r="I20" s="16">
        <f>IFERROR(H20/G20,NA())</f>
        <v/>
      </c>
      <c r="J20" s="16">
        <f>IF(ISNUMBER(I20),IF(I20&gt;=Settings!$B$7,"VOL SPIKE",""),"")</f>
        <v/>
      </c>
    </row>
    <row r="21">
      <c r="A21" s="16">
        <f>'STI30 Universe'!A22</f>
        <v/>
      </c>
      <c r="B21" s="22">
        <f>IFERROR(_xll.BDP(A21,"NAME"),"")</f>
        <v/>
      </c>
      <c r="C21" s="22">
        <f>IFERROR(_xll.BDP(A21,"EQY_SH_OUT"),NA())</f>
        <v/>
      </c>
      <c r="D21" s="22">
        <f>IFERROR(_xll.BDH(A21,"EQY_SH_OUT","-"&amp;Settings!$B$4&amp;"AW","-"&amp;Settings!$B$4&amp;"AW","days=a","fill=p"),NA())</f>
        <v/>
      </c>
      <c r="E21" s="23">
        <f>IFERROR((C21-D21)/D21,NA())</f>
        <v/>
      </c>
      <c r="F21" s="16">
        <f>IF(ISNUMBER(E21),IF(E21&lt;=Settings!$B$6,"BUYBACK ACTIVITY",""),"")</f>
        <v/>
      </c>
      <c r="G21" s="22">
        <f>IFERROR(_xll.BDP(A21,"VOLUME_AVG_30D"),NA())</f>
        <v/>
      </c>
      <c r="H21" s="22">
        <f>IFERROR(_xll.BDP(A21,"PX_VOLUME"),NA())</f>
        <v/>
      </c>
      <c r="I21" s="16">
        <f>IFERROR(H21/G21,NA())</f>
        <v/>
      </c>
      <c r="J21" s="16">
        <f>IF(ISNUMBER(I21),IF(I21&gt;=Settings!$B$7,"VOL SPIKE",""),"")</f>
        <v/>
      </c>
    </row>
    <row r="22">
      <c r="A22" s="16">
        <f>'STI30 Universe'!A23</f>
        <v/>
      </c>
      <c r="B22" s="22">
        <f>IFERROR(_xll.BDP(A22,"NAME"),"")</f>
        <v/>
      </c>
      <c r="C22" s="22">
        <f>IFERROR(_xll.BDP(A22,"EQY_SH_OUT"),NA())</f>
        <v/>
      </c>
      <c r="D22" s="22">
        <f>IFERROR(_xll.BDH(A22,"EQY_SH_OUT","-"&amp;Settings!$B$4&amp;"AW","-"&amp;Settings!$B$4&amp;"AW","days=a","fill=p"),NA())</f>
        <v/>
      </c>
      <c r="E22" s="23">
        <f>IFERROR((C22-D22)/D22,NA())</f>
        <v/>
      </c>
      <c r="F22" s="16">
        <f>IF(ISNUMBER(E22),IF(E22&lt;=Settings!$B$6,"BUYBACK ACTIVITY",""),"")</f>
        <v/>
      </c>
      <c r="G22" s="22">
        <f>IFERROR(_xll.BDP(A22,"VOLUME_AVG_30D"),NA())</f>
        <v/>
      </c>
      <c r="H22" s="22">
        <f>IFERROR(_xll.BDP(A22,"PX_VOLUME"),NA())</f>
        <v/>
      </c>
      <c r="I22" s="16">
        <f>IFERROR(H22/G22,NA())</f>
        <v/>
      </c>
      <c r="J22" s="16">
        <f>IF(ISNUMBER(I22),IF(I22&gt;=Settings!$B$7,"VOL SPIKE",""),"")</f>
        <v/>
      </c>
    </row>
    <row r="23">
      <c r="A23" s="16">
        <f>'STI30 Universe'!A24</f>
        <v/>
      </c>
      <c r="B23" s="22">
        <f>IFERROR(_xll.BDP(A23,"NAME"),"")</f>
        <v/>
      </c>
      <c r="C23" s="22">
        <f>IFERROR(_xll.BDP(A23,"EQY_SH_OUT"),NA())</f>
        <v/>
      </c>
      <c r="D23" s="22">
        <f>IFERROR(_xll.BDH(A23,"EQY_SH_OUT","-"&amp;Settings!$B$4&amp;"AW","-"&amp;Settings!$B$4&amp;"AW","days=a","fill=p"),NA())</f>
        <v/>
      </c>
      <c r="E23" s="23">
        <f>IFERROR((C23-D23)/D23,NA())</f>
        <v/>
      </c>
      <c r="F23" s="16">
        <f>IF(ISNUMBER(E23),IF(E23&lt;=Settings!$B$6,"BUYBACK ACTIVITY",""),"")</f>
        <v/>
      </c>
      <c r="G23" s="22">
        <f>IFERROR(_xll.BDP(A23,"VOLUME_AVG_30D"),NA())</f>
        <v/>
      </c>
      <c r="H23" s="22">
        <f>IFERROR(_xll.BDP(A23,"PX_VOLUME"),NA())</f>
        <v/>
      </c>
      <c r="I23" s="16">
        <f>IFERROR(H23/G23,NA())</f>
        <v/>
      </c>
      <c r="J23" s="16">
        <f>IF(ISNUMBER(I23),IF(I23&gt;=Settings!$B$7,"VOL SPIKE",""),"")</f>
        <v/>
      </c>
    </row>
    <row r="24">
      <c r="A24" s="16">
        <f>'STI30 Universe'!A25</f>
        <v/>
      </c>
      <c r="B24" s="22">
        <f>IFERROR(_xll.BDP(A24,"NAME"),"")</f>
        <v/>
      </c>
      <c r="C24" s="22">
        <f>IFERROR(_xll.BDP(A24,"EQY_SH_OUT"),NA())</f>
        <v/>
      </c>
      <c r="D24" s="22">
        <f>IFERROR(_xll.BDH(A24,"EQY_SH_OUT","-"&amp;Settings!$B$4&amp;"AW","-"&amp;Settings!$B$4&amp;"AW","days=a","fill=p"),NA())</f>
        <v/>
      </c>
      <c r="E24" s="23">
        <f>IFERROR((C24-D24)/D24,NA())</f>
        <v/>
      </c>
      <c r="F24" s="16">
        <f>IF(ISNUMBER(E24),IF(E24&lt;=Settings!$B$6,"BUYBACK ACTIVITY",""),"")</f>
        <v/>
      </c>
      <c r="G24" s="22">
        <f>IFERROR(_xll.BDP(A24,"VOLUME_AVG_30D"),NA())</f>
        <v/>
      </c>
      <c r="H24" s="22">
        <f>IFERROR(_xll.BDP(A24,"PX_VOLUME"),NA())</f>
        <v/>
      </c>
      <c r="I24" s="16">
        <f>IFERROR(H24/G24,NA())</f>
        <v/>
      </c>
      <c r="J24" s="16">
        <f>IF(ISNUMBER(I24),IF(I24&gt;=Settings!$B$7,"VOL SPIKE",""),"")</f>
        <v/>
      </c>
    </row>
    <row r="25">
      <c r="A25" s="16">
        <f>'STI30 Universe'!A26</f>
        <v/>
      </c>
      <c r="B25" s="22">
        <f>IFERROR(_xll.BDP(A25,"NAME"),"")</f>
        <v/>
      </c>
      <c r="C25" s="22">
        <f>IFERROR(_xll.BDP(A25,"EQY_SH_OUT"),NA())</f>
        <v/>
      </c>
      <c r="D25" s="22">
        <f>IFERROR(_xll.BDH(A25,"EQY_SH_OUT","-"&amp;Settings!$B$4&amp;"AW","-"&amp;Settings!$B$4&amp;"AW","days=a","fill=p"),NA())</f>
        <v/>
      </c>
      <c r="E25" s="23">
        <f>IFERROR((C25-D25)/D25,NA())</f>
        <v/>
      </c>
      <c r="F25" s="16">
        <f>IF(ISNUMBER(E25),IF(E25&lt;=Settings!$B$6,"BUYBACK ACTIVITY",""),"")</f>
        <v/>
      </c>
      <c r="G25" s="22">
        <f>IFERROR(_xll.BDP(A25,"VOLUME_AVG_30D"),NA())</f>
        <v/>
      </c>
      <c r="H25" s="22">
        <f>IFERROR(_xll.BDP(A25,"PX_VOLUME"),NA())</f>
        <v/>
      </c>
      <c r="I25" s="16">
        <f>IFERROR(H25/G25,NA())</f>
        <v/>
      </c>
      <c r="J25" s="16">
        <f>IF(ISNUMBER(I25),IF(I25&gt;=Settings!$B$7,"VOL SPIKE",""),"")</f>
        <v/>
      </c>
    </row>
    <row r="26">
      <c r="A26" s="16">
        <f>'STI30 Universe'!A27</f>
        <v/>
      </c>
      <c r="B26" s="22">
        <f>IFERROR(_xll.BDP(A26,"NAME"),"")</f>
        <v/>
      </c>
      <c r="C26" s="22">
        <f>IFERROR(_xll.BDP(A26,"EQY_SH_OUT"),NA())</f>
        <v/>
      </c>
      <c r="D26" s="22">
        <f>IFERROR(_xll.BDH(A26,"EQY_SH_OUT","-"&amp;Settings!$B$4&amp;"AW","-"&amp;Settings!$B$4&amp;"AW","days=a","fill=p"),NA())</f>
        <v/>
      </c>
      <c r="E26" s="23">
        <f>IFERROR((C26-D26)/D26,NA())</f>
        <v/>
      </c>
      <c r="F26" s="16">
        <f>IF(ISNUMBER(E26),IF(E26&lt;=Settings!$B$6,"BUYBACK ACTIVITY",""),"")</f>
        <v/>
      </c>
      <c r="G26" s="22">
        <f>IFERROR(_xll.BDP(A26,"VOLUME_AVG_30D"),NA())</f>
        <v/>
      </c>
      <c r="H26" s="22">
        <f>IFERROR(_xll.BDP(A26,"PX_VOLUME"),NA())</f>
        <v/>
      </c>
      <c r="I26" s="16">
        <f>IFERROR(H26/G26,NA())</f>
        <v/>
      </c>
      <c r="J26" s="16">
        <f>IF(ISNUMBER(I26),IF(I26&gt;=Settings!$B$7,"VOL SPIKE",""),"")</f>
        <v/>
      </c>
    </row>
    <row r="27">
      <c r="A27" s="16">
        <f>'STI30 Universe'!A28</f>
        <v/>
      </c>
      <c r="B27" s="22">
        <f>IFERROR(_xll.BDP(A27,"NAME"),"")</f>
        <v/>
      </c>
      <c r="C27" s="22">
        <f>IFERROR(_xll.BDP(A27,"EQY_SH_OUT"),NA())</f>
        <v/>
      </c>
      <c r="D27" s="22">
        <f>IFERROR(_xll.BDH(A27,"EQY_SH_OUT","-"&amp;Settings!$B$4&amp;"AW","-"&amp;Settings!$B$4&amp;"AW","days=a","fill=p"),NA())</f>
        <v/>
      </c>
      <c r="E27" s="23">
        <f>IFERROR((C27-D27)/D27,NA())</f>
        <v/>
      </c>
      <c r="F27" s="16">
        <f>IF(ISNUMBER(E27),IF(E27&lt;=Settings!$B$6,"BUYBACK ACTIVITY",""),"")</f>
        <v/>
      </c>
      <c r="G27" s="22">
        <f>IFERROR(_xll.BDP(A27,"VOLUME_AVG_30D"),NA())</f>
        <v/>
      </c>
      <c r="H27" s="22">
        <f>IFERROR(_xll.BDP(A27,"PX_VOLUME"),NA())</f>
        <v/>
      </c>
      <c r="I27" s="16">
        <f>IFERROR(H27/G27,NA())</f>
        <v/>
      </c>
      <c r="J27" s="16">
        <f>IF(ISNUMBER(I27),IF(I27&gt;=Settings!$B$7,"VOL SPIKE",""),"")</f>
        <v/>
      </c>
    </row>
    <row r="28">
      <c r="A28" s="16">
        <f>'STI30 Universe'!A29</f>
        <v/>
      </c>
      <c r="B28" s="22">
        <f>IFERROR(_xll.BDP(A28,"NAME"),"")</f>
        <v/>
      </c>
      <c r="C28" s="22">
        <f>IFERROR(_xll.BDP(A28,"EQY_SH_OUT"),NA())</f>
        <v/>
      </c>
      <c r="D28" s="22">
        <f>IFERROR(_xll.BDH(A28,"EQY_SH_OUT","-"&amp;Settings!$B$4&amp;"AW","-"&amp;Settings!$B$4&amp;"AW","days=a","fill=p"),NA())</f>
        <v/>
      </c>
      <c r="E28" s="23">
        <f>IFERROR((C28-D28)/D28,NA())</f>
        <v/>
      </c>
      <c r="F28" s="16">
        <f>IF(ISNUMBER(E28),IF(E28&lt;=Settings!$B$6,"BUYBACK ACTIVITY",""),"")</f>
        <v/>
      </c>
      <c r="G28" s="22">
        <f>IFERROR(_xll.BDP(A28,"VOLUME_AVG_30D"),NA())</f>
        <v/>
      </c>
      <c r="H28" s="22">
        <f>IFERROR(_xll.BDP(A28,"PX_VOLUME"),NA())</f>
        <v/>
      </c>
      <c r="I28" s="16">
        <f>IFERROR(H28/G28,NA())</f>
        <v/>
      </c>
      <c r="J28" s="16">
        <f>IF(ISNUMBER(I28),IF(I28&gt;=Settings!$B$7,"VOL SPIKE",""),"")</f>
        <v/>
      </c>
    </row>
    <row r="29">
      <c r="A29" s="16">
        <f>'STI30 Universe'!A30</f>
        <v/>
      </c>
      <c r="B29" s="22">
        <f>IFERROR(_xll.BDP(A29,"NAME"),"")</f>
        <v/>
      </c>
      <c r="C29" s="22">
        <f>IFERROR(_xll.BDP(A29,"EQY_SH_OUT"),NA())</f>
        <v/>
      </c>
      <c r="D29" s="22">
        <f>IFERROR(_xll.BDH(A29,"EQY_SH_OUT","-"&amp;Settings!$B$4&amp;"AW","-"&amp;Settings!$B$4&amp;"AW","days=a","fill=p"),NA())</f>
        <v/>
      </c>
      <c r="E29" s="23">
        <f>IFERROR((C29-D29)/D29,NA())</f>
        <v/>
      </c>
      <c r="F29" s="16">
        <f>IF(ISNUMBER(E29),IF(E29&lt;=Settings!$B$6,"BUYBACK ACTIVITY",""),"")</f>
        <v/>
      </c>
      <c r="G29" s="22">
        <f>IFERROR(_xll.BDP(A29,"VOLUME_AVG_30D"),NA())</f>
        <v/>
      </c>
      <c r="H29" s="22">
        <f>IFERROR(_xll.BDP(A29,"PX_VOLUME"),NA())</f>
        <v/>
      </c>
      <c r="I29" s="16">
        <f>IFERROR(H29/G29,NA())</f>
        <v/>
      </c>
      <c r="J29" s="16">
        <f>IF(ISNUMBER(I29),IF(I29&gt;=Settings!$B$7,"VOL SPIKE",""),"")</f>
        <v/>
      </c>
    </row>
    <row r="30">
      <c r="A30" s="16">
        <f>'STI30 Universe'!A31</f>
        <v/>
      </c>
      <c r="B30" s="22">
        <f>IFERROR(_xll.BDP(A30,"NAME"),"")</f>
        <v/>
      </c>
      <c r="C30" s="22">
        <f>IFERROR(_xll.BDP(A30,"EQY_SH_OUT"),NA())</f>
        <v/>
      </c>
      <c r="D30" s="22">
        <f>IFERROR(_xll.BDH(A30,"EQY_SH_OUT","-"&amp;Settings!$B$4&amp;"AW","-"&amp;Settings!$B$4&amp;"AW","days=a","fill=p"),NA())</f>
        <v/>
      </c>
      <c r="E30" s="23">
        <f>IFERROR((C30-D30)/D30,NA())</f>
        <v/>
      </c>
      <c r="F30" s="16">
        <f>IF(ISNUMBER(E30),IF(E30&lt;=Settings!$B$6,"BUYBACK ACTIVITY",""),"")</f>
        <v/>
      </c>
      <c r="G30" s="22">
        <f>IFERROR(_xll.BDP(A30,"VOLUME_AVG_30D"),NA())</f>
        <v/>
      </c>
      <c r="H30" s="22">
        <f>IFERROR(_xll.BDP(A30,"PX_VOLUME"),NA())</f>
        <v/>
      </c>
      <c r="I30" s="16">
        <f>IFERROR(H30/G30,NA())</f>
        <v/>
      </c>
      <c r="J30" s="16">
        <f>IF(ISNUMBER(I30),IF(I30&gt;=Settings!$B$7,"VOL SPIKE",""),"")</f>
        <v/>
      </c>
    </row>
    <row r="31">
      <c r="A31" s="16">
        <f>'STI30 Universe'!A32</f>
        <v/>
      </c>
      <c r="B31" s="22">
        <f>IFERROR(_xll.BDP(A31,"NAME"),"")</f>
        <v/>
      </c>
      <c r="C31" s="22">
        <f>IFERROR(_xll.BDP(A31,"EQY_SH_OUT"),NA())</f>
        <v/>
      </c>
      <c r="D31" s="22">
        <f>IFERROR(_xll.BDH(A31,"EQY_SH_OUT","-"&amp;Settings!$B$4&amp;"AW","-"&amp;Settings!$B$4&amp;"AW","days=a","fill=p"),NA())</f>
        <v/>
      </c>
      <c r="E31" s="23">
        <f>IFERROR((C31-D31)/D31,NA())</f>
        <v/>
      </c>
      <c r="F31" s="16">
        <f>IF(ISNUMBER(E31),IF(E31&lt;=Settings!$B$6,"BUYBACK ACTIVITY",""),"")</f>
        <v/>
      </c>
      <c r="G31" s="22">
        <f>IFERROR(_xll.BDP(A31,"VOLUME_AVG_30D"),NA())</f>
        <v/>
      </c>
      <c r="H31" s="22">
        <f>IFERROR(_xll.BDP(A31,"PX_VOLUME"),NA())</f>
        <v/>
      </c>
      <c r="I31" s="16">
        <f>IFERROR(H31/G31,NA())</f>
        <v/>
      </c>
      <c r="J31" s="16">
        <f>IF(ISNUMBER(I31),IF(I31&gt;=Settings!$B$7,"VOL SPIKE",""),"")</f>
        <v/>
      </c>
    </row>
    <row r="32">
      <c r="A32" s="16">
        <f>'STI30 Universe'!A33</f>
        <v/>
      </c>
      <c r="B32" s="22">
        <f>IFERROR(_xll.BDP(A32,"NAME"),"")</f>
        <v/>
      </c>
      <c r="C32" s="22">
        <f>IFERROR(_xll.BDP(A32,"EQY_SH_OUT"),NA())</f>
        <v/>
      </c>
      <c r="D32" s="22">
        <f>IFERROR(_xll.BDH(A32,"EQY_SH_OUT","-"&amp;Settings!$B$4&amp;"AW","-"&amp;Settings!$B$4&amp;"AW","days=a","fill=p"),NA())</f>
        <v/>
      </c>
      <c r="E32" s="23">
        <f>IFERROR((C32-D32)/D32,NA())</f>
        <v/>
      </c>
      <c r="F32" s="16">
        <f>IF(ISNUMBER(E32),IF(E32&lt;=Settings!$B$6,"BUYBACK ACTIVITY",""),"")</f>
        <v/>
      </c>
      <c r="G32" s="22">
        <f>IFERROR(_xll.BDP(A32,"VOLUME_AVG_30D"),NA())</f>
        <v/>
      </c>
      <c r="H32" s="22">
        <f>IFERROR(_xll.BDP(A32,"PX_VOLUME"),NA())</f>
        <v/>
      </c>
      <c r="I32" s="16">
        <f>IFERROR(H32/G32,NA())</f>
        <v/>
      </c>
      <c r="J32" s="16">
        <f>IF(ISNUMBER(I32),IF(I32&gt;=Settings!$B$7,"VOL SPIKE",""),"")</f>
        <v/>
      </c>
    </row>
    <row r="33">
      <c r="A33" s="16">
        <f>'STI30 Universe'!A34</f>
        <v/>
      </c>
      <c r="B33" s="22">
        <f>IFERROR(_xll.BDP(A33,"NAME"),"")</f>
        <v/>
      </c>
      <c r="C33" s="22">
        <f>IFERROR(_xll.BDP(A33,"EQY_SH_OUT"),NA())</f>
        <v/>
      </c>
      <c r="D33" s="22">
        <f>IFERROR(_xll.BDH(A33,"EQY_SH_OUT","-"&amp;Settings!$B$4&amp;"AW","-"&amp;Settings!$B$4&amp;"AW","days=a","fill=p"),NA())</f>
        <v/>
      </c>
      <c r="E33" s="23">
        <f>IFERROR((C33-D33)/D33,NA())</f>
        <v/>
      </c>
      <c r="F33" s="16">
        <f>IF(ISNUMBER(E33),IF(E33&lt;=Settings!$B$6,"BUYBACK ACTIVITY",""),"")</f>
        <v/>
      </c>
      <c r="G33" s="22">
        <f>IFERROR(_xll.BDP(A33,"VOLUME_AVG_30D"),NA())</f>
        <v/>
      </c>
      <c r="H33" s="22">
        <f>IFERROR(_xll.BDP(A33,"PX_VOLUME"),NA())</f>
        <v/>
      </c>
      <c r="I33" s="16">
        <f>IFERROR(H33/G33,NA())</f>
        <v/>
      </c>
      <c r="J33" s="16">
        <f>IF(ISNUMBER(I33),IF(I33&gt;=Settings!$B$7,"VOL SPIKE",""),"")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4" customWidth="1" min="4" max="4"/>
    <col width="14" customWidth="1" min="5" max="5"/>
    <col width="18" customWidth="1" min="6" max="6"/>
    <col width="16" customWidth="1" min="7" max="7"/>
    <col width="20" customWidth="1" min="8" max="8"/>
  </cols>
  <sheetData>
    <row r="1" ht="22" customHeight="1">
      <c r="A1" s="13" t="inlineStr">
        <is>
          <t>Dividend &amp; Distribution Tracker — STI Top 30</t>
        </is>
      </c>
    </row>
    <row r="3">
      <c r="A3" s="14" t="inlineStr">
        <is>
          <t>Ticker</t>
        </is>
      </c>
      <c r="B3" s="14" t="inlineStr">
        <is>
          <t>Name</t>
        </is>
      </c>
      <c r="C3" s="14" t="inlineStr">
        <is>
          <t>Declared Date</t>
        </is>
      </c>
      <c r="D3" s="14" t="inlineStr">
        <is>
          <t>Ex-Date</t>
        </is>
      </c>
      <c r="E3" s="14" t="inlineStr">
        <is>
          <t>Div/Unit (SGD)</t>
        </is>
      </c>
      <c r="F3" s="14" t="inlineStr">
        <is>
          <t>Dividend Type</t>
        </is>
      </c>
      <c r="G3" s="14" t="inlineStr">
        <is>
          <t>In Lookback Window?</t>
        </is>
      </c>
      <c r="H3" s="14" t="inlineStr">
        <is>
          <t>Flag</t>
        </is>
      </c>
    </row>
    <row r="4">
      <c r="A4" s="16">
        <f>'STI30 Universe'!A5</f>
        <v/>
      </c>
      <c r="B4" s="22">
        <f>IFERROR(_xll.BDP(A4,"NAME"),"")</f>
        <v/>
      </c>
      <c r="C4" s="22">
        <f>IF(LEFT((_xll.BDP(A4,"DVD_DECLARED_DT")),4)="#N/A",NA(),(_xll.BDP(A4,"DVD_DECLARED_DT")))</f>
        <v/>
      </c>
      <c r="D4" s="22">
        <f>IF(LEFT((_xll.BDP(A4,"DVD_EX_DT")),4)="#N/A",NA(),(_xll.BDP(A4,"DVD_EX_DT")))</f>
        <v/>
      </c>
      <c r="E4" s="22">
        <f>IF(LEFT((_xll.BDP(A4,"DVD_SH_LAST")), 4) = "#N/A", NA(), (_xll.BDP(A4,"DVD_SH_LAST")))</f>
        <v/>
      </c>
      <c r="F4" s="22">
        <f>IF(LEFT((_xll.BDP(A4,"DVD_TYP_LAST")), 4) = "#N/A", NA(), (_xll.BDP(A4,"DVD_TYP_LAST")))</f>
        <v/>
      </c>
      <c r="G4" s="16">
        <f>IF(ISNUMBER(C4),IF(C4&gt;=Settings!$B$5,"Y","N"),"")</f>
        <v/>
      </c>
      <c r="H4" s="16">
        <f>IF(G4="Y",IF(ISNUMBER(SEARCH("Special",F4)),"SPECIAL DIVIDEND","NEW DIVIDEND"),IF(ISNUMBER(SEARCH("Special",F4)),"SPECIAL DIVIDEND",""))</f>
        <v/>
      </c>
    </row>
    <row r="5">
      <c r="A5" s="16">
        <f>'STI30 Universe'!A6</f>
        <v/>
      </c>
      <c r="B5" s="22">
        <f>IFERROR(_xll.BDP(A5,"NAME"),"")</f>
        <v/>
      </c>
      <c r="C5" s="22">
        <f>IF(LEFT((_xll.BDP(A5,"DVD_DECLARED_DT")),4)="#N/A",NA(),(_xll.BDP(A5,"DVD_DECLARED_DT")))</f>
        <v/>
      </c>
      <c r="D5" s="22">
        <f>IF(LEFT((_xll.BDP(A5,"DVD_EX_DT")),4)="#N/A",NA(),(_xll.BDP(A5,"DVD_EX_DT")))</f>
        <v/>
      </c>
      <c r="E5" s="22">
        <f>IF(LEFT((_xll.BDP(A5,"DVD_SH_LAST")), 4) = "#N/A", NA(), (_xll.BDP(A5,"DVD_SH_LAST")))</f>
        <v/>
      </c>
      <c r="F5" s="22">
        <f>IF(LEFT((_xll.BDP(A5,"DVD_TYP_LAST")), 4) = "#N/A", NA(), (_xll.BDP(A5,"DVD_TYP_LAST")))</f>
        <v/>
      </c>
      <c r="G5" s="16">
        <f>IF(ISNUMBER(C5),IF(C5&gt;=Settings!$B$5,"Y","N"),"")</f>
        <v/>
      </c>
      <c r="H5" s="16">
        <f>IF(G5="Y",IF(ISNUMBER(SEARCH("Special",F5)),"SPECIAL DIVIDEND","NEW DIVIDEND"),IF(ISNUMBER(SEARCH("Special",F5)),"SPECIAL DIVIDEND",""))</f>
        <v/>
      </c>
    </row>
    <row r="6">
      <c r="A6" s="16">
        <f>'STI30 Universe'!A7</f>
        <v/>
      </c>
      <c r="B6" s="22">
        <f>IFERROR(_xll.BDP(A6,"NAME"),"")</f>
        <v/>
      </c>
      <c r="C6" s="22">
        <f>IF(LEFT((_xll.BDP(A6,"DVD_DECLARED_DT")),4)="#N/A",NA(),(_xll.BDP(A6,"DVD_DECLARED_DT")))</f>
        <v/>
      </c>
      <c r="D6" s="22">
        <f>IF(LEFT((_xll.BDP(A6,"DVD_EX_DT")),4)="#N/A",NA(),(_xll.BDP(A6,"DVD_EX_DT")))</f>
        <v/>
      </c>
      <c r="E6" s="22">
        <f>IF(LEFT((_xll.BDP(A6,"DVD_SH_LAST")), 4) = "#N/A", NA(), (_xll.BDP(A6,"DVD_SH_LAST")))</f>
        <v/>
      </c>
      <c r="F6" s="22">
        <f>IF(LEFT((_xll.BDP(A6,"DVD_TYP_LAST")), 4) = "#N/A", NA(), (_xll.BDP(A6,"DVD_TYP_LAST")))</f>
        <v/>
      </c>
      <c r="G6" s="16">
        <f>IF(ISNUMBER(C6),IF(C6&gt;=Settings!$B$5,"Y","N"),"")</f>
        <v/>
      </c>
      <c r="H6" s="16">
        <f>IF(G6="Y",IF(ISNUMBER(SEARCH("Special",F6)),"SPECIAL DIVIDEND","NEW DIVIDEND"),IF(ISNUMBER(SEARCH("Special",F6)),"SPECIAL DIVIDEND",""))</f>
        <v/>
      </c>
    </row>
    <row r="7">
      <c r="A7" s="16">
        <f>'STI30 Universe'!A8</f>
        <v/>
      </c>
      <c r="B7" s="22">
        <f>IFERROR(_xll.BDP(A7,"NAME"),"")</f>
        <v/>
      </c>
      <c r="C7" s="22">
        <f>IF(LEFT((_xll.BDP(A7,"DVD_DECLARED_DT")),4)="#N/A",NA(),(_xll.BDP(A7,"DVD_DECLARED_DT")))</f>
        <v/>
      </c>
      <c r="D7" s="22">
        <f>IF(LEFT((_xll.BDP(A7,"DVD_EX_DT")),4)="#N/A",NA(),(_xll.BDP(A7,"DVD_EX_DT")))</f>
        <v/>
      </c>
      <c r="E7" s="22">
        <f>IF(LEFT((_xll.BDP(A7,"DVD_SH_LAST")), 4) = "#N/A", NA(), (_xll.BDP(A7,"DVD_SH_LAST")))</f>
        <v/>
      </c>
      <c r="F7" s="22">
        <f>IF(LEFT((_xll.BDP(A7,"DVD_TYP_LAST")), 4) = "#N/A", NA(), (_xll.BDP(A7,"DVD_TYP_LAST")))</f>
        <v/>
      </c>
      <c r="G7" s="16">
        <f>IF(ISNUMBER(C7),IF(C7&gt;=Settings!$B$5,"Y","N"),"")</f>
        <v/>
      </c>
      <c r="H7" s="16">
        <f>IF(G7="Y",IF(ISNUMBER(SEARCH("Special",F7)),"SPECIAL DIVIDEND","NEW DIVIDEND"),IF(ISNUMBER(SEARCH("Special",F7)),"SPECIAL DIVIDEND",""))</f>
        <v/>
      </c>
    </row>
    <row r="8">
      <c r="A8" s="16">
        <f>'STI30 Universe'!A9</f>
        <v/>
      </c>
      <c r="B8" s="22">
        <f>IFERROR(_xll.BDP(A8,"NAME"),"")</f>
        <v/>
      </c>
      <c r="C8" s="22">
        <f>IF(LEFT((_xll.BDP(A8,"DVD_DECLARED_DT")),4)="#N/A",NA(),(_xll.BDP(A8,"DVD_DECLARED_DT")))</f>
        <v/>
      </c>
      <c r="D8" s="22">
        <f>IF(LEFT((_xll.BDP(A8,"DVD_EX_DT")),4)="#N/A",NA(),(_xll.BDP(A8,"DVD_EX_DT")))</f>
        <v/>
      </c>
      <c r="E8" s="22">
        <f>IF(LEFT((_xll.BDP(A8,"DVD_SH_LAST")), 4) = "#N/A", NA(), (_xll.BDP(A8,"DVD_SH_LAST")))</f>
        <v/>
      </c>
      <c r="F8" s="22">
        <f>IF(LEFT((_xll.BDP(A8,"DVD_TYP_LAST")), 4) = "#N/A", NA(), (_xll.BDP(A8,"DVD_TYP_LAST")))</f>
        <v/>
      </c>
      <c r="G8" s="16">
        <f>IF(ISNUMBER(C8),IF(C8&gt;=Settings!$B$5,"Y","N"),"")</f>
        <v/>
      </c>
      <c r="H8" s="16">
        <f>IF(G8="Y",IF(ISNUMBER(SEARCH("Special",F8)),"SPECIAL DIVIDEND","NEW DIVIDEND"),IF(ISNUMBER(SEARCH("Special",F8)),"SPECIAL DIVIDEND",""))</f>
        <v/>
      </c>
    </row>
    <row r="9">
      <c r="A9" s="16">
        <f>'STI30 Universe'!A10</f>
        <v/>
      </c>
      <c r="B9" s="22">
        <f>IFERROR(_xll.BDP(A9,"NAME"),"")</f>
        <v/>
      </c>
      <c r="C9" s="22">
        <f>IF(LEFT((_xll.BDP(A9,"DVD_DECLARED_DT")),4)="#N/A",NA(),(_xll.BDP(A9,"DVD_DECLARED_DT")))</f>
        <v/>
      </c>
      <c r="D9" s="22">
        <f>IF(LEFT((_xll.BDP(A9,"DVD_EX_DT")),4)="#N/A",NA(),(_xll.BDP(A9,"DVD_EX_DT")))</f>
        <v/>
      </c>
      <c r="E9" s="22">
        <f>IF(LEFT((_xll.BDP(A9,"DVD_SH_LAST")), 4) = "#N/A", NA(), (_xll.BDP(A9,"DVD_SH_LAST")))</f>
        <v/>
      </c>
      <c r="F9" s="22">
        <f>IF(LEFT((_xll.BDP(A9,"DVD_TYP_LAST")), 4) = "#N/A", NA(), (_xll.BDP(A9,"DVD_TYP_LAST")))</f>
        <v/>
      </c>
      <c r="G9" s="16">
        <f>IF(ISNUMBER(C9),IF(C9&gt;=Settings!$B$5,"Y","N"),"")</f>
        <v/>
      </c>
      <c r="H9" s="16">
        <f>IF(G9="Y",IF(ISNUMBER(SEARCH("Special",F9)),"SPECIAL DIVIDEND","NEW DIVIDEND"),IF(ISNUMBER(SEARCH("Special",F9)),"SPECIAL DIVIDEND",""))</f>
        <v/>
      </c>
    </row>
    <row r="10">
      <c r="A10" s="16">
        <f>'STI30 Universe'!A11</f>
        <v/>
      </c>
      <c r="B10" s="22">
        <f>IFERROR(_xll.BDP(A10,"NAME"),"")</f>
        <v/>
      </c>
      <c r="C10" s="22">
        <f>IF(LEFT((_xll.BDP(A10,"DVD_DECLARED_DT")),4)="#N/A",NA(),(_xll.BDP(A10,"DVD_DECLARED_DT")))</f>
        <v/>
      </c>
      <c r="D10" s="22">
        <f>IF(LEFT((_xll.BDP(A10,"DVD_EX_DT")),4)="#N/A",NA(),(_xll.BDP(A10,"DVD_EX_DT")))</f>
        <v/>
      </c>
      <c r="E10" s="22">
        <f>IF(LEFT((_xll.BDP(A10,"DVD_SH_LAST")), 4) = "#N/A", NA(), (_xll.BDP(A10,"DVD_SH_LAST")))</f>
        <v/>
      </c>
      <c r="F10" s="22">
        <f>IF(LEFT((_xll.BDP(A10,"DVD_TYP_LAST")), 4) = "#N/A", NA(), (_xll.BDP(A10,"DVD_TYP_LAST")))</f>
        <v/>
      </c>
      <c r="G10" s="16">
        <f>IF(ISNUMBER(C10),IF(C10&gt;=Settings!$B$5,"Y","N"),"")</f>
        <v/>
      </c>
      <c r="H10" s="16">
        <f>IF(G10="Y",IF(ISNUMBER(SEARCH("Special",F10)),"SPECIAL DIVIDEND","NEW DIVIDEND"),IF(ISNUMBER(SEARCH("Special",F10)),"SPECIAL DIVIDEND",""))</f>
        <v/>
      </c>
    </row>
    <row r="11">
      <c r="A11" s="16">
        <f>'STI30 Universe'!A12</f>
        <v/>
      </c>
      <c r="B11" s="22">
        <f>IFERROR(_xll.BDP(A11,"NAME"),"")</f>
        <v/>
      </c>
      <c r="C11" s="22">
        <f>IF(LEFT((_xll.BDP(A11,"DVD_DECLARED_DT")),4)="#N/A",NA(),(_xll.BDP(A11,"DVD_DECLARED_DT")))</f>
        <v/>
      </c>
      <c r="D11" s="22">
        <f>IF(LEFT((_xll.BDP(A11,"DVD_EX_DT")),4)="#N/A",NA(),(_xll.BDP(A11,"DVD_EX_DT")))</f>
        <v/>
      </c>
      <c r="E11" s="22">
        <f>IF(LEFT((_xll.BDP(A11,"DVD_SH_LAST")), 4) = "#N/A", NA(), (_xll.BDP(A11,"DVD_SH_LAST")))</f>
        <v/>
      </c>
      <c r="F11" s="22">
        <f>IF(LEFT((_xll.BDP(A11,"DVD_TYP_LAST")), 4) = "#N/A", NA(), (_xll.BDP(A11,"DVD_TYP_LAST")))</f>
        <v/>
      </c>
      <c r="G11" s="16">
        <f>IF(ISNUMBER(C11),IF(C11&gt;=Settings!$B$5,"Y","N"),"")</f>
        <v/>
      </c>
      <c r="H11" s="16">
        <f>IF(G11="Y",IF(ISNUMBER(SEARCH("Special",F11)),"SPECIAL DIVIDEND","NEW DIVIDEND"),IF(ISNUMBER(SEARCH("Special",F11)),"SPECIAL DIVIDEND",""))</f>
        <v/>
      </c>
    </row>
    <row r="12">
      <c r="A12" s="16">
        <f>'STI30 Universe'!A13</f>
        <v/>
      </c>
      <c r="B12" s="22">
        <f>IFERROR(_xll.BDP(A12,"NAME"),"")</f>
        <v/>
      </c>
      <c r="C12" s="22">
        <f>IF(LEFT((_xll.BDP(A12,"DVD_DECLARED_DT")),4)="#N/A",NA(),(_xll.BDP(A12,"DVD_DECLARED_DT")))</f>
        <v/>
      </c>
      <c r="D12" s="22">
        <f>IF(LEFT((_xll.BDP(A12,"DVD_EX_DT")),4)="#N/A",NA(),(_xll.BDP(A12,"DVD_EX_DT")))</f>
        <v/>
      </c>
      <c r="E12" s="22">
        <f>IF(LEFT((_xll.BDP(A12,"DVD_SH_LAST")), 4) = "#N/A", NA(), (_xll.BDP(A12,"DVD_SH_LAST")))</f>
        <v/>
      </c>
      <c r="F12" s="22">
        <f>IF(LEFT((_xll.BDP(A12,"DVD_TYP_LAST")), 4) = "#N/A", NA(), (_xll.BDP(A12,"DVD_TYP_LAST")))</f>
        <v/>
      </c>
      <c r="G12" s="16">
        <f>IF(ISNUMBER(C12),IF(C12&gt;=Settings!$B$5,"Y","N"),"")</f>
        <v/>
      </c>
      <c r="H12" s="16">
        <f>IF(G12="Y",IF(ISNUMBER(SEARCH("Special",F12)),"SPECIAL DIVIDEND","NEW DIVIDEND"),IF(ISNUMBER(SEARCH("Special",F12)),"SPECIAL DIVIDEND",""))</f>
        <v/>
      </c>
    </row>
    <row r="13">
      <c r="A13" s="16">
        <f>'STI30 Universe'!A14</f>
        <v/>
      </c>
      <c r="B13" s="22">
        <f>IFERROR(_xll.BDP(A13,"NAME"),"")</f>
        <v/>
      </c>
      <c r="C13" s="22">
        <f>IF(LEFT((_xll.BDP(A13,"DVD_DECLARED_DT")),4)="#N/A",NA(),(_xll.BDP(A13,"DVD_DECLARED_DT")))</f>
        <v/>
      </c>
      <c r="D13" s="22">
        <f>IF(LEFT((_xll.BDP(A13,"DVD_EX_DT")),4)="#N/A",NA(),(_xll.BDP(A13,"DVD_EX_DT")))</f>
        <v/>
      </c>
      <c r="E13" s="22">
        <f>IF(LEFT((_xll.BDP(A13,"DVD_SH_LAST")), 4) = "#N/A", NA(), (_xll.BDP(A13,"DVD_SH_LAST")))</f>
        <v/>
      </c>
      <c r="F13" s="22">
        <f>IF(LEFT((_xll.BDP(A13,"DVD_TYP_LAST")), 4) = "#N/A", NA(), (_xll.BDP(A13,"DVD_TYP_LAST")))</f>
        <v/>
      </c>
      <c r="G13" s="16">
        <f>IF(ISNUMBER(C13),IF(C13&gt;=Settings!$B$5,"Y","N"),"")</f>
        <v/>
      </c>
      <c r="H13" s="16">
        <f>IF(G13="Y",IF(ISNUMBER(SEARCH("Special",F13)),"SPECIAL DIVIDEND","NEW DIVIDEND"),IF(ISNUMBER(SEARCH("Special",F13)),"SPECIAL DIVIDEND",""))</f>
        <v/>
      </c>
    </row>
    <row r="14">
      <c r="A14" s="16">
        <f>'STI30 Universe'!A15</f>
        <v/>
      </c>
      <c r="B14" s="22">
        <f>IFERROR(_xll.BDP(A14,"NAME"),"")</f>
        <v/>
      </c>
      <c r="C14" s="22">
        <f>IF(LEFT((_xll.BDP(A14,"DVD_DECLARED_DT")),4)="#N/A",NA(),(_xll.BDP(A14,"DVD_DECLARED_DT")))</f>
        <v/>
      </c>
      <c r="D14" s="22">
        <f>IF(LEFT((_xll.BDP(A14,"DVD_EX_DT")),4)="#N/A",NA(),(_xll.BDP(A14,"DVD_EX_DT")))</f>
        <v/>
      </c>
      <c r="E14" s="22">
        <f>IF(LEFT((_xll.BDP(A14,"DVD_SH_LAST")), 4) = "#N/A", NA(), (_xll.BDP(A14,"DVD_SH_LAST")))</f>
        <v/>
      </c>
      <c r="F14" s="22">
        <f>IF(LEFT((_xll.BDP(A14,"DVD_TYP_LAST")), 4) = "#N/A", NA(), (_xll.BDP(A14,"DVD_TYP_LAST")))</f>
        <v/>
      </c>
      <c r="G14" s="16">
        <f>IF(ISNUMBER(C14),IF(C14&gt;=Settings!$B$5,"Y","N"),"")</f>
        <v/>
      </c>
      <c r="H14" s="16">
        <f>IF(G14="Y",IF(ISNUMBER(SEARCH("Special",F14)),"SPECIAL DIVIDEND","NEW DIVIDEND"),IF(ISNUMBER(SEARCH("Special",F14)),"SPECIAL DIVIDEND",""))</f>
        <v/>
      </c>
    </row>
    <row r="15">
      <c r="A15" s="16">
        <f>'STI30 Universe'!A16</f>
        <v/>
      </c>
      <c r="B15" s="22">
        <f>IFERROR(_xll.BDP(A15,"NAME"),"")</f>
        <v/>
      </c>
      <c r="C15" s="22">
        <f>IF(LEFT((_xll.BDP(A15,"DVD_DECLARED_DT")),4)="#N/A",NA(),(_xll.BDP(A15,"DVD_DECLARED_DT")))</f>
        <v/>
      </c>
      <c r="D15" s="22">
        <f>IF(LEFT((_xll.BDP(A15,"DVD_EX_DT")),4)="#N/A",NA(),(_xll.BDP(A15,"DVD_EX_DT")))</f>
        <v/>
      </c>
      <c r="E15" s="22">
        <f>IF(LEFT((_xll.BDP(A15,"DVD_SH_LAST")), 4) = "#N/A", NA(), (_xll.BDP(A15,"DVD_SH_LAST")))</f>
        <v/>
      </c>
      <c r="F15" s="22">
        <f>IF(LEFT((_xll.BDP(A15,"DVD_TYP_LAST")), 4) = "#N/A", NA(), (_xll.BDP(A15,"DVD_TYP_LAST")))</f>
        <v/>
      </c>
      <c r="G15" s="16">
        <f>IF(ISNUMBER(C15),IF(C15&gt;=Settings!$B$5,"Y","N"),"")</f>
        <v/>
      </c>
      <c r="H15" s="16">
        <f>IF(G15="Y",IF(ISNUMBER(SEARCH("Special",F15)),"SPECIAL DIVIDEND","NEW DIVIDEND"),IF(ISNUMBER(SEARCH("Special",F15)),"SPECIAL DIVIDEND",""))</f>
        <v/>
      </c>
    </row>
    <row r="16">
      <c r="A16" s="16">
        <f>'STI30 Universe'!A17</f>
        <v/>
      </c>
      <c r="B16" s="22">
        <f>IFERROR(_xll.BDP(A16,"NAME"),"")</f>
        <v/>
      </c>
      <c r="C16" s="22">
        <f>IF(LEFT((_xll.BDP(A16,"DVD_DECLARED_DT")),4)="#N/A",NA(),(_xll.BDP(A16,"DVD_DECLARED_DT")))</f>
        <v/>
      </c>
      <c r="D16" s="22">
        <f>IF(LEFT((_xll.BDP(A16,"DVD_EX_DT")),4)="#N/A",NA(),(_xll.BDP(A16,"DVD_EX_DT")))</f>
        <v/>
      </c>
      <c r="E16" s="22">
        <f>IF(LEFT((_xll.BDP(A16,"DVD_SH_LAST")), 4) = "#N/A", NA(), (_xll.BDP(A16,"DVD_SH_LAST")))</f>
        <v/>
      </c>
      <c r="F16" s="22">
        <f>IF(LEFT((_xll.BDP(A16,"DVD_TYP_LAST")), 4) = "#N/A", NA(), (_xll.BDP(A16,"DVD_TYP_LAST")))</f>
        <v/>
      </c>
      <c r="G16" s="16">
        <f>IF(ISNUMBER(C16),IF(C16&gt;=Settings!$B$5,"Y","N"),"")</f>
        <v/>
      </c>
      <c r="H16" s="16">
        <f>IF(G16="Y",IF(ISNUMBER(SEARCH("Special",F16)),"SPECIAL DIVIDEND","NEW DIVIDEND"),IF(ISNUMBER(SEARCH("Special",F16)),"SPECIAL DIVIDEND",""))</f>
        <v/>
      </c>
    </row>
    <row r="17">
      <c r="A17" s="16">
        <f>'STI30 Universe'!A18</f>
        <v/>
      </c>
      <c r="B17" s="22">
        <f>IFERROR(_xll.BDP(A17,"NAME"),"")</f>
        <v/>
      </c>
      <c r="C17" s="22">
        <f>IF(LEFT((_xll.BDP(A17,"DVD_DECLARED_DT")),4)="#N/A",NA(),(_xll.BDP(A17,"DVD_DECLARED_DT")))</f>
        <v/>
      </c>
      <c r="D17" s="22">
        <f>IF(LEFT((_xll.BDP(A17,"DVD_EX_DT")),4)="#N/A",NA(),(_xll.BDP(A17,"DVD_EX_DT")))</f>
        <v/>
      </c>
      <c r="E17" s="22">
        <f>IF(LEFT((_xll.BDP(A17,"DVD_SH_LAST")), 4) = "#N/A", NA(), (_xll.BDP(A17,"DVD_SH_LAST")))</f>
        <v/>
      </c>
      <c r="F17" s="22">
        <f>IF(LEFT((_xll.BDP(A17,"DVD_TYP_LAST")), 4) = "#N/A", NA(), (_xll.BDP(A17,"DVD_TYP_LAST")))</f>
        <v/>
      </c>
      <c r="G17" s="16">
        <f>IF(ISNUMBER(C17),IF(C17&gt;=Settings!$B$5,"Y","N"),"")</f>
        <v/>
      </c>
      <c r="H17" s="16">
        <f>IF(G17="Y",IF(ISNUMBER(SEARCH("Special",F17)),"SPECIAL DIVIDEND","NEW DIVIDEND"),IF(ISNUMBER(SEARCH("Special",F17)),"SPECIAL DIVIDEND",""))</f>
        <v/>
      </c>
    </row>
    <row r="18">
      <c r="A18" s="16">
        <f>'STI30 Universe'!A19</f>
        <v/>
      </c>
      <c r="B18" s="22">
        <f>IFERROR(_xll.BDP(A18,"NAME"),"")</f>
        <v/>
      </c>
      <c r="C18" s="22">
        <f>IF(LEFT((_xll.BDP(A18,"DVD_DECLARED_DT")),4)="#N/A",NA(),(_xll.BDP(A18,"DVD_DECLARED_DT")))</f>
        <v/>
      </c>
      <c r="D18" s="22">
        <f>IF(LEFT((_xll.BDP(A18,"DVD_EX_DT")),4)="#N/A",NA(),(_xll.BDP(A18,"DVD_EX_DT")))</f>
        <v/>
      </c>
      <c r="E18" s="22">
        <f>IF(LEFT((_xll.BDP(A18,"DVD_SH_LAST")), 4) = "#N/A", NA(), (_xll.BDP(A18,"DVD_SH_LAST")))</f>
        <v/>
      </c>
      <c r="F18" s="22">
        <f>IF(LEFT((_xll.BDP(A18,"DVD_TYP_LAST")), 4) = "#N/A", NA(), (_xll.BDP(A18,"DVD_TYP_LAST")))</f>
        <v/>
      </c>
      <c r="G18" s="16">
        <f>IF(ISNUMBER(C18),IF(C18&gt;=Settings!$B$5,"Y","N"),"")</f>
        <v/>
      </c>
      <c r="H18" s="16">
        <f>IF(G18="Y",IF(ISNUMBER(SEARCH("Special",F18)),"SPECIAL DIVIDEND","NEW DIVIDEND"),IF(ISNUMBER(SEARCH("Special",F18)),"SPECIAL DIVIDEND",""))</f>
        <v/>
      </c>
    </row>
    <row r="19">
      <c r="A19" s="16">
        <f>'STI30 Universe'!A20</f>
        <v/>
      </c>
      <c r="B19" s="22">
        <f>IFERROR(_xll.BDP(A19,"NAME"),"")</f>
        <v/>
      </c>
      <c r="C19" s="22">
        <f>IF(LEFT((_xll.BDP(A19,"DVD_DECLARED_DT")),4)="#N/A",NA(),(_xll.BDP(A19,"DVD_DECLARED_DT")))</f>
        <v/>
      </c>
      <c r="D19" s="22">
        <f>IF(LEFT((_xll.BDP(A19,"DVD_EX_DT")),4)="#N/A",NA(),(_xll.BDP(A19,"DVD_EX_DT")))</f>
        <v/>
      </c>
      <c r="E19" s="22">
        <f>IF(LEFT((_xll.BDP(A19,"DVD_SH_LAST")), 4) = "#N/A", NA(), (_xll.BDP(A19,"DVD_SH_LAST")))</f>
        <v/>
      </c>
      <c r="F19" s="22">
        <f>IF(LEFT((_xll.BDP(A19,"DVD_TYP_LAST")), 4) = "#N/A", NA(), (_xll.BDP(A19,"DVD_TYP_LAST")))</f>
        <v/>
      </c>
      <c r="G19" s="16">
        <f>IF(ISNUMBER(C19),IF(C19&gt;=Settings!$B$5,"Y","N"),"")</f>
        <v/>
      </c>
      <c r="H19" s="16">
        <f>IF(G19="Y",IF(ISNUMBER(SEARCH("Special",F19)),"SPECIAL DIVIDEND","NEW DIVIDEND"),IF(ISNUMBER(SEARCH("Special",F19)),"SPECIAL DIVIDEND",""))</f>
        <v/>
      </c>
    </row>
    <row r="20">
      <c r="A20" s="16">
        <f>'STI30 Universe'!A21</f>
        <v/>
      </c>
      <c r="B20" s="22">
        <f>IFERROR(_xll.BDP(A20,"NAME"),"")</f>
        <v/>
      </c>
      <c r="C20" s="22">
        <f>IF(LEFT((_xll.BDP(A20,"DVD_DECLARED_DT")),4)="#N/A",NA(),(_xll.BDP(A20,"DVD_DECLARED_DT")))</f>
        <v/>
      </c>
      <c r="D20" s="22">
        <f>IF(LEFT((_xll.BDP(A20,"DVD_EX_DT")),4)="#N/A",NA(),(_xll.BDP(A20,"DVD_EX_DT")))</f>
        <v/>
      </c>
      <c r="E20" s="22">
        <f>IF(LEFT((_xll.BDP(A20,"DVD_SH_LAST")), 4) = "#N/A", NA(), (_xll.BDP(A20,"DVD_SH_LAST")))</f>
        <v/>
      </c>
      <c r="F20" s="22">
        <f>IF(LEFT((_xll.BDP(A20,"DVD_TYP_LAST")), 4) = "#N/A", NA(), (_xll.BDP(A20,"DVD_TYP_LAST")))</f>
        <v/>
      </c>
      <c r="G20" s="16">
        <f>IF(ISNUMBER(C20),IF(C20&gt;=Settings!$B$5,"Y","N"),"")</f>
        <v/>
      </c>
      <c r="H20" s="16">
        <f>IF(G20="Y",IF(ISNUMBER(SEARCH("Special",F20)),"SPECIAL DIVIDEND","NEW DIVIDEND"),IF(ISNUMBER(SEARCH("Special",F20)),"SPECIAL DIVIDEND",""))</f>
        <v/>
      </c>
    </row>
    <row r="21">
      <c r="A21" s="16">
        <f>'STI30 Universe'!A22</f>
        <v/>
      </c>
      <c r="B21" s="22">
        <f>IFERROR(_xll.BDP(A21,"NAME"),"")</f>
        <v/>
      </c>
      <c r="C21" s="22">
        <f>IF(LEFT((_xll.BDP(A21,"DVD_DECLARED_DT")),4)="#N/A",NA(),(_xll.BDP(A21,"DVD_DECLARED_DT")))</f>
        <v/>
      </c>
      <c r="D21" s="22">
        <f>IF(LEFT((_xll.BDP(A21,"DVD_EX_DT")),4)="#N/A",NA(),(_xll.BDP(A21,"DVD_EX_DT")))</f>
        <v/>
      </c>
      <c r="E21" s="22">
        <f>IF(LEFT((_xll.BDP(A21,"DVD_SH_LAST")), 4) = "#N/A", NA(), (_xll.BDP(A21,"DVD_SH_LAST")))</f>
        <v/>
      </c>
      <c r="F21" s="22">
        <f>IF(LEFT((_xll.BDP(A21,"DVD_TYP_LAST")), 4) = "#N/A", NA(), (_xll.BDP(A21,"DVD_TYP_LAST")))</f>
        <v/>
      </c>
      <c r="G21" s="16">
        <f>IF(ISNUMBER(C21),IF(C21&gt;=Settings!$B$5,"Y","N"),"")</f>
        <v/>
      </c>
      <c r="H21" s="16">
        <f>IF(G21="Y",IF(ISNUMBER(SEARCH("Special",F21)),"SPECIAL DIVIDEND","NEW DIVIDEND"),IF(ISNUMBER(SEARCH("Special",F21)),"SPECIAL DIVIDEND",""))</f>
        <v/>
      </c>
    </row>
    <row r="22">
      <c r="A22" s="16">
        <f>'STI30 Universe'!A23</f>
        <v/>
      </c>
      <c r="B22" s="22">
        <f>IFERROR(_xll.BDP(A22,"NAME"),"")</f>
        <v/>
      </c>
      <c r="C22" s="22">
        <f>IF(LEFT((_xll.BDP(A22,"DVD_DECLARED_DT")),4)="#N/A",NA(),(_xll.BDP(A22,"DVD_DECLARED_DT")))</f>
        <v/>
      </c>
      <c r="D22" s="22">
        <f>IF(LEFT((_xll.BDP(A22,"DVD_EX_DT")),4)="#N/A",NA(),(_xll.BDP(A22,"DVD_EX_DT")))</f>
        <v/>
      </c>
      <c r="E22" s="22">
        <f>IF(LEFT((_xll.BDP(A22,"DVD_SH_LAST")), 4) = "#N/A", NA(), (_xll.BDP(A22,"DVD_SH_LAST")))</f>
        <v/>
      </c>
      <c r="F22" s="22">
        <f>IF(LEFT((_xll.BDP(A22,"DVD_TYP_LAST")), 4) = "#N/A", NA(), (_xll.BDP(A22,"DVD_TYP_LAST")))</f>
        <v/>
      </c>
      <c r="G22" s="16">
        <f>IF(ISNUMBER(C22),IF(C22&gt;=Settings!$B$5,"Y","N"),"")</f>
        <v/>
      </c>
      <c r="H22" s="16">
        <f>IF(G22="Y",IF(ISNUMBER(SEARCH("Special",F22)),"SPECIAL DIVIDEND","NEW DIVIDEND"),IF(ISNUMBER(SEARCH("Special",F22)),"SPECIAL DIVIDEND",""))</f>
        <v/>
      </c>
    </row>
    <row r="23">
      <c r="A23" s="16">
        <f>'STI30 Universe'!A24</f>
        <v/>
      </c>
      <c r="B23" s="22">
        <f>IFERROR(_xll.BDP(A23,"NAME"),"")</f>
        <v/>
      </c>
      <c r="C23" s="22">
        <f>IF(LEFT((_xll.BDP(A23,"DVD_DECLARED_DT")),4)="#N/A",NA(),(_xll.BDP(A23,"DVD_DECLARED_DT")))</f>
        <v/>
      </c>
      <c r="D23" s="22">
        <f>IF(LEFT((_xll.BDP(A23,"DVD_EX_DT")),4)="#N/A",NA(),(_xll.BDP(A23,"DVD_EX_DT")))</f>
        <v/>
      </c>
      <c r="E23" s="22">
        <f>IF(LEFT((_xll.BDP(A23,"DVD_SH_LAST")), 4) = "#N/A", NA(), (_xll.BDP(A23,"DVD_SH_LAST")))</f>
        <v/>
      </c>
      <c r="F23" s="22">
        <f>IF(LEFT((_xll.BDP(A23,"DVD_TYP_LAST")), 4) = "#N/A", NA(), (_xll.BDP(A23,"DVD_TYP_LAST")))</f>
        <v/>
      </c>
      <c r="G23" s="16">
        <f>IF(ISNUMBER(C23),IF(C23&gt;=Settings!$B$5,"Y","N"),"")</f>
        <v/>
      </c>
      <c r="H23" s="16">
        <f>IF(G23="Y",IF(ISNUMBER(SEARCH("Special",F23)),"SPECIAL DIVIDEND","NEW DIVIDEND"),IF(ISNUMBER(SEARCH("Special",F23)),"SPECIAL DIVIDEND",""))</f>
        <v/>
      </c>
    </row>
    <row r="24">
      <c r="A24" s="16">
        <f>'STI30 Universe'!A25</f>
        <v/>
      </c>
      <c r="B24" s="22">
        <f>IFERROR(_xll.BDP(A24,"NAME"),"")</f>
        <v/>
      </c>
      <c r="C24" s="22">
        <f>IF(LEFT((_xll.BDP(A24,"DVD_DECLARED_DT")),4)="#N/A",NA(),(_xll.BDP(A24,"DVD_DECLARED_DT")))</f>
        <v/>
      </c>
      <c r="D24" s="22">
        <f>IF(LEFT((_xll.BDP(A24,"DVD_EX_DT")),4)="#N/A",NA(),(_xll.BDP(A24,"DVD_EX_DT")))</f>
        <v/>
      </c>
      <c r="E24" s="22">
        <f>IF(LEFT((_xll.BDP(A24,"DVD_SH_LAST")), 4) = "#N/A", NA(), (_xll.BDP(A24,"DVD_SH_LAST")))</f>
        <v/>
      </c>
      <c r="F24" s="22">
        <f>IF(LEFT((_xll.BDP(A24,"DVD_TYP_LAST")), 4) = "#N/A", NA(), (_xll.BDP(A24,"DVD_TYP_LAST")))</f>
        <v/>
      </c>
      <c r="G24" s="16">
        <f>IF(ISNUMBER(C24),IF(C24&gt;=Settings!$B$5,"Y","N"),"")</f>
        <v/>
      </c>
      <c r="H24" s="16">
        <f>IF(G24="Y",IF(ISNUMBER(SEARCH("Special",F24)),"SPECIAL DIVIDEND","NEW DIVIDEND"),IF(ISNUMBER(SEARCH("Special",F24)),"SPECIAL DIVIDEND",""))</f>
        <v/>
      </c>
    </row>
    <row r="25">
      <c r="A25" s="16">
        <f>'STI30 Universe'!A26</f>
        <v/>
      </c>
      <c r="B25" s="22">
        <f>IFERROR(_xll.BDP(A25,"NAME"),"")</f>
        <v/>
      </c>
      <c r="C25" s="22">
        <f>IF(LEFT((_xll.BDP(A25,"DVD_DECLARED_DT")),4)="#N/A",NA(),(_xll.BDP(A25,"DVD_DECLARED_DT")))</f>
        <v/>
      </c>
      <c r="D25" s="22">
        <f>IF(LEFT((_xll.BDP(A25,"DVD_EX_DT")),4)="#N/A",NA(),(_xll.BDP(A25,"DVD_EX_DT")))</f>
        <v/>
      </c>
      <c r="E25" s="22">
        <f>IF(LEFT((_xll.BDP(A25,"DVD_SH_LAST")), 4) = "#N/A", NA(), (_xll.BDP(A25,"DVD_SH_LAST")))</f>
        <v/>
      </c>
      <c r="F25" s="22">
        <f>IF(LEFT((_xll.BDP(A25,"DVD_TYP_LAST")), 4) = "#N/A", NA(), (_xll.BDP(A25,"DVD_TYP_LAST")))</f>
        <v/>
      </c>
      <c r="G25" s="16">
        <f>IF(ISNUMBER(C25),IF(C25&gt;=Settings!$B$5,"Y","N"),"")</f>
        <v/>
      </c>
      <c r="H25" s="16">
        <f>IF(G25="Y",IF(ISNUMBER(SEARCH("Special",F25)),"SPECIAL DIVIDEND","NEW DIVIDEND"),IF(ISNUMBER(SEARCH("Special",F25)),"SPECIAL DIVIDEND",""))</f>
        <v/>
      </c>
    </row>
    <row r="26">
      <c r="A26" s="16">
        <f>'STI30 Universe'!A27</f>
        <v/>
      </c>
      <c r="B26" s="22">
        <f>IFERROR(_xll.BDP(A26,"NAME"),"")</f>
        <v/>
      </c>
      <c r="C26" s="22">
        <f>IF(LEFT((_xll.BDP(A26,"DVD_DECLARED_DT")),4)="#N/A",NA(),(_xll.BDP(A26,"DVD_DECLARED_DT")))</f>
        <v/>
      </c>
      <c r="D26" s="22">
        <f>IF(LEFT((_xll.BDP(A26,"DVD_EX_DT")),4)="#N/A",NA(),(_xll.BDP(A26,"DVD_EX_DT")))</f>
        <v/>
      </c>
      <c r="E26" s="22">
        <f>IF(LEFT((_xll.BDP(A26,"DVD_SH_LAST")), 4) = "#N/A", NA(), (_xll.BDP(A26,"DVD_SH_LAST")))</f>
        <v/>
      </c>
      <c r="F26" s="22">
        <f>IF(LEFT((_xll.BDP(A26,"DVD_TYP_LAST")), 4) = "#N/A", NA(), (_xll.BDP(A26,"DVD_TYP_LAST")))</f>
        <v/>
      </c>
      <c r="G26" s="16">
        <f>IF(ISNUMBER(C26),IF(C26&gt;=Settings!$B$5,"Y","N"),"")</f>
        <v/>
      </c>
      <c r="H26" s="16">
        <f>IF(G26="Y",IF(ISNUMBER(SEARCH("Special",F26)),"SPECIAL DIVIDEND","NEW DIVIDEND"),IF(ISNUMBER(SEARCH("Special",F26)),"SPECIAL DIVIDEND",""))</f>
        <v/>
      </c>
    </row>
    <row r="27">
      <c r="A27" s="16">
        <f>'STI30 Universe'!A28</f>
        <v/>
      </c>
      <c r="B27" s="22">
        <f>IFERROR(_xll.BDP(A27,"NAME"),"")</f>
        <v/>
      </c>
      <c r="C27" s="22">
        <f>IF(LEFT((_xll.BDP(A27,"DVD_DECLARED_DT")),4)="#N/A",NA(),(_xll.BDP(A27,"DVD_DECLARED_DT")))</f>
        <v/>
      </c>
      <c r="D27" s="22">
        <f>IF(LEFT((_xll.BDP(A27,"DVD_EX_DT")),4)="#N/A",NA(),(_xll.BDP(A27,"DVD_EX_DT")))</f>
        <v/>
      </c>
      <c r="E27" s="22">
        <f>IF(LEFT((_xll.BDP(A27,"DVD_SH_LAST")), 4) = "#N/A", NA(), (_xll.BDP(A27,"DVD_SH_LAST")))</f>
        <v/>
      </c>
      <c r="F27" s="22">
        <f>IF(LEFT((_xll.BDP(A27,"DVD_TYP_LAST")), 4) = "#N/A", NA(), (_xll.BDP(A27,"DVD_TYP_LAST")))</f>
        <v/>
      </c>
      <c r="G27" s="16">
        <f>IF(ISNUMBER(C27),IF(C27&gt;=Settings!$B$5,"Y","N"),"")</f>
        <v/>
      </c>
      <c r="H27" s="16">
        <f>IF(G27="Y",IF(ISNUMBER(SEARCH("Special",F27)),"SPECIAL DIVIDEND","NEW DIVIDEND"),IF(ISNUMBER(SEARCH("Special",F27)),"SPECIAL DIVIDEND",""))</f>
        <v/>
      </c>
    </row>
    <row r="28">
      <c r="A28" s="16">
        <f>'STI30 Universe'!A29</f>
        <v/>
      </c>
      <c r="B28" s="22">
        <f>IFERROR(_xll.BDP(A28,"NAME"),"")</f>
        <v/>
      </c>
      <c r="C28" s="22">
        <f>IF(LEFT((_xll.BDP(A28,"DVD_DECLARED_DT")),4)="#N/A",NA(),(_xll.BDP(A28,"DVD_DECLARED_DT")))</f>
        <v/>
      </c>
      <c r="D28" s="22">
        <f>IF(LEFT((_xll.BDP(A28,"DVD_EX_DT")),4)="#N/A",NA(),(_xll.BDP(A28,"DVD_EX_DT")))</f>
        <v/>
      </c>
      <c r="E28" s="22">
        <f>IF(LEFT((_xll.BDP(A28,"DVD_SH_LAST")), 4) = "#N/A", NA(), (_xll.BDP(A28,"DVD_SH_LAST")))</f>
        <v/>
      </c>
      <c r="F28" s="22">
        <f>IF(LEFT((_xll.BDP(A28,"DVD_TYP_LAST")), 4) = "#N/A", NA(), (_xll.BDP(A28,"DVD_TYP_LAST")))</f>
        <v/>
      </c>
      <c r="G28" s="16">
        <f>IF(ISNUMBER(C28),IF(C28&gt;=Settings!$B$5,"Y","N"),"")</f>
        <v/>
      </c>
      <c r="H28" s="16">
        <f>IF(G28="Y",IF(ISNUMBER(SEARCH("Special",F28)),"SPECIAL DIVIDEND","NEW DIVIDEND"),IF(ISNUMBER(SEARCH("Special",F28)),"SPECIAL DIVIDEND",""))</f>
        <v/>
      </c>
    </row>
    <row r="29">
      <c r="A29" s="16">
        <f>'STI30 Universe'!A30</f>
        <v/>
      </c>
      <c r="B29" s="22">
        <f>IFERROR(_xll.BDP(A29,"NAME"),"")</f>
        <v/>
      </c>
      <c r="C29" s="22">
        <f>IF(LEFT((_xll.BDP(A29,"DVD_DECLARED_DT")),4)="#N/A",NA(),(_xll.BDP(A29,"DVD_DECLARED_DT")))</f>
        <v/>
      </c>
      <c r="D29" s="22">
        <f>IF(LEFT((_xll.BDP(A29,"DVD_EX_DT")),4)="#N/A",NA(),(_xll.BDP(A29,"DVD_EX_DT")))</f>
        <v/>
      </c>
      <c r="E29" s="22">
        <f>IF(LEFT((_xll.BDP(A29,"DVD_SH_LAST")), 4) = "#N/A", NA(), (_xll.BDP(A29,"DVD_SH_LAST")))</f>
        <v/>
      </c>
      <c r="F29" s="22">
        <f>IF(LEFT((_xll.BDP(A29,"DVD_TYP_LAST")), 4) = "#N/A", NA(), (_xll.BDP(A29,"DVD_TYP_LAST")))</f>
        <v/>
      </c>
      <c r="G29" s="16">
        <f>IF(ISNUMBER(C29),IF(C29&gt;=Settings!$B$5,"Y","N"),"")</f>
        <v/>
      </c>
      <c r="H29" s="16">
        <f>IF(G29="Y",IF(ISNUMBER(SEARCH("Special",F29)),"SPECIAL DIVIDEND","NEW DIVIDEND"),IF(ISNUMBER(SEARCH("Special",F29)),"SPECIAL DIVIDEND",""))</f>
        <v/>
      </c>
    </row>
    <row r="30">
      <c r="A30" s="16">
        <f>'STI30 Universe'!A31</f>
        <v/>
      </c>
      <c r="B30" s="22">
        <f>IFERROR(_xll.BDP(A30,"NAME"),"")</f>
        <v/>
      </c>
      <c r="C30" s="22">
        <f>IF(LEFT((_xll.BDP(A30,"DVD_DECLARED_DT")),4)="#N/A",NA(),(_xll.BDP(A30,"DVD_DECLARED_DT")))</f>
        <v/>
      </c>
      <c r="D30" s="22">
        <f>IF(LEFT((_xll.BDP(A30,"DVD_EX_DT")),4)="#N/A",NA(),(_xll.BDP(A30,"DVD_EX_DT")))</f>
        <v/>
      </c>
      <c r="E30" s="22">
        <f>IF(LEFT((_xll.BDP(A30,"DVD_SH_LAST")), 4) = "#N/A", NA(), (_xll.BDP(A30,"DVD_SH_LAST")))</f>
        <v/>
      </c>
      <c r="F30" s="22">
        <f>IF(LEFT((_xll.BDP(A30,"DVD_TYP_LAST")), 4) = "#N/A", NA(), (_xll.BDP(A30,"DVD_TYP_LAST")))</f>
        <v/>
      </c>
      <c r="G30" s="16">
        <f>IF(ISNUMBER(C30),IF(C30&gt;=Settings!$B$5,"Y","N"),"")</f>
        <v/>
      </c>
      <c r="H30" s="16">
        <f>IF(G30="Y",IF(ISNUMBER(SEARCH("Special",F30)),"SPECIAL DIVIDEND","NEW DIVIDEND"),IF(ISNUMBER(SEARCH("Special",F30)),"SPECIAL DIVIDEND",""))</f>
        <v/>
      </c>
    </row>
    <row r="31">
      <c r="A31" s="16">
        <f>'STI30 Universe'!A32</f>
        <v/>
      </c>
      <c r="B31" s="22">
        <f>IFERROR(_xll.BDP(A31,"NAME"),"")</f>
        <v/>
      </c>
      <c r="C31" s="22">
        <f>IF(LEFT((_xll.BDP(A31,"DVD_DECLARED_DT")),4)="#N/A",NA(),(_xll.BDP(A31,"DVD_DECLARED_DT")))</f>
        <v/>
      </c>
      <c r="D31" s="22">
        <f>IF(LEFT((_xll.BDP(A31,"DVD_EX_DT")),4)="#N/A",NA(),(_xll.BDP(A31,"DVD_EX_DT")))</f>
        <v/>
      </c>
      <c r="E31" s="22">
        <f>IF(LEFT((_xll.BDP(A31,"DVD_SH_LAST")), 4) = "#N/A", NA(), (_xll.BDP(A31,"DVD_SH_LAST")))</f>
        <v/>
      </c>
      <c r="F31" s="22">
        <f>IF(LEFT((_xll.BDP(A31,"DVD_TYP_LAST")), 4) = "#N/A", NA(), (_xll.BDP(A31,"DVD_TYP_LAST")))</f>
        <v/>
      </c>
      <c r="G31" s="16">
        <f>IF(ISNUMBER(C31),IF(C31&gt;=Settings!$B$5,"Y","N"),"")</f>
        <v/>
      </c>
      <c r="H31" s="16">
        <f>IF(G31="Y",IF(ISNUMBER(SEARCH("Special",F31)),"SPECIAL DIVIDEND","NEW DIVIDEND"),IF(ISNUMBER(SEARCH("Special",F31)),"SPECIAL DIVIDEND",""))</f>
        <v/>
      </c>
    </row>
    <row r="32">
      <c r="A32" s="16">
        <f>'STI30 Universe'!A33</f>
        <v/>
      </c>
      <c r="B32" s="22">
        <f>IFERROR(_xll.BDP(A32,"NAME"),"")</f>
        <v/>
      </c>
      <c r="C32" s="22">
        <f>IF(LEFT((_xll.BDP(A32,"DVD_DECLARED_DT")),4)="#N/A",NA(),(_xll.BDP(A32,"DVD_DECLARED_DT")))</f>
        <v/>
      </c>
      <c r="D32" s="22">
        <f>IF(LEFT((_xll.BDP(A32,"DVD_EX_DT")),4)="#N/A",NA(),(_xll.BDP(A32,"DVD_EX_DT")))</f>
        <v/>
      </c>
      <c r="E32" s="22">
        <f>IF(LEFT((_xll.BDP(A32,"DVD_SH_LAST")), 4) = "#N/A", NA(), (_xll.BDP(A32,"DVD_SH_LAST")))</f>
        <v/>
      </c>
      <c r="F32" s="22">
        <f>IF(LEFT((_xll.BDP(A32,"DVD_TYP_LAST")), 4) = "#N/A", NA(), (_xll.BDP(A32,"DVD_TYP_LAST")))</f>
        <v/>
      </c>
      <c r="G32" s="16">
        <f>IF(ISNUMBER(C32),IF(C32&gt;=Settings!$B$5,"Y","N"),"")</f>
        <v/>
      </c>
      <c r="H32" s="16">
        <f>IF(G32="Y",IF(ISNUMBER(SEARCH("Special",F32)),"SPECIAL DIVIDEND","NEW DIVIDEND"),IF(ISNUMBER(SEARCH("Special",F32)),"SPECIAL DIVIDEND",""))</f>
        <v/>
      </c>
    </row>
    <row r="33">
      <c r="A33" s="16">
        <f>'STI30 Universe'!A34</f>
        <v/>
      </c>
      <c r="B33" s="22">
        <f>IFERROR(_xll.BDP(A33,"NAME"),"")</f>
        <v/>
      </c>
      <c r="C33" s="22">
        <f>IF(LEFT((_xll.BDP(A33,"DVD_DECLARED_DT")),4)="#N/A",NA(),(_xll.BDP(A33,"DVD_DECLARED_DT")))</f>
        <v/>
      </c>
      <c r="D33" s="22">
        <f>IF(LEFT((_xll.BDP(A33,"DVD_EX_DT")),4)="#N/A",NA(),(_xll.BDP(A33,"DVD_EX_DT")))</f>
        <v/>
      </c>
      <c r="E33" s="22">
        <f>IF(LEFT((_xll.BDP(A33,"DVD_SH_LAST")), 4) = "#N/A", NA(), (_xll.BDP(A33,"DVD_SH_LAST")))</f>
        <v/>
      </c>
      <c r="F33" s="22">
        <f>IF(LEFT((_xll.BDP(A33,"DVD_TYP_LAST")), 4) = "#N/A", NA(), (_xll.BDP(A33,"DVD_TYP_LAST")))</f>
        <v/>
      </c>
      <c r="G33" s="16">
        <f>IF(ISNUMBER(C33),IF(C33&gt;=Settings!$B$5,"Y","N"),"")</f>
        <v/>
      </c>
      <c r="H33" s="16">
        <f>IF(G33="Y",IF(ISNUMBER(SEARCH("Special",F33)),"SPECIAL DIVIDEND","NEW DIVIDEND"),IF(ISNUMBER(SEARCH("Special",F33)),"SPECIAL DIVIDEND",""))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16" customWidth="1" min="4" max="4"/>
    <col width="16" customWidth="1" min="5" max="5"/>
    <col width="12" customWidth="1" min="6" max="6"/>
    <col width="10" customWidth="1" min="7" max="7"/>
    <col width="14" customWidth="1" min="8" max="8"/>
    <col width="16" customWidth="1" min="9" max="9"/>
    <col width="22" customWidth="1" min="10" max="10"/>
  </cols>
  <sheetData>
    <row r="1" ht="22" customHeight="1">
      <c r="A1" s="13" t="inlineStr">
        <is>
          <t>Equity Offerings / Splits / Rights Tracker — STI Top 30</t>
        </is>
      </c>
    </row>
    <row r="2">
      <c r="A2" s="15" t="inlineStr">
        <is>
          <t>Note: columns D–H populate from the live BDS array in column C once opened in Bloomberg Excel and recalculated.</t>
        </is>
      </c>
    </row>
    <row r="3">
      <c r="A3" s="14" t="inlineStr">
        <is>
          <t>Ticker</t>
        </is>
      </c>
      <c r="B3" s="14" t="inlineStr">
        <is>
          <t>Name</t>
        </is>
      </c>
      <c r="C3" s="14" t="inlineStr">
        <is>
          <t>Action ID / Details (Bloomberg BDS spill → C:H)</t>
        </is>
      </c>
      <c r="D3" s="14" t="inlineStr">
        <is>
          <t>Type of Offering</t>
        </is>
      </c>
      <c r="E3" s="14" t="inlineStr">
        <is>
          <t>Announcement Date</t>
        </is>
      </c>
      <c r="F3" s="14" t="inlineStr">
        <is>
          <t>Status</t>
        </is>
      </c>
      <c r="G3" s="14" t="inlineStr">
        <is>
          <t>Currency</t>
        </is>
      </c>
      <c r="H3" s="14" t="inlineStr">
        <is>
          <t>Size</t>
        </is>
      </c>
      <c r="I3" s="14" t="inlineStr">
        <is>
          <t>In Lookback Window?</t>
        </is>
      </c>
      <c r="J3" s="14" t="inlineStr">
        <is>
          <t>Flag</t>
        </is>
      </c>
    </row>
    <row r="4">
      <c r="A4" s="16">
        <f>'STI30 Universe'!A5</f>
        <v/>
      </c>
      <c r="B4" s="22">
        <f>IFERROR(_xll.BDP(A4,"NAME"),"")</f>
        <v/>
      </c>
      <c r="C4" s="22">
        <f t="array" ref="C4">_xll.BDS(A4, "EQUITY_OFFERINGS", "sortdesc=3", "endrow=1")</f>
        <v/>
      </c>
      <c r="D4" s="16" t="n"/>
      <c r="E4" s="16" t="n"/>
      <c r="F4" s="16" t="n"/>
      <c r="G4" s="16" t="n"/>
      <c r="H4" s="16" t="n"/>
      <c r="I4" s="16">
        <f>IF(ISNUMBER(E4),IF(E4&gt;=Settings!$B$5,"Y","N"),"")</f>
        <v/>
      </c>
      <c r="J4" s="16">
        <f>IF(I4="Y","RECENT OFFERING/SPLIT/RIGHTS","")</f>
        <v/>
      </c>
    </row>
    <row r="5">
      <c r="A5" s="16">
        <f>'STI30 Universe'!A6</f>
        <v/>
      </c>
      <c r="B5" s="22">
        <f>IFERROR(_xll.BDP(A5,"NAME"),"")</f>
        <v/>
      </c>
      <c r="C5" s="22">
        <f t="array" ref="C5">_xll.BDS(A5, "EQUITY_OFFERINGS", "sortdesc=3", "endrow=1")</f>
        <v/>
      </c>
      <c r="D5" s="16" t="n"/>
      <c r="E5" s="16" t="n"/>
      <c r="F5" s="16" t="n"/>
      <c r="G5" s="16" t="n"/>
      <c r="H5" s="16" t="n"/>
      <c r="I5" s="16">
        <f>IF(ISNUMBER(E5),IF(E5&gt;=Settings!$B$5,"Y","N"),"")</f>
        <v/>
      </c>
      <c r="J5" s="16">
        <f>IF(I5="Y","RECENT OFFERING/SPLIT/RIGHTS","")</f>
        <v/>
      </c>
    </row>
    <row r="6">
      <c r="A6" s="16">
        <f>'STI30 Universe'!A7</f>
        <v/>
      </c>
      <c r="B6" s="22">
        <f>IFERROR(_xll.BDP(A6,"NAME"),"")</f>
        <v/>
      </c>
      <c r="C6" s="22">
        <f t="array" ref="C6">_xll.BDS(A6, "EQUITY_OFFERINGS", "sortdesc=3", "endrow=1")</f>
        <v/>
      </c>
      <c r="D6" s="16" t="n"/>
      <c r="E6" s="16" t="n"/>
      <c r="F6" s="16" t="n"/>
      <c r="G6" s="16" t="n"/>
      <c r="H6" s="16" t="n"/>
      <c r="I6" s="16">
        <f>IF(ISNUMBER(E6),IF(E6&gt;=Settings!$B$5,"Y","N"),"")</f>
        <v/>
      </c>
      <c r="J6" s="16">
        <f>IF(I6="Y","RECENT OFFERING/SPLIT/RIGHTS","")</f>
        <v/>
      </c>
    </row>
    <row r="7">
      <c r="A7" s="16">
        <f>'STI30 Universe'!A8</f>
        <v/>
      </c>
      <c r="B7" s="22">
        <f>IFERROR(_xll.BDP(A7,"NAME"),"")</f>
        <v/>
      </c>
      <c r="C7" s="22">
        <f t="array" ref="C7">_xll.BDS(A7, "EQUITY_OFFERINGS", "sortdesc=3", "endrow=1")</f>
        <v/>
      </c>
      <c r="D7" s="16" t="n"/>
      <c r="E7" s="16" t="n"/>
      <c r="F7" s="16" t="n"/>
      <c r="G7" s="16" t="n"/>
      <c r="H7" s="16" t="n"/>
      <c r="I7" s="16">
        <f>IF(ISNUMBER(E7),IF(E7&gt;=Settings!$B$5,"Y","N"),"")</f>
        <v/>
      </c>
      <c r="J7" s="16">
        <f>IF(I7="Y","RECENT OFFERING/SPLIT/RIGHTS","")</f>
        <v/>
      </c>
    </row>
    <row r="8">
      <c r="A8" s="16">
        <f>'STI30 Universe'!A9</f>
        <v/>
      </c>
      <c r="B8" s="22">
        <f>IFERROR(_xll.BDP(A8,"NAME"),"")</f>
        <v/>
      </c>
      <c r="C8" s="22">
        <f t="array" ref="C8">_xll.BDS(A8, "EQUITY_OFFERINGS", "sortdesc=3", "endrow=1")</f>
        <v/>
      </c>
      <c r="D8" s="16" t="n"/>
      <c r="E8" s="16" t="n"/>
      <c r="F8" s="16" t="n"/>
      <c r="G8" s="16" t="n"/>
      <c r="H8" s="16" t="n"/>
      <c r="I8" s="16">
        <f>IF(ISNUMBER(E8),IF(E8&gt;=Settings!$B$5,"Y","N"),"")</f>
        <v/>
      </c>
      <c r="J8" s="16">
        <f>IF(I8="Y","RECENT OFFERING/SPLIT/RIGHTS","")</f>
        <v/>
      </c>
    </row>
    <row r="9">
      <c r="A9" s="16">
        <f>'STI30 Universe'!A10</f>
        <v/>
      </c>
      <c r="B9" s="22">
        <f>IFERROR(_xll.BDP(A9,"NAME"),"")</f>
        <v/>
      </c>
      <c r="C9" s="22">
        <f t="array" ref="C9">_xll.BDS(A9, "EQUITY_OFFERINGS", "sortdesc=3", "endrow=1")</f>
        <v/>
      </c>
      <c r="D9" s="16" t="n"/>
      <c r="E9" s="16" t="n"/>
      <c r="F9" s="16" t="n"/>
      <c r="G9" s="16" t="n"/>
      <c r="H9" s="16" t="n"/>
      <c r="I9" s="16">
        <f>IF(ISNUMBER(E9),IF(E9&gt;=Settings!$B$5,"Y","N"),"")</f>
        <v/>
      </c>
      <c r="J9" s="16">
        <f>IF(I9="Y","RECENT OFFERING/SPLIT/RIGHTS","")</f>
        <v/>
      </c>
    </row>
    <row r="10">
      <c r="A10" s="16">
        <f>'STI30 Universe'!A11</f>
        <v/>
      </c>
      <c r="B10" s="22">
        <f>IFERROR(_xll.BDP(A10,"NAME"),"")</f>
        <v/>
      </c>
      <c r="C10" s="22">
        <f t="array" ref="C10">_xll.BDS(A10, "EQUITY_OFFERINGS", "sortdesc=3", "endrow=1")</f>
        <v/>
      </c>
      <c r="D10" s="16" t="n"/>
      <c r="E10" s="16" t="n"/>
      <c r="F10" s="16" t="n"/>
      <c r="G10" s="16" t="n"/>
      <c r="H10" s="16" t="n"/>
      <c r="I10" s="16">
        <f>IF(ISNUMBER(E10),IF(E10&gt;=Settings!$B$5,"Y","N"),"")</f>
        <v/>
      </c>
      <c r="J10" s="16">
        <f>IF(I10="Y","RECENT OFFERING/SPLIT/RIGHTS","")</f>
        <v/>
      </c>
    </row>
    <row r="11">
      <c r="A11" s="16">
        <f>'STI30 Universe'!A12</f>
        <v/>
      </c>
      <c r="B11" s="22">
        <f>IFERROR(_xll.BDP(A11,"NAME"),"")</f>
        <v/>
      </c>
      <c r="C11" s="22">
        <f t="array" ref="C11">_xll.BDS(A11, "EQUITY_OFFERINGS", "sortdesc=3", "endrow=1")</f>
        <v/>
      </c>
      <c r="D11" s="16" t="n"/>
      <c r="E11" s="16" t="n"/>
      <c r="F11" s="16" t="n"/>
      <c r="G11" s="16" t="n"/>
      <c r="H11" s="16" t="n"/>
      <c r="I11" s="16">
        <f>IF(ISNUMBER(E11),IF(E11&gt;=Settings!$B$5,"Y","N"),"")</f>
        <v/>
      </c>
      <c r="J11" s="16">
        <f>IF(I11="Y","RECENT OFFERING/SPLIT/RIGHTS","")</f>
        <v/>
      </c>
    </row>
    <row r="12">
      <c r="A12" s="16">
        <f>'STI30 Universe'!A13</f>
        <v/>
      </c>
      <c r="B12" s="22">
        <f>IFERROR(_xll.BDP(A12,"NAME"),"")</f>
        <v/>
      </c>
      <c r="C12" s="22">
        <f t="array" ref="C12">_xll.BDS(A12, "EQUITY_OFFERINGS", "sortdesc=3", "endrow=1")</f>
        <v/>
      </c>
      <c r="D12" s="16" t="n"/>
      <c r="E12" s="16" t="n"/>
      <c r="F12" s="16" t="n"/>
      <c r="G12" s="16" t="n"/>
      <c r="H12" s="16" t="n"/>
      <c r="I12" s="16">
        <f>IF(ISNUMBER(E12),IF(E12&gt;=Settings!$B$5,"Y","N"),"")</f>
        <v/>
      </c>
      <c r="J12" s="16">
        <f>IF(I12="Y","RECENT OFFERING/SPLIT/RIGHTS","")</f>
        <v/>
      </c>
    </row>
    <row r="13">
      <c r="A13" s="16">
        <f>'STI30 Universe'!A14</f>
        <v/>
      </c>
      <c r="B13" s="22">
        <f>IFERROR(_xll.BDP(A13,"NAME"),"")</f>
        <v/>
      </c>
      <c r="C13" s="22">
        <f t="array" ref="C13">_xll.BDS(A13, "EQUITY_OFFERINGS", "sortdesc=3", "endrow=1")</f>
        <v/>
      </c>
      <c r="D13" s="16" t="n"/>
      <c r="E13" s="16" t="n"/>
      <c r="F13" s="16" t="n"/>
      <c r="G13" s="16" t="n"/>
      <c r="H13" s="16" t="n"/>
      <c r="I13" s="16">
        <f>IF(ISNUMBER(E13),IF(E13&gt;=Settings!$B$5,"Y","N"),"")</f>
        <v/>
      </c>
      <c r="J13" s="16">
        <f>IF(I13="Y","RECENT OFFERING/SPLIT/RIGHTS","")</f>
        <v/>
      </c>
    </row>
    <row r="14">
      <c r="A14" s="16">
        <f>'STI30 Universe'!A15</f>
        <v/>
      </c>
      <c r="B14" s="22">
        <f>IFERROR(_xll.BDP(A14,"NAME"),"")</f>
        <v/>
      </c>
      <c r="C14" s="22">
        <f t="array" ref="C14">_xll.BDS(A14, "EQUITY_OFFERINGS", "sortdesc=3", "endrow=1")</f>
        <v/>
      </c>
      <c r="D14" s="16" t="n"/>
      <c r="E14" s="16" t="n"/>
      <c r="F14" s="16" t="n"/>
      <c r="G14" s="16" t="n"/>
      <c r="H14" s="16" t="n"/>
      <c r="I14" s="16">
        <f>IF(ISNUMBER(E14),IF(E14&gt;=Settings!$B$5,"Y","N"),"")</f>
        <v/>
      </c>
      <c r="J14" s="16">
        <f>IF(I14="Y","RECENT OFFERING/SPLIT/RIGHTS","")</f>
        <v/>
      </c>
    </row>
    <row r="15">
      <c r="A15" s="16">
        <f>'STI30 Universe'!A16</f>
        <v/>
      </c>
      <c r="B15" s="22">
        <f>IFERROR(_xll.BDP(A15,"NAME"),"")</f>
        <v/>
      </c>
      <c r="C15" s="22">
        <f t="array" ref="C15">_xll.BDS(A15, "EQUITY_OFFERINGS", "sortdesc=3", "endrow=1")</f>
        <v/>
      </c>
      <c r="D15" s="16" t="n"/>
      <c r="E15" s="16" t="n"/>
      <c r="F15" s="16" t="n"/>
      <c r="G15" s="16" t="n"/>
      <c r="H15" s="16" t="n"/>
      <c r="I15" s="16">
        <f>IF(ISNUMBER(E15),IF(E15&gt;=Settings!$B$5,"Y","N"),"")</f>
        <v/>
      </c>
      <c r="J15" s="16">
        <f>IF(I15="Y","RECENT OFFERING/SPLIT/RIGHTS","")</f>
        <v/>
      </c>
    </row>
    <row r="16">
      <c r="A16" s="16">
        <f>'STI30 Universe'!A17</f>
        <v/>
      </c>
      <c r="B16" s="22">
        <f>IFERROR(_xll.BDP(A16,"NAME"),"")</f>
        <v/>
      </c>
      <c r="C16" s="22">
        <f t="array" ref="C16">_xll.BDS(A16, "EQUITY_OFFERINGS", "sortdesc=3", "endrow=1")</f>
        <v/>
      </c>
      <c r="D16" s="16" t="n"/>
      <c r="E16" s="16" t="n"/>
      <c r="F16" s="16" t="n"/>
      <c r="G16" s="16" t="n"/>
      <c r="H16" s="16" t="n"/>
      <c r="I16" s="16">
        <f>IF(ISNUMBER(E16),IF(E16&gt;=Settings!$B$5,"Y","N"),"")</f>
        <v/>
      </c>
      <c r="J16" s="16">
        <f>IF(I16="Y","RECENT OFFERING/SPLIT/RIGHTS","")</f>
        <v/>
      </c>
    </row>
    <row r="17">
      <c r="A17" s="16">
        <f>'STI30 Universe'!A18</f>
        <v/>
      </c>
      <c r="B17" s="22">
        <f>IFERROR(_xll.BDP(A17,"NAME"),"")</f>
        <v/>
      </c>
      <c r="C17" s="22">
        <f t="array" ref="C17">_xll.BDS(A17, "EQUITY_OFFERINGS", "sortdesc=3", "endrow=1")</f>
        <v/>
      </c>
      <c r="D17" s="16" t="n"/>
      <c r="E17" s="16" t="n"/>
      <c r="F17" s="16" t="n"/>
      <c r="G17" s="16" t="n"/>
      <c r="H17" s="16" t="n"/>
      <c r="I17" s="16">
        <f>IF(ISNUMBER(E17),IF(E17&gt;=Settings!$B$5,"Y","N"),"")</f>
        <v/>
      </c>
      <c r="J17" s="16">
        <f>IF(I17="Y","RECENT OFFERING/SPLIT/RIGHTS","")</f>
        <v/>
      </c>
    </row>
    <row r="18">
      <c r="A18" s="16">
        <f>'STI30 Universe'!A19</f>
        <v/>
      </c>
      <c r="B18" s="22">
        <f>IFERROR(_xll.BDP(A18,"NAME"),"")</f>
        <v/>
      </c>
      <c r="C18" s="22">
        <f t="array" ref="C18">_xll.BDS(A18, "EQUITY_OFFERINGS", "sortdesc=3", "endrow=1")</f>
        <v/>
      </c>
      <c r="D18" s="16" t="n"/>
      <c r="E18" s="16" t="n"/>
      <c r="F18" s="16" t="n"/>
      <c r="G18" s="16" t="n"/>
      <c r="H18" s="16" t="n"/>
      <c r="I18" s="16">
        <f>IF(ISNUMBER(E18),IF(E18&gt;=Settings!$B$5,"Y","N"),"")</f>
        <v/>
      </c>
      <c r="J18" s="16">
        <f>IF(I18="Y","RECENT OFFERING/SPLIT/RIGHTS","")</f>
        <v/>
      </c>
    </row>
    <row r="19">
      <c r="A19" s="16">
        <f>'STI30 Universe'!A20</f>
        <v/>
      </c>
      <c r="B19" s="22">
        <f>IFERROR(_xll.BDP(A19,"NAME"),"")</f>
        <v/>
      </c>
      <c r="C19" s="22">
        <f t="array" ref="C19">_xll.BDS(A19, "EQUITY_OFFERINGS", "sortdesc=3", "endrow=1")</f>
        <v/>
      </c>
      <c r="D19" s="16" t="n"/>
      <c r="E19" s="16" t="n"/>
      <c r="F19" s="16" t="n"/>
      <c r="G19" s="16" t="n"/>
      <c r="H19" s="16" t="n"/>
      <c r="I19" s="16">
        <f>IF(ISNUMBER(E19),IF(E19&gt;=Settings!$B$5,"Y","N"),"")</f>
        <v/>
      </c>
      <c r="J19" s="16">
        <f>IF(I19="Y","RECENT OFFERING/SPLIT/RIGHTS","")</f>
        <v/>
      </c>
    </row>
    <row r="20">
      <c r="A20" s="16">
        <f>'STI30 Universe'!A21</f>
        <v/>
      </c>
      <c r="B20" s="22">
        <f>IFERROR(_xll.BDP(A20,"NAME"),"")</f>
        <v/>
      </c>
      <c r="C20" s="22">
        <f t="array" ref="C20">_xll.BDS(A20, "EQUITY_OFFERINGS", "sortdesc=3", "endrow=1")</f>
        <v/>
      </c>
      <c r="D20" s="16" t="n"/>
      <c r="E20" s="16" t="n"/>
      <c r="F20" s="16" t="n"/>
      <c r="G20" s="16" t="n"/>
      <c r="H20" s="16" t="n"/>
      <c r="I20" s="16">
        <f>IF(ISNUMBER(E20),IF(E20&gt;=Settings!$B$5,"Y","N"),"")</f>
        <v/>
      </c>
      <c r="J20" s="16">
        <f>IF(I20="Y","RECENT OFFERING/SPLIT/RIGHTS","")</f>
        <v/>
      </c>
    </row>
    <row r="21">
      <c r="A21" s="16">
        <f>'STI30 Universe'!A22</f>
        <v/>
      </c>
      <c r="B21" s="22">
        <f>IFERROR(_xll.BDP(A21,"NAME"),"")</f>
        <v/>
      </c>
      <c r="C21" s="22">
        <f t="array" ref="C21">_xll.BDS(A21, "EQUITY_OFFERINGS", "sortdesc=3", "endrow=1")</f>
        <v/>
      </c>
      <c r="D21" s="16" t="n"/>
      <c r="E21" s="16" t="n"/>
      <c r="F21" s="16" t="n"/>
      <c r="G21" s="16" t="n"/>
      <c r="H21" s="16" t="n"/>
      <c r="I21" s="16">
        <f>IF(ISNUMBER(E21),IF(E21&gt;=Settings!$B$5,"Y","N"),"")</f>
        <v/>
      </c>
      <c r="J21" s="16">
        <f>IF(I21="Y","RECENT OFFERING/SPLIT/RIGHTS","")</f>
        <v/>
      </c>
    </row>
    <row r="22">
      <c r="A22" s="16">
        <f>'STI30 Universe'!A23</f>
        <v/>
      </c>
      <c r="B22" s="22">
        <f>IFERROR(_xll.BDP(A22,"NAME"),"")</f>
        <v/>
      </c>
      <c r="C22" s="22">
        <f t="array" ref="C22">_xll.BDS(A22, "EQUITY_OFFERINGS", "sortdesc=3", "endrow=1")</f>
        <v/>
      </c>
      <c r="D22" s="16" t="n"/>
      <c r="E22" s="16" t="n"/>
      <c r="F22" s="16" t="n"/>
      <c r="G22" s="16" t="n"/>
      <c r="H22" s="16" t="n"/>
      <c r="I22" s="16">
        <f>IF(ISNUMBER(E22),IF(E22&gt;=Settings!$B$5,"Y","N"),"")</f>
        <v/>
      </c>
      <c r="J22" s="16">
        <f>IF(I22="Y","RECENT OFFERING/SPLIT/RIGHTS","")</f>
        <v/>
      </c>
    </row>
    <row r="23">
      <c r="A23" s="16">
        <f>'STI30 Universe'!A24</f>
        <v/>
      </c>
      <c r="B23" s="22">
        <f>IFERROR(_xll.BDP(A23,"NAME"),"")</f>
        <v/>
      </c>
      <c r="C23" s="22">
        <f t="array" ref="C23">_xll.BDS(A23, "EQUITY_OFFERINGS", "sortdesc=3", "endrow=1")</f>
        <v/>
      </c>
      <c r="D23" s="16" t="n"/>
      <c r="E23" s="16" t="n"/>
      <c r="F23" s="16" t="n"/>
      <c r="G23" s="16" t="n"/>
      <c r="H23" s="16" t="n"/>
      <c r="I23" s="16">
        <f>IF(ISNUMBER(E23),IF(E23&gt;=Settings!$B$5,"Y","N"),"")</f>
        <v/>
      </c>
      <c r="J23" s="16">
        <f>IF(I23="Y","RECENT OFFERING/SPLIT/RIGHTS","")</f>
        <v/>
      </c>
    </row>
    <row r="24">
      <c r="A24" s="16">
        <f>'STI30 Universe'!A25</f>
        <v/>
      </c>
      <c r="B24" s="22">
        <f>IFERROR(_xll.BDP(A24,"NAME"),"")</f>
        <v/>
      </c>
      <c r="C24" s="22">
        <f t="array" ref="C24">_xll.BDS(A24, "EQUITY_OFFERINGS", "sortdesc=3", "endrow=1")</f>
        <v/>
      </c>
      <c r="D24" s="16" t="n"/>
      <c r="E24" s="16" t="n"/>
      <c r="F24" s="16" t="n"/>
      <c r="G24" s="16" t="n"/>
      <c r="H24" s="16" t="n"/>
      <c r="I24" s="16">
        <f>IF(ISNUMBER(E24),IF(E24&gt;=Settings!$B$5,"Y","N"),"")</f>
        <v/>
      </c>
      <c r="J24" s="16">
        <f>IF(I24="Y","RECENT OFFERING/SPLIT/RIGHTS","")</f>
        <v/>
      </c>
    </row>
    <row r="25">
      <c r="A25" s="16">
        <f>'STI30 Universe'!A26</f>
        <v/>
      </c>
      <c r="B25" s="22">
        <f>IFERROR(_xll.BDP(A25,"NAME"),"")</f>
        <v/>
      </c>
      <c r="C25" s="22">
        <f t="array" ref="C25">_xll.BDS(A25, "EQUITY_OFFERINGS", "sortdesc=3", "endrow=1")</f>
        <v/>
      </c>
      <c r="D25" s="16" t="n"/>
      <c r="E25" s="16" t="n"/>
      <c r="F25" s="16" t="n"/>
      <c r="G25" s="16" t="n"/>
      <c r="H25" s="16" t="n"/>
      <c r="I25" s="16">
        <f>IF(ISNUMBER(E25),IF(E25&gt;=Settings!$B$5,"Y","N"),"")</f>
        <v/>
      </c>
      <c r="J25" s="16">
        <f>IF(I25="Y","RECENT OFFERING/SPLIT/RIGHTS","")</f>
        <v/>
      </c>
    </row>
    <row r="26">
      <c r="A26" s="16">
        <f>'STI30 Universe'!A27</f>
        <v/>
      </c>
      <c r="B26" s="22">
        <f>IFERROR(_xll.BDP(A26,"NAME"),"")</f>
        <v/>
      </c>
      <c r="C26" s="22">
        <f t="array" ref="C26">_xll.BDS(A26, "EQUITY_OFFERINGS", "sortdesc=3", "endrow=1")</f>
        <v/>
      </c>
      <c r="D26" s="16" t="n"/>
      <c r="E26" s="16" t="n"/>
      <c r="F26" s="16" t="n"/>
      <c r="G26" s="16" t="n"/>
      <c r="H26" s="16" t="n"/>
      <c r="I26" s="16">
        <f>IF(ISNUMBER(E26),IF(E26&gt;=Settings!$B$5,"Y","N"),"")</f>
        <v/>
      </c>
      <c r="J26" s="16">
        <f>IF(I26="Y","RECENT OFFERING/SPLIT/RIGHTS","")</f>
        <v/>
      </c>
    </row>
    <row r="27">
      <c r="A27" s="16">
        <f>'STI30 Universe'!A28</f>
        <v/>
      </c>
      <c r="B27" s="22">
        <f>IFERROR(_xll.BDP(A27,"NAME"),"")</f>
        <v/>
      </c>
      <c r="C27" s="22">
        <f t="array" ref="C27">_xll.BDS(A27, "EQUITY_OFFERINGS", "sortdesc=3", "endrow=1")</f>
        <v/>
      </c>
      <c r="D27" s="16" t="n"/>
      <c r="E27" s="16" t="n"/>
      <c r="F27" s="16" t="n"/>
      <c r="G27" s="16" t="n"/>
      <c r="H27" s="16" t="n"/>
      <c r="I27" s="16">
        <f>IF(ISNUMBER(E27),IF(E27&gt;=Settings!$B$5,"Y","N"),"")</f>
        <v/>
      </c>
      <c r="J27" s="16">
        <f>IF(I27="Y","RECENT OFFERING/SPLIT/RIGHTS","")</f>
        <v/>
      </c>
    </row>
    <row r="28">
      <c r="A28" s="16">
        <f>'STI30 Universe'!A29</f>
        <v/>
      </c>
      <c r="B28" s="22">
        <f>IFERROR(_xll.BDP(A28,"NAME"),"")</f>
        <v/>
      </c>
      <c r="C28" s="22">
        <f t="array" ref="C28">_xll.BDS(A28, "EQUITY_OFFERINGS", "sortdesc=3", "endrow=1")</f>
        <v/>
      </c>
      <c r="D28" s="16" t="n"/>
      <c r="E28" s="16" t="n"/>
      <c r="F28" s="16" t="n"/>
      <c r="G28" s="16" t="n"/>
      <c r="H28" s="16" t="n"/>
      <c r="I28" s="16">
        <f>IF(ISNUMBER(E28),IF(E28&gt;=Settings!$B$5,"Y","N"),"")</f>
        <v/>
      </c>
      <c r="J28" s="16">
        <f>IF(I28="Y","RECENT OFFERING/SPLIT/RIGHTS","")</f>
        <v/>
      </c>
    </row>
    <row r="29">
      <c r="A29" s="16">
        <f>'STI30 Universe'!A30</f>
        <v/>
      </c>
      <c r="B29" s="22">
        <f>IFERROR(_xll.BDP(A29,"NAME"),"")</f>
        <v/>
      </c>
      <c r="C29" s="22">
        <f t="array" ref="C29">_xll.BDS(A29, "EQUITY_OFFERINGS", "sortdesc=3", "endrow=1")</f>
        <v/>
      </c>
      <c r="D29" s="16" t="n"/>
      <c r="E29" s="16" t="n"/>
      <c r="F29" s="16" t="n"/>
      <c r="G29" s="16" t="n"/>
      <c r="H29" s="16" t="n"/>
      <c r="I29" s="16">
        <f>IF(ISNUMBER(E29),IF(E29&gt;=Settings!$B$5,"Y","N"),"")</f>
        <v/>
      </c>
      <c r="J29" s="16">
        <f>IF(I29="Y","RECENT OFFERING/SPLIT/RIGHTS","")</f>
        <v/>
      </c>
    </row>
    <row r="30">
      <c r="A30" s="16">
        <f>'STI30 Universe'!A31</f>
        <v/>
      </c>
      <c r="B30" s="22">
        <f>IFERROR(_xll.BDP(A30,"NAME"),"")</f>
        <v/>
      </c>
      <c r="C30" s="22">
        <f t="array" ref="C30">_xll.BDS(A30, "EQUITY_OFFERINGS", "sortdesc=3", "endrow=1")</f>
        <v/>
      </c>
      <c r="D30" s="16" t="n"/>
      <c r="E30" s="16" t="n"/>
      <c r="F30" s="16" t="n"/>
      <c r="G30" s="16" t="n"/>
      <c r="H30" s="16" t="n"/>
      <c r="I30" s="16">
        <f>IF(ISNUMBER(E30),IF(E30&gt;=Settings!$B$5,"Y","N"),"")</f>
        <v/>
      </c>
      <c r="J30" s="16">
        <f>IF(I30="Y","RECENT OFFERING/SPLIT/RIGHTS","")</f>
        <v/>
      </c>
    </row>
    <row r="31">
      <c r="A31" s="16">
        <f>'STI30 Universe'!A32</f>
        <v/>
      </c>
      <c r="B31" s="22">
        <f>IFERROR(_xll.BDP(A31,"NAME"),"")</f>
        <v/>
      </c>
      <c r="C31" s="22">
        <f t="array" ref="C31">_xll.BDS(A31, "EQUITY_OFFERINGS", "sortdesc=3", "endrow=1")</f>
        <v/>
      </c>
      <c r="D31" s="16" t="n"/>
      <c r="E31" s="16" t="n"/>
      <c r="F31" s="16" t="n"/>
      <c r="G31" s="16" t="n"/>
      <c r="H31" s="16" t="n"/>
      <c r="I31" s="16">
        <f>IF(ISNUMBER(E31),IF(E31&gt;=Settings!$B$5,"Y","N"),"")</f>
        <v/>
      </c>
      <c r="J31" s="16">
        <f>IF(I31="Y","RECENT OFFERING/SPLIT/RIGHTS","")</f>
        <v/>
      </c>
    </row>
    <row r="32">
      <c r="A32" s="16">
        <f>'STI30 Universe'!A33</f>
        <v/>
      </c>
      <c r="B32" s="22">
        <f>IFERROR(_xll.BDP(A32,"NAME"),"")</f>
        <v/>
      </c>
      <c r="C32" s="22">
        <f t="array" ref="C32">_xll.BDS(A32, "EQUITY_OFFERINGS", "sortdesc=3", "endrow=1")</f>
        <v/>
      </c>
      <c r="D32" s="16" t="n"/>
      <c r="E32" s="16" t="n"/>
      <c r="F32" s="16" t="n"/>
      <c r="G32" s="16" t="n"/>
      <c r="H32" s="16" t="n"/>
      <c r="I32" s="16">
        <f>IF(ISNUMBER(E32),IF(E32&gt;=Settings!$B$5,"Y","N"),"")</f>
        <v/>
      </c>
      <c r="J32" s="16">
        <f>IF(I32="Y","RECENT OFFERING/SPLIT/RIGHTS","")</f>
        <v/>
      </c>
    </row>
    <row r="33">
      <c r="A33" s="16">
        <f>'STI30 Universe'!A34</f>
        <v/>
      </c>
      <c r="B33" s="22">
        <f>IFERROR(_xll.BDP(A33,"NAME"),"")</f>
        <v/>
      </c>
      <c r="C33" s="22">
        <f t="array" ref="C33">_xll.BDS(A33, "EQUITY_OFFERINGS", "sortdesc=3", "endrow=1")</f>
        <v/>
      </c>
      <c r="D33" s="16" t="n"/>
      <c r="E33" s="16" t="n"/>
      <c r="F33" s="16" t="n"/>
      <c r="G33" s="16" t="n"/>
      <c r="H33" s="16" t="n"/>
      <c r="I33" s="16">
        <f>IF(ISNUMBER(E33),IF(E33&gt;=Settings!$B$5,"Y","N"),"")</f>
        <v/>
      </c>
      <c r="J33" s="16">
        <f>IF(I33="Y","RECENT OFFERING/SPLIT/RIGHTS","")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3" t="inlineStr">
        <is>
          <t>CORPORATE ACTIONS DASHBOARD — SGX EX-STI30</t>
        </is>
      </c>
    </row>
    <row r="3">
      <c r="A3" s="14" t="inlineStr">
        <is>
          <t>Ticker</t>
        </is>
      </c>
      <c r="B3" s="14" t="inlineStr">
        <is>
          <t>Name</t>
        </is>
      </c>
      <c r="C3" s="14" t="inlineStr">
        <is>
          <t>Buyback Flag</t>
        </is>
      </c>
      <c r="D3" s="14" t="inlineStr">
        <is>
          <t>Volume Flag</t>
        </is>
      </c>
      <c r="E3" s="14" t="inlineStr">
        <is>
          <t>Dividend Flag</t>
        </is>
      </c>
      <c r="F3" s="14" t="inlineStr">
        <is>
          <t>Split/Rights Flag</t>
        </is>
      </c>
      <c r="H3" s="20" t="inlineStr">
        <is>
          <t>SHARE BUYBACK AGGREGATOR</t>
        </is>
      </c>
    </row>
    <row r="4">
      <c r="A4" s="16">
        <f>'Rest Universe'!A5</f>
        <v/>
      </c>
      <c r="B4" s="16">
        <f>'Rest Universe'!B5</f>
        <v/>
      </c>
      <c r="C4" s="16">
        <f>'Rest Buybacks'!F4</f>
        <v/>
      </c>
      <c r="D4" s="16">
        <f>'Rest Buybacks'!J4</f>
        <v/>
      </c>
      <c r="E4" s="16">
        <f>'Rest Dividends'!H4</f>
        <v/>
      </c>
      <c r="F4" s="16">
        <f>'Rest Offerings'!J4</f>
        <v/>
      </c>
      <c r="H4" t="inlineStr">
        <is>
          <t>Number of Trading Days of Lookback</t>
        </is>
      </c>
      <c r="L4" s="21" t="n">
        <v>30</v>
      </c>
    </row>
    <row r="5">
      <c r="A5" s="16">
        <f>'Rest Universe'!A6</f>
        <v/>
      </c>
      <c r="B5" s="16">
        <f>'Rest Universe'!B6</f>
        <v/>
      </c>
      <c r="C5" s="16">
        <f>'Rest Buybacks'!F5</f>
        <v/>
      </c>
      <c r="D5" s="16">
        <f>'Rest Buybacks'!J5</f>
        <v/>
      </c>
      <c r="E5" s="16">
        <f>'Rest Dividends'!H5</f>
        <v/>
      </c>
      <c r="F5" s="16">
        <f>'Rest Offerings'!J5</f>
        <v/>
      </c>
      <c r="H5" t="inlineStr">
        <is>
          <t>Company Ticker</t>
        </is>
      </c>
      <c r="L5" s="21" t="inlineStr">
        <is>
          <t>ST SP Equity</t>
        </is>
      </c>
    </row>
    <row r="6">
      <c r="A6" s="16">
        <f>'Rest Universe'!A7</f>
        <v/>
      </c>
      <c r="B6" s="16">
        <f>'Rest Universe'!B7</f>
        <v/>
      </c>
      <c r="C6" s="16">
        <f>'Rest Buybacks'!F6</f>
        <v/>
      </c>
      <c r="D6" s="16">
        <f>'Rest Buybacks'!J6</f>
        <v/>
      </c>
      <c r="E6" s="16">
        <f>'Rest Dividends'!H6</f>
        <v/>
      </c>
      <c r="F6" s="16">
        <f>'Rest Offerings'!J6</f>
        <v/>
      </c>
      <c r="H6" t="inlineStr">
        <is>
          <t>Company Name</t>
        </is>
      </c>
      <c r="L6">
        <f>_xll.BDP(L5,"NAME")</f>
        <v/>
      </c>
    </row>
    <row r="7">
      <c r="A7" s="16">
        <f>'Rest Universe'!A8</f>
        <v/>
      </c>
      <c r="B7" s="16">
        <f>'Rest Universe'!B8</f>
        <v/>
      </c>
      <c r="C7" s="16">
        <f>'Rest Buybacks'!F7</f>
        <v/>
      </c>
      <c r="D7" s="16">
        <f>'Rest Buybacks'!J7</f>
        <v/>
      </c>
      <c r="E7" s="16">
        <f>'Rest Dividends'!H7</f>
        <v/>
      </c>
      <c r="F7" s="16">
        <f>'Rest Offerings'!J7</f>
        <v/>
      </c>
      <c r="H7" t="inlineStr">
        <is>
          <t>Buyback Amount</t>
        </is>
      </c>
      <c r="L7">
        <f>_xll.BQL(L5, "sum(share_buybacks(effective_date=range(-" &amp; L4 &amp;"D, 0D)))", "currency", "SGD")</f>
        <v/>
      </c>
    </row>
    <row r="8">
      <c r="A8" s="16">
        <f>'Rest Universe'!A9</f>
        <v/>
      </c>
      <c r="B8" s="16">
        <f>'Rest Universe'!B9</f>
        <v/>
      </c>
      <c r="C8" s="16">
        <f>'Rest Buybacks'!F8</f>
        <v/>
      </c>
      <c r="D8" s="16">
        <f>'Rest Buybacks'!J8</f>
        <v/>
      </c>
      <c r="E8" s="16">
        <f>'Rest Dividends'!H8</f>
        <v/>
      </c>
      <c r="F8" s="16">
        <f>'Rest Offerings'!J8</f>
        <v/>
      </c>
    </row>
    <row r="9">
      <c r="A9" s="16">
        <f>'Rest Universe'!A10</f>
        <v/>
      </c>
      <c r="B9" s="16">
        <f>'Rest Universe'!B10</f>
        <v/>
      </c>
      <c r="C9" s="16">
        <f>'Rest Buybacks'!F9</f>
        <v/>
      </c>
      <c r="D9" s="16">
        <f>'Rest Buybacks'!J9</f>
        <v/>
      </c>
      <c r="E9" s="16">
        <f>'Rest Dividends'!H9</f>
        <v/>
      </c>
      <c r="F9" s="16">
        <f>'Rest Offerings'!J9</f>
        <v/>
      </c>
    </row>
    <row r="10">
      <c r="A10" s="16">
        <f>'Rest Universe'!A11</f>
        <v/>
      </c>
      <c r="B10" s="16">
        <f>'Rest Universe'!B11</f>
        <v/>
      </c>
      <c r="C10" s="16">
        <f>'Rest Buybacks'!F10</f>
        <v/>
      </c>
      <c r="D10" s="16">
        <f>'Rest Buybacks'!J10</f>
        <v/>
      </c>
      <c r="E10" s="16">
        <f>'Rest Dividends'!H10</f>
        <v/>
      </c>
      <c r="F10" s="16">
        <f>'Rest Offerings'!J10</f>
        <v/>
      </c>
    </row>
    <row r="11">
      <c r="A11" s="16">
        <f>'Rest Universe'!A12</f>
        <v/>
      </c>
      <c r="B11" s="16">
        <f>'Rest Universe'!B12</f>
        <v/>
      </c>
      <c r="C11" s="16">
        <f>'Rest Buybacks'!F11</f>
        <v/>
      </c>
      <c r="D11" s="16">
        <f>'Rest Buybacks'!J11</f>
        <v/>
      </c>
      <c r="E11" s="16">
        <f>'Rest Dividends'!H11</f>
        <v/>
      </c>
      <c r="F11" s="16">
        <f>'Rest Offerings'!J11</f>
        <v/>
      </c>
    </row>
    <row r="12">
      <c r="A12" s="16">
        <f>'Rest Universe'!A13</f>
        <v/>
      </c>
      <c r="B12" s="16">
        <f>'Rest Universe'!B13</f>
        <v/>
      </c>
      <c r="C12" s="16">
        <f>'Rest Buybacks'!F12</f>
        <v/>
      </c>
      <c r="D12" s="16">
        <f>'Rest Buybacks'!J12</f>
        <v/>
      </c>
      <c r="E12" s="16">
        <f>'Rest Dividends'!H12</f>
        <v/>
      </c>
      <c r="F12" s="16">
        <f>'Rest Offerings'!J12</f>
        <v/>
      </c>
    </row>
    <row r="13">
      <c r="A13" s="16">
        <f>'Rest Universe'!A14</f>
        <v/>
      </c>
      <c r="B13" s="16">
        <f>'Rest Universe'!B14</f>
        <v/>
      </c>
      <c r="C13" s="16">
        <f>'Rest Buybacks'!F13</f>
        <v/>
      </c>
      <c r="D13" s="16">
        <f>'Rest Buybacks'!J13</f>
        <v/>
      </c>
      <c r="E13" s="16">
        <f>'Rest Dividends'!H13</f>
        <v/>
      </c>
      <c r="F13" s="16">
        <f>'Rest Offerings'!J13</f>
        <v/>
      </c>
    </row>
    <row r="14">
      <c r="A14" s="16">
        <f>'Rest Universe'!A15</f>
        <v/>
      </c>
      <c r="B14" s="16">
        <f>'Rest Universe'!B15</f>
        <v/>
      </c>
      <c r="C14" s="16">
        <f>'Rest Buybacks'!F14</f>
        <v/>
      </c>
      <c r="D14" s="16">
        <f>'Rest Buybacks'!J14</f>
        <v/>
      </c>
      <c r="E14" s="16">
        <f>'Rest Dividends'!H14</f>
        <v/>
      </c>
      <c r="F14" s="16">
        <f>'Rest Offerings'!J14</f>
        <v/>
      </c>
    </row>
    <row r="15">
      <c r="A15" s="16">
        <f>'Rest Universe'!A16</f>
        <v/>
      </c>
      <c r="B15" s="16">
        <f>'Rest Universe'!B16</f>
        <v/>
      </c>
      <c r="C15" s="16">
        <f>'Rest Buybacks'!F15</f>
        <v/>
      </c>
      <c r="D15" s="16">
        <f>'Rest Buybacks'!J15</f>
        <v/>
      </c>
      <c r="E15" s="16">
        <f>'Rest Dividends'!H15</f>
        <v/>
      </c>
      <c r="F15" s="16">
        <f>'Rest Offerings'!J15</f>
        <v/>
      </c>
    </row>
    <row r="16">
      <c r="A16" s="16">
        <f>'Rest Universe'!A17</f>
        <v/>
      </c>
      <c r="B16" s="16">
        <f>'Rest Universe'!B17</f>
        <v/>
      </c>
      <c r="C16" s="16">
        <f>'Rest Buybacks'!F16</f>
        <v/>
      </c>
      <c r="D16" s="16">
        <f>'Rest Buybacks'!J16</f>
        <v/>
      </c>
      <c r="E16" s="16">
        <f>'Rest Dividends'!H16</f>
        <v/>
      </c>
      <c r="F16" s="16">
        <f>'Rest Offerings'!J16</f>
        <v/>
      </c>
    </row>
    <row r="17">
      <c r="A17" s="16">
        <f>'Rest Universe'!A18</f>
        <v/>
      </c>
      <c r="B17" s="16">
        <f>'Rest Universe'!B18</f>
        <v/>
      </c>
      <c r="C17" s="16">
        <f>'Rest Buybacks'!F17</f>
        <v/>
      </c>
      <c r="D17" s="16">
        <f>'Rest Buybacks'!J17</f>
        <v/>
      </c>
      <c r="E17" s="16">
        <f>'Rest Dividends'!H17</f>
        <v/>
      </c>
      <c r="F17" s="16">
        <f>'Rest Offerings'!J17</f>
        <v/>
      </c>
    </row>
    <row r="18">
      <c r="A18" s="16">
        <f>'Rest Universe'!A19</f>
        <v/>
      </c>
      <c r="B18" s="16">
        <f>'Rest Universe'!B19</f>
        <v/>
      </c>
      <c r="C18" s="16">
        <f>'Rest Buybacks'!F18</f>
        <v/>
      </c>
      <c r="D18" s="16">
        <f>'Rest Buybacks'!J18</f>
        <v/>
      </c>
      <c r="E18" s="16">
        <f>'Rest Dividends'!H18</f>
        <v/>
      </c>
      <c r="F18" s="16">
        <f>'Rest Offerings'!J18</f>
        <v/>
      </c>
    </row>
    <row r="19">
      <c r="A19" s="16">
        <f>'Rest Universe'!A20</f>
        <v/>
      </c>
      <c r="B19" s="16">
        <f>'Rest Universe'!B20</f>
        <v/>
      </c>
      <c r="C19" s="16">
        <f>'Rest Buybacks'!F19</f>
        <v/>
      </c>
      <c r="D19" s="16">
        <f>'Rest Buybacks'!J19</f>
        <v/>
      </c>
      <c r="E19" s="16">
        <f>'Rest Dividends'!H19</f>
        <v/>
      </c>
      <c r="F19" s="16">
        <f>'Rest Offerings'!J19</f>
        <v/>
      </c>
    </row>
    <row r="20">
      <c r="A20" s="16">
        <f>'Rest Universe'!A21</f>
        <v/>
      </c>
      <c r="B20" s="16">
        <f>'Rest Universe'!B21</f>
        <v/>
      </c>
      <c r="C20" s="16">
        <f>'Rest Buybacks'!F20</f>
        <v/>
      </c>
      <c r="D20" s="16">
        <f>'Rest Buybacks'!J20</f>
        <v/>
      </c>
      <c r="E20" s="16">
        <f>'Rest Dividends'!H20</f>
        <v/>
      </c>
      <c r="F20" s="16">
        <f>'Rest Offerings'!J20</f>
        <v/>
      </c>
    </row>
    <row r="21">
      <c r="A21" s="16">
        <f>'Rest Universe'!A22</f>
        <v/>
      </c>
      <c r="B21" s="16">
        <f>'Rest Universe'!B22</f>
        <v/>
      </c>
      <c r="C21" s="16">
        <f>'Rest Buybacks'!F21</f>
        <v/>
      </c>
      <c r="D21" s="16">
        <f>'Rest Buybacks'!J21</f>
        <v/>
      </c>
      <c r="E21" s="16">
        <f>'Rest Dividends'!H21</f>
        <v/>
      </c>
      <c r="F21" s="16">
        <f>'Rest Offerings'!J21</f>
        <v/>
      </c>
    </row>
    <row r="22">
      <c r="A22" s="16">
        <f>'Rest Universe'!A23</f>
        <v/>
      </c>
      <c r="B22" s="16">
        <f>'Rest Universe'!B23</f>
        <v/>
      </c>
      <c r="C22" s="16">
        <f>'Rest Buybacks'!F22</f>
        <v/>
      </c>
      <c r="D22" s="16">
        <f>'Rest Buybacks'!J22</f>
        <v/>
      </c>
      <c r="E22" s="16">
        <f>'Rest Dividends'!H22</f>
        <v/>
      </c>
      <c r="F22" s="16">
        <f>'Rest Offerings'!J22</f>
        <v/>
      </c>
    </row>
    <row r="23">
      <c r="A23" s="16">
        <f>'Rest Universe'!A24</f>
        <v/>
      </c>
      <c r="B23" s="16">
        <f>'Rest Universe'!B24</f>
        <v/>
      </c>
      <c r="C23" s="16">
        <f>'Rest Buybacks'!F23</f>
        <v/>
      </c>
      <c r="D23" s="16">
        <f>'Rest Buybacks'!J23</f>
        <v/>
      </c>
      <c r="E23" s="16">
        <f>'Rest Dividends'!H23</f>
        <v/>
      </c>
      <c r="F23" s="16">
        <f>'Rest Offerings'!J23</f>
        <v/>
      </c>
    </row>
    <row r="24">
      <c r="A24" s="16">
        <f>'Rest Universe'!A25</f>
        <v/>
      </c>
      <c r="B24" s="16">
        <f>'Rest Universe'!B25</f>
        <v/>
      </c>
      <c r="C24" s="16">
        <f>'Rest Buybacks'!F24</f>
        <v/>
      </c>
      <c r="D24" s="16">
        <f>'Rest Buybacks'!J24</f>
        <v/>
      </c>
      <c r="E24" s="16">
        <f>'Rest Dividends'!H24</f>
        <v/>
      </c>
      <c r="F24" s="16">
        <f>'Rest Offerings'!J24</f>
        <v/>
      </c>
    </row>
    <row r="25">
      <c r="A25" s="16">
        <f>'Rest Universe'!A26</f>
        <v/>
      </c>
      <c r="B25" s="16">
        <f>'Rest Universe'!B26</f>
        <v/>
      </c>
      <c r="C25" s="16">
        <f>'Rest Buybacks'!F25</f>
        <v/>
      </c>
      <c r="D25" s="16">
        <f>'Rest Buybacks'!J25</f>
        <v/>
      </c>
      <c r="E25" s="16">
        <f>'Rest Dividends'!H25</f>
        <v/>
      </c>
      <c r="F25" s="16">
        <f>'Rest Offerings'!J25</f>
        <v/>
      </c>
    </row>
    <row r="26">
      <c r="A26" s="16">
        <f>'Rest Universe'!A27</f>
        <v/>
      </c>
      <c r="B26" s="16">
        <f>'Rest Universe'!B27</f>
        <v/>
      </c>
      <c r="C26" s="16">
        <f>'Rest Buybacks'!F26</f>
        <v/>
      </c>
      <c r="D26" s="16">
        <f>'Rest Buybacks'!J26</f>
        <v/>
      </c>
      <c r="E26" s="16">
        <f>'Rest Dividends'!H26</f>
        <v/>
      </c>
      <c r="F26" s="16">
        <f>'Rest Offerings'!J26</f>
        <v/>
      </c>
    </row>
    <row r="27">
      <c r="A27" s="16">
        <f>'Rest Universe'!A28</f>
        <v/>
      </c>
      <c r="B27" s="16">
        <f>'Rest Universe'!B28</f>
        <v/>
      </c>
      <c r="C27" s="16">
        <f>'Rest Buybacks'!F27</f>
        <v/>
      </c>
      <c r="D27" s="16">
        <f>'Rest Buybacks'!J27</f>
        <v/>
      </c>
      <c r="E27" s="16">
        <f>'Rest Dividends'!H27</f>
        <v/>
      </c>
      <c r="F27" s="16">
        <f>'Rest Offerings'!J27</f>
        <v/>
      </c>
    </row>
    <row r="28">
      <c r="A28" s="16">
        <f>'Rest Universe'!A29</f>
        <v/>
      </c>
      <c r="B28" s="16">
        <f>'Rest Universe'!B29</f>
        <v/>
      </c>
      <c r="C28" s="16">
        <f>'Rest Buybacks'!F28</f>
        <v/>
      </c>
      <c r="D28" s="16">
        <f>'Rest Buybacks'!J28</f>
        <v/>
      </c>
      <c r="E28" s="16">
        <f>'Rest Dividends'!H28</f>
        <v/>
      </c>
      <c r="F28" s="16">
        <f>'Rest Offerings'!J28</f>
        <v/>
      </c>
    </row>
    <row r="29">
      <c r="A29" s="16">
        <f>'Rest Universe'!A30</f>
        <v/>
      </c>
      <c r="B29" s="16">
        <f>'Rest Universe'!B30</f>
        <v/>
      </c>
      <c r="C29" s="16">
        <f>'Rest Buybacks'!F29</f>
        <v/>
      </c>
      <c r="D29" s="16">
        <f>'Rest Buybacks'!J29</f>
        <v/>
      </c>
      <c r="E29" s="16">
        <f>'Rest Dividends'!H29</f>
        <v/>
      </c>
      <c r="F29" s="16">
        <f>'Rest Offerings'!J29</f>
        <v/>
      </c>
    </row>
    <row r="30">
      <c r="A30" s="16">
        <f>'Rest Universe'!A31</f>
        <v/>
      </c>
      <c r="B30" s="16">
        <f>'Rest Universe'!B31</f>
        <v/>
      </c>
      <c r="C30" s="16">
        <f>'Rest Buybacks'!F30</f>
        <v/>
      </c>
      <c r="D30" s="16">
        <f>'Rest Buybacks'!J30</f>
        <v/>
      </c>
      <c r="E30" s="16">
        <f>'Rest Dividends'!H30</f>
        <v/>
      </c>
      <c r="F30" s="16">
        <f>'Rest Offerings'!J30</f>
        <v/>
      </c>
    </row>
    <row r="31">
      <c r="A31" s="16">
        <f>'Rest Universe'!A32</f>
        <v/>
      </c>
      <c r="B31" s="16">
        <f>'Rest Universe'!B32</f>
        <v/>
      </c>
      <c r="C31" s="16">
        <f>'Rest Buybacks'!F31</f>
        <v/>
      </c>
      <c r="D31" s="16">
        <f>'Rest Buybacks'!J31</f>
        <v/>
      </c>
      <c r="E31" s="16">
        <f>'Rest Dividends'!H31</f>
        <v/>
      </c>
      <c r="F31" s="16">
        <f>'Rest Offerings'!J31</f>
        <v/>
      </c>
    </row>
    <row r="32">
      <c r="A32" s="16">
        <f>'Rest Universe'!A33</f>
        <v/>
      </c>
      <c r="B32" s="16">
        <f>'Rest Universe'!B33</f>
        <v/>
      </c>
      <c r="C32" s="16">
        <f>'Rest Buybacks'!F32</f>
        <v/>
      </c>
      <c r="D32" s="16">
        <f>'Rest Buybacks'!J32</f>
        <v/>
      </c>
      <c r="E32" s="16">
        <f>'Rest Dividends'!H32</f>
        <v/>
      </c>
      <c r="F32" s="16">
        <f>'Rest Offerings'!J32</f>
        <v/>
      </c>
    </row>
    <row r="33">
      <c r="A33" s="16">
        <f>'Rest Universe'!A34</f>
        <v/>
      </c>
      <c r="B33" s="16">
        <f>'Rest Universe'!B34</f>
        <v/>
      </c>
      <c r="C33" s="16">
        <f>'Rest Buybacks'!F33</f>
        <v/>
      </c>
      <c r="D33" s="16">
        <f>'Rest Buybacks'!J33</f>
        <v/>
      </c>
      <c r="E33" s="16">
        <f>'Rest Dividends'!H33</f>
        <v/>
      </c>
      <c r="F33" s="16">
        <f>'Rest Offerings'!J33</f>
        <v/>
      </c>
    </row>
    <row r="34">
      <c r="A34" s="16">
        <f>'Rest Universe'!A35</f>
        <v/>
      </c>
      <c r="B34" s="16">
        <f>'Rest Universe'!B35</f>
        <v/>
      </c>
      <c r="C34" s="16">
        <f>'Rest Buybacks'!F34</f>
        <v/>
      </c>
      <c r="D34" s="16">
        <f>'Rest Buybacks'!J34</f>
        <v/>
      </c>
      <c r="E34" s="16">
        <f>'Rest Dividends'!H34</f>
        <v/>
      </c>
      <c r="F34" s="16">
        <f>'Rest Offerings'!J34</f>
        <v/>
      </c>
    </row>
    <row r="35">
      <c r="A35" s="16">
        <f>'Rest Universe'!A36</f>
        <v/>
      </c>
      <c r="B35" s="16">
        <f>'Rest Universe'!B36</f>
        <v/>
      </c>
      <c r="C35" s="16">
        <f>'Rest Buybacks'!F35</f>
        <v/>
      </c>
      <c r="D35" s="16">
        <f>'Rest Buybacks'!J35</f>
        <v/>
      </c>
      <c r="E35" s="16">
        <f>'Rest Dividends'!H35</f>
        <v/>
      </c>
      <c r="F35" s="16">
        <f>'Rest Offerings'!J35</f>
        <v/>
      </c>
    </row>
    <row r="36">
      <c r="A36" s="16">
        <f>'Rest Universe'!A37</f>
        <v/>
      </c>
      <c r="B36" s="16">
        <f>'Rest Universe'!B37</f>
        <v/>
      </c>
      <c r="C36" s="16">
        <f>'Rest Buybacks'!F36</f>
        <v/>
      </c>
      <c r="D36" s="16">
        <f>'Rest Buybacks'!J36</f>
        <v/>
      </c>
      <c r="E36" s="16">
        <f>'Rest Dividends'!H36</f>
        <v/>
      </c>
      <c r="F36" s="16">
        <f>'Rest Offerings'!J36</f>
        <v/>
      </c>
    </row>
    <row r="37">
      <c r="A37" s="16">
        <f>'Rest Universe'!A38</f>
        <v/>
      </c>
      <c r="B37" s="16">
        <f>'Rest Universe'!B38</f>
        <v/>
      </c>
      <c r="C37" s="16">
        <f>'Rest Buybacks'!F37</f>
        <v/>
      </c>
      <c r="D37" s="16">
        <f>'Rest Buybacks'!J37</f>
        <v/>
      </c>
      <c r="E37" s="16">
        <f>'Rest Dividends'!H37</f>
        <v/>
      </c>
      <c r="F37" s="16">
        <f>'Rest Offerings'!J37</f>
        <v/>
      </c>
    </row>
    <row r="38">
      <c r="A38" s="16">
        <f>'Rest Universe'!A39</f>
        <v/>
      </c>
      <c r="B38" s="16">
        <f>'Rest Universe'!B39</f>
        <v/>
      </c>
      <c r="C38" s="16">
        <f>'Rest Buybacks'!F38</f>
        <v/>
      </c>
      <c r="D38" s="16">
        <f>'Rest Buybacks'!J38</f>
        <v/>
      </c>
      <c r="E38" s="16">
        <f>'Rest Dividends'!H38</f>
        <v/>
      </c>
      <c r="F38" s="16">
        <f>'Rest Offerings'!J38</f>
        <v/>
      </c>
    </row>
    <row r="39">
      <c r="A39" s="16">
        <f>'Rest Universe'!A40</f>
        <v/>
      </c>
      <c r="B39" s="16">
        <f>'Rest Universe'!B40</f>
        <v/>
      </c>
      <c r="C39" s="16">
        <f>'Rest Buybacks'!F39</f>
        <v/>
      </c>
      <c r="D39" s="16">
        <f>'Rest Buybacks'!J39</f>
        <v/>
      </c>
      <c r="E39" s="16">
        <f>'Rest Dividends'!H39</f>
        <v/>
      </c>
      <c r="F39" s="16">
        <f>'Rest Offerings'!J39</f>
        <v/>
      </c>
    </row>
    <row r="40">
      <c r="A40" s="16">
        <f>'Rest Universe'!A41</f>
        <v/>
      </c>
      <c r="B40" s="16">
        <f>'Rest Universe'!B41</f>
        <v/>
      </c>
      <c r="C40" s="16">
        <f>'Rest Buybacks'!F40</f>
        <v/>
      </c>
      <c r="D40" s="16">
        <f>'Rest Buybacks'!J40</f>
        <v/>
      </c>
      <c r="E40" s="16">
        <f>'Rest Dividends'!H40</f>
        <v/>
      </c>
      <c r="F40" s="16">
        <f>'Rest Offerings'!J40</f>
        <v/>
      </c>
    </row>
    <row r="41">
      <c r="A41" s="16">
        <f>'Rest Universe'!A42</f>
        <v/>
      </c>
      <c r="B41" s="16">
        <f>'Rest Universe'!B42</f>
        <v/>
      </c>
      <c r="C41" s="16">
        <f>'Rest Buybacks'!F41</f>
        <v/>
      </c>
      <c r="D41" s="16">
        <f>'Rest Buybacks'!J41</f>
        <v/>
      </c>
      <c r="E41" s="16">
        <f>'Rest Dividends'!H41</f>
        <v/>
      </c>
      <c r="F41" s="16">
        <f>'Rest Offerings'!J41</f>
        <v/>
      </c>
    </row>
    <row r="42">
      <c r="A42" s="16">
        <f>'Rest Universe'!A43</f>
        <v/>
      </c>
      <c r="B42" s="16">
        <f>'Rest Universe'!B43</f>
        <v/>
      </c>
      <c r="C42" s="16">
        <f>'Rest Buybacks'!F42</f>
        <v/>
      </c>
      <c r="D42" s="16">
        <f>'Rest Buybacks'!J42</f>
        <v/>
      </c>
      <c r="E42" s="16">
        <f>'Rest Dividends'!H42</f>
        <v/>
      </c>
      <c r="F42" s="16">
        <f>'Rest Offerings'!J42</f>
        <v/>
      </c>
    </row>
    <row r="43">
      <c r="A43" s="16">
        <f>'Rest Universe'!A44</f>
        <v/>
      </c>
      <c r="B43" s="16">
        <f>'Rest Universe'!B44</f>
        <v/>
      </c>
      <c r="C43" s="16">
        <f>'Rest Buybacks'!F43</f>
        <v/>
      </c>
      <c r="D43" s="16">
        <f>'Rest Buybacks'!J43</f>
        <v/>
      </c>
      <c r="E43" s="16">
        <f>'Rest Dividends'!H43</f>
        <v/>
      </c>
      <c r="F43" s="16">
        <f>'Rest Offerings'!J43</f>
        <v/>
      </c>
    </row>
    <row r="44">
      <c r="A44" s="16">
        <f>'Rest Universe'!A45</f>
        <v/>
      </c>
      <c r="B44" s="16">
        <f>'Rest Universe'!B45</f>
        <v/>
      </c>
      <c r="C44" s="16">
        <f>'Rest Buybacks'!F44</f>
        <v/>
      </c>
      <c r="D44" s="16">
        <f>'Rest Buybacks'!J44</f>
        <v/>
      </c>
      <c r="E44" s="16">
        <f>'Rest Dividends'!H44</f>
        <v/>
      </c>
      <c r="F44" s="16">
        <f>'Rest Offerings'!J44</f>
        <v/>
      </c>
    </row>
    <row r="45">
      <c r="A45" s="16">
        <f>'Rest Universe'!A46</f>
        <v/>
      </c>
      <c r="B45" s="16">
        <f>'Rest Universe'!B46</f>
        <v/>
      </c>
      <c r="C45" s="16">
        <f>'Rest Buybacks'!F45</f>
        <v/>
      </c>
      <c r="D45" s="16">
        <f>'Rest Buybacks'!J45</f>
        <v/>
      </c>
      <c r="E45" s="16">
        <f>'Rest Dividends'!H45</f>
        <v/>
      </c>
      <c r="F45" s="16">
        <f>'Rest Offerings'!J45</f>
        <v/>
      </c>
    </row>
    <row r="46">
      <c r="A46" s="16">
        <f>'Rest Universe'!A47</f>
        <v/>
      </c>
      <c r="B46" s="16">
        <f>'Rest Universe'!B47</f>
        <v/>
      </c>
      <c r="C46" s="16">
        <f>'Rest Buybacks'!F46</f>
        <v/>
      </c>
      <c r="D46" s="16">
        <f>'Rest Buybacks'!J46</f>
        <v/>
      </c>
      <c r="E46" s="16">
        <f>'Rest Dividends'!H46</f>
        <v/>
      </c>
      <c r="F46" s="16">
        <f>'Rest Offerings'!J46</f>
        <v/>
      </c>
    </row>
    <row r="47">
      <c r="A47" s="16">
        <f>'Rest Universe'!A48</f>
        <v/>
      </c>
      <c r="B47" s="16">
        <f>'Rest Universe'!B48</f>
        <v/>
      </c>
      <c r="C47" s="16">
        <f>'Rest Buybacks'!F47</f>
        <v/>
      </c>
      <c r="D47" s="16">
        <f>'Rest Buybacks'!J47</f>
        <v/>
      </c>
      <c r="E47" s="16">
        <f>'Rest Dividends'!H47</f>
        <v/>
      </c>
      <c r="F47" s="16">
        <f>'Rest Offerings'!J47</f>
        <v/>
      </c>
    </row>
    <row r="48">
      <c r="A48" s="16">
        <f>'Rest Universe'!A49</f>
        <v/>
      </c>
      <c r="B48" s="16">
        <f>'Rest Universe'!B49</f>
        <v/>
      </c>
      <c r="C48" s="16">
        <f>'Rest Buybacks'!F48</f>
        <v/>
      </c>
      <c r="D48" s="16">
        <f>'Rest Buybacks'!J48</f>
        <v/>
      </c>
      <c r="E48" s="16">
        <f>'Rest Dividends'!H48</f>
        <v/>
      </c>
      <c r="F48" s="16">
        <f>'Rest Offerings'!J48</f>
        <v/>
      </c>
    </row>
    <row r="49">
      <c r="A49" s="16">
        <f>'Rest Universe'!A50</f>
        <v/>
      </c>
      <c r="B49" s="16">
        <f>'Rest Universe'!B50</f>
        <v/>
      </c>
      <c r="C49" s="16">
        <f>'Rest Buybacks'!F49</f>
        <v/>
      </c>
      <c r="D49" s="16">
        <f>'Rest Buybacks'!J49</f>
        <v/>
      </c>
      <c r="E49" s="16">
        <f>'Rest Dividends'!H49</f>
        <v/>
      </c>
      <c r="F49" s="16">
        <f>'Rest Offerings'!J49</f>
        <v/>
      </c>
    </row>
    <row r="50">
      <c r="A50" s="16">
        <f>'Rest Universe'!A51</f>
        <v/>
      </c>
      <c r="B50" s="16">
        <f>'Rest Universe'!B51</f>
        <v/>
      </c>
      <c r="C50" s="16">
        <f>'Rest Buybacks'!F50</f>
        <v/>
      </c>
      <c r="D50" s="16">
        <f>'Rest Buybacks'!J50</f>
        <v/>
      </c>
      <c r="E50" s="16">
        <f>'Rest Dividends'!H50</f>
        <v/>
      </c>
      <c r="F50" s="16">
        <f>'Rest Offerings'!J50</f>
        <v/>
      </c>
    </row>
    <row r="51">
      <c r="A51" s="16">
        <f>'Rest Universe'!A52</f>
        <v/>
      </c>
      <c r="B51" s="16">
        <f>'Rest Universe'!B52</f>
        <v/>
      </c>
      <c r="C51" s="16">
        <f>'Rest Buybacks'!F51</f>
        <v/>
      </c>
      <c r="D51" s="16">
        <f>'Rest Buybacks'!J51</f>
        <v/>
      </c>
      <c r="E51" s="16">
        <f>'Rest Dividends'!H51</f>
        <v/>
      </c>
      <c r="F51" s="16">
        <f>'Rest Offerings'!J51</f>
        <v/>
      </c>
    </row>
    <row r="52">
      <c r="A52" s="16">
        <f>'Rest Universe'!A53</f>
        <v/>
      </c>
      <c r="B52" s="16">
        <f>'Rest Universe'!B53</f>
        <v/>
      </c>
      <c r="C52" s="16">
        <f>'Rest Buybacks'!F52</f>
        <v/>
      </c>
      <c r="D52" s="16">
        <f>'Rest Buybacks'!J52</f>
        <v/>
      </c>
      <c r="E52" s="16">
        <f>'Rest Dividends'!H52</f>
        <v/>
      </c>
      <c r="F52" s="16">
        <f>'Rest Offerings'!J52</f>
        <v/>
      </c>
    </row>
    <row r="53">
      <c r="A53" s="16">
        <f>'Rest Universe'!A54</f>
        <v/>
      </c>
      <c r="B53" s="16">
        <f>'Rest Universe'!B54</f>
        <v/>
      </c>
      <c r="C53" s="16">
        <f>'Rest Buybacks'!F53</f>
        <v/>
      </c>
      <c r="D53" s="16">
        <f>'Rest Buybacks'!J53</f>
        <v/>
      </c>
      <c r="E53" s="16">
        <f>'Rest Dividends'!H53</f>
        <v/>
      </c>
      <c r="F53" s="16">
        <f>'Rest Offerings'!J53</f>
        <v/>
      </c>
    </row>
    <row r="54">
      <c r="A54" s="16">
        <f>'Rest Universe'!A55</f>
        <v/>
      </c>
      <c r="B54" s="16">
        <f>'Rest Universe'!B55</f>
        <v/>
      </c>
      <c r="C54" s="16">
        <f>'Rest Buybacks'!F54</f>
        <v/>
      </c>
      <c r="D54" s="16">
        <f>'Rest Buybacks'!J54</f>
        <v/>
      </c>
      <c r="E54" s="16">
        <f>'Rest Dividends'!H54</f>
        <v/>
      </c>
      <c r="F54" s="16">
        <f>'Rest Offerings'!J54</f>
        <v/>
      </c>
    </row>
    <row r="55">
      <c r="A55" s="16">
        <f>'Rest Universe'!A56</f>
        <v/>
      </c>
      <c r="B55" s="16">
        <f>'Rest Universe'!B56</f>
        <v/>
      </c>
      <c r="C55" s="16">
        <f>'Rest Buybacks'!F55</f>
        <v/>
      </c>
      <c r="D55" s="16">
        <f>'Rest Buybacks'!J55</f>
        <v/>
      </c>
      <c r="E55" s="16">
        <f>'Rest Dividends'!H55</f>
        <v/>
      </c>
      <c r="F55" s="16">
        <f>'Rest Offerings'!J55</f>
        <v/>
      </c>
    </row>
    <row r="56">
      <c r="A56" s="16">
        <f>'Rest Universe'!A57</f>
        <v/>
      </c>
      <c r="B56" s="16">
        <f>'Rest Universe'!B57</f>
        <v/>
      </c>
      <c r="C56" s="16">
        <f>'Rest Buybacks'!F56</f>
        <v/>
      </c>
      <c r="D56" s="16">
        <f>'Rest Buybacks'!J56</f>
        <v/>
      </c>
      <c r="E56" s="16">
        <f>'Rest Dividends'!H56</f>
        <v/>
      </c>
      <c r="F56" s="16">
        <f>'Rest Offerings'!J56</f>
        <v/>
      </c>
    </row>
    <row r="57">
      <c r="A57" s="16">
        <f>'Rest Universe'!A58</f>
        <v/>
      </c>
      <c r="B57" s="16">
        <f>'Rest Universe'!B58</f>
        <v/>
      </c>
      <c r="C57" s="16">
        <f>'Rest Buybacks'!F57</f>
        <v/>
      </c>
      <c r="D57" s="16">
        <f>'Rest Buybacks'!J57</f>
        <v/>
      </c>
      <c r="E57" s="16">
        <f>'Rest Dividends'!H57</f>
        <v/>
      </c>
      <c r="F57" s="16">
        <f>'Rest Offerings'!J57</f>
        <v/>
      </c>
    </row>
    <row r="58">
      <c r="A58" s="16">
        <f>'Rest Universe'!A59</f>
        <v/>
      </c>
      <c r="B58" s="16">
        <f>'Rest Universe'!B59</f>
        <v/>
      </c>
      <c r="C58" s="16">
        <f>'Rest Buybacks'!F58</f>
        <v/>
      </c>
      <c r="D58" s="16">
        <f>'Rest Buybacks'!J58</f>
        <v/>
      </c>
      <c r="E58" s="16">
        <f>'Rest Dividends'!H58</f>
        <v/>
      </c>
      <c r="F58" s="16">
        <f>'Rest Offerings'!J58</f>
        <v/>
      </c>
    </row>
    <row r="59">
      <c r="A59" s="16">
        <f>'Rest Universe'!A60</f>
        <v/>
      </c>
      <c r="B59" s="16">
        <f>'Rest Universe'!B60</f>
        <v/>
      </c>
      <c r="C59" s="16">
        <f>'Rest Buybacks'!F59</f>
        <v/>
      </c>
      <c r="D59" s="16">
        <f>'Rest Buybacks'!J59</f>
        <v/>
      </c>
      <c r="E59" s="16">
        <f>'Rest Dividends'!H59</f>
        <v/>
      </c>
      <c r="F59" s="16">
        <f>'Rest Offerings'!J59</f>
        <v/>
      </c>
    </row>
    <row r="60">
      <c r="A60" s="16">
        <f>'Rest Universe'!A61</f>
        <v/>
      </c>
      <c r="B60" s="16">
        <f>'Rest Universe'!B61</f>
        <v/>
      </c>
      <c r="C60" s="16">
        <f>'Rest Buybacks'!F60</f>
        <v/>
      </c>
      <c r="D60" s="16">
        <f>'Rest Buybacks'!J60</f>
        <v/>
      </c>
      <c r="E60" s="16">
        <f>'Rest Dividends'!H60</f>
        <v/>
      </c>
      <c r="F60" s="16">
        <f>'Rest Offerings'!J60</f>
        <v/>
      </c>
    </row>
    <row r="61">
      <c r="A61" s="16">
        <f>'Rest Universe'!A62</f>
        <v/>
      </c>
      <c r="B61" s="16">
        <f>'Rest Universe'!B62</f>
        <v/>
      </c>
      <c r="C61" s="16">
        <f>'Rest Buybacks'!F61</f>
        <v/>
      </c>
      <c r="D61" s="16">
        <f>'Rest Buybacks'!J61</f>
        <v/>
      </c>
      <c r="E61" s="16">
        <f>'Rest Dividends'!H61</f>
        <v/>
      </c>
      <c r="F61" s="16">
        <f>'Rest Offerings'!J61</f>
        <v/>
      </c>
    </row>
    <row r="62">
      <c r="A62" s="16">
        <f>'Rest Universe'!A63</f>
        <v/>
      </c>
      <c r="B62" s="16">
        <f>'Rest Universe'!B63</f>
        <v/>
      </c>
      <c r="C62" s="16">
        <f>'Rest Buybacks'!F62</f>
        <v/>
      </c>
      <c r="D62" s="16">
        <f>'Rest Buybacks'!J62</f>
        <v/>
      </c>
      <c r="E62" s="16">
        <f>'Rest Dividends'!H62</f>
        <v/>
      </c>
      <c r="F62" s="16">
        <f>'Rest Offerings'!J62</f>
        <v/>
      </c>
    </row>
    <row r="63">
      <c r="A63" s="16">
        <f>'Rest Universe'!A64</f>
        <v/>
      </c>
      <c r="B63" s="16">
        <f>'Rest Universe'!B64</f>
        <v/>
      </c>
      <c r="C63" s="16">
        <f>'Rest Buybacks'!F63</f>
        <v/>
      </c>
      <c r="D63" s="16">
        <f>'Rest Buybacks'!J63</f>
        <v/>
      </c>
      <c r="E63" s="16">
        <f>'Rest Dividends'!H63</f>
        <v/>
      </c>
      <c r="F63" s="16">
        <f>'Rest Offerings'!J63</f>
        <v/>
      </c>
    </row>
    <row r="64">
      <c r="A64" s="16">
        <f>'Rest Universe'!A65</f>
        <v/>
      </c>
      <c r="B64" s="16">
        <f>'Rest Universe'!B65</f>
        <v/>
      </c>
      <c r="C64" s="16">
        <f>'Rest Buybacks'!F64</f>
        <v/>
      </c>
      <c r="D64" s="16">
        <f>'Rest Buybacks'!J64</f>
        <v/>
      </c>
      <c r="E64" s="16">
        <f>'Rest Dividends'!H64</f>
        <v/>
      </c>
      <c r="F64" s="16">
        <f>'Rest Offerings'!J64</f>
        <v/>
      </c>
    </row>
    <row r="65">
      <c r="A65" s="16">
        <f>'Rest Universe'!A66</f>
        <v/>
      </c>
      <c r="B65" s="16">
        <f>'Rest Universe'!B66</f>
        <v/>
      </c>
      <c r="C65" s="16">
        <f>'Rest Buybacks'!F65</f>
        <v/>
      </c>
      <c r="D65" s="16">
        <f>'Rest Buybacks'!J65</f>
        <v/>
      </c>
      <c r="E65" s="16">
        <f>'Rest Dividends'!H65</f>
        <v/>
      </c>
      <c r="F65" s="16">
        <f>'Rest Offerings'!J65</f>
        <v/>
      </c>
    </row>
    <row r="66">
      <c r="A66" s="16">
        <f>'Rest Universe'!A67</f>
        <v/>
      </c>
      <c r="B66" s="16">
        <f>'Rest Universe'!B67</f>
        <v/>
      </c>
      <c r="C66" s="16">
        <f>'Rest Buybacks'!F66</f>
        <v/>
      </c>
      <c r="D66" s="16">
        <f>'Rest Buybacks'!J66</f>
        <v/>
      </c>
      <c r="E66" s="16">
        <f>'Rest Dividends'!H66</f>
        <v/>
      </c>
      <c r="F66" s="16">
        <f>'Rest Offerings'!J66</f>
        <v/>
      </c>
    </row>
    <row r="67">
      <c r="A67" s="16">
        <f>'Rest Universe'!A68</f>
        <v/>
      </c>
      <c r="B67" s="16">
        <f>'Rest Universe'!B68</f>
        <v/>
      </c>
      <c r="C67" s="16">
        <f>'Rest Buybacks'!F67</f>
        <v/>
      </c>
      <c r="D67" s="16">
        <f>'Rest Buybacks'!J67</f>
        <v/>
      </c>
      <c r="E67" s="16">
        <f>'Rest Dividends'!H67</f>
        <v/>
      </c>
      <c r="F67" s="16">
        <f>'Rest Offerings'!J67</f>
        <v/>
      </c>
    </row>
    <row r="68">
      <c r="A68" s="16">
        <f>'Rest Universe'!A69</f>
        <v/>
      </c>
      <c r="B68" s="16">
        <f>'Rest Universe'!B69</f>
        <v/>
      </c>
      <c r="C68" s="16">
        <f>'Rest Buybacks'!F68</f>
        <v/>
      </c>
      <c r="D68" s="16">
        <f>'Rest Buybacks'!J68</f>
        <v/>
      </c>
      <c r="E68" s="16">
        <f>'Rest Dividends'!H68</f>
        <v/>
      </c>
      <c r="F68" s="16">
        <f>'Rest Offerings'!J68</f>
        <v/>
      </c>
    </row>
    <row r="69">
      <c r="A69" s="16">
        <f>'Rest Universe'!A70</f>
        <v/>
      </c>
      <c r="B69" s="16">
        <f>'Rest Universe'!B70</f>
        <v/>
      </c>
      <c r="C69" s="16">
        <f>'Rest Buybacks'!F69</f>
        <v/>
      </c>
      <c r="D69" s="16">
        <f>'Rest Buybacks'!J69</f>
        <v/>
      </c>
      <c r="E69" s="16">
        <f>'Rest Dividends'!H69</f>
        <v/>
      </c>
      <c r="F69" s="16">
        <f>'Rest Offerings'!J69</f>
        <v/>
      </c>
    </row>
    <row r="70">
      <c r="A70" s="16">
        <f>'Rest Universe'!A71</f>
        <v/>
      </c>
      <c r="B70" s="16">
        <f>'Rest Universe'!B71</f>
        <v/>
      </c>
      <c r="C70" s="16">
        <f>'Rest Buybacks'!F70</f>
        <v/>
      </c>
      <c r="D70" s="16">
        <f>'Rest Buybacks'!J70</f>
        <v/>
      </c>
      <c r="E70" s="16">
        <f>'Rest Dividends'!H70</f>
        <v/>
      </c>
      <c r="F70" s="16">
        <f>'Rest Offerings'!J70</f>
        <v/>
      </c>
    </row>
    <row r="71">
      <c r="A71" s="16">
        <f>'Rest Universe'!A72</f>
        <v/>
      </c>
      <c r="B71" s="16">
        <f>'Rest Universe'!B72</f>
        <v/>
      </c>
      <c r="C71" s="16">
        <f>'Rest Buybacks'!F71</f>
        <v/>
      </c>
      <c r="D71" s="16">
        <f>'Rest Buybacks'!J71</f>
        <v/>
      </c>
      <c r="E71" s="16">
        <f>'Rest Dividends'!H71</f>
        <v/>
      </c>
      <c r="F71" s="16">
        <f>'Rest Offerings'!J71</f>
        <v/>
      </c>
    </row>
    <row r="72">
      <c r="A72" s="16">
        <f>'Rest Universe'!A73</f>
        <v/>
      </c>
      <c r="B72" s="16">
        <f>'Rest Universe'!B73</f>
        <v/>
      </c>
      <c r="C72" s="16">
        <f>'Rest Buybacks'!F72</f>
        <v/>
      </c>
      <c r="D72" s="16">
        <f>'Rest Buybacks'!J72</f>
        <v/>
      </c>
      <c r="E72" s="16">
        <f>'Rest Dividends'!H72</f>
        <v/>
      </c>
      <c r="F72" s="16">
        <f>'Rest Offerings'!J72</f>
        <v/>
      </c>
    </row>
    <row r="73">
      <c r="A73" s="16">
        <f>'Rest Universe'!A74</f>
        <v/>
      </c>
      <c r="B73" s="16">
        <f>'Rest Universe'!B74</f>
        <v/>
      </c>
      <c r="C73" s="16">
        <f>'Rest Buybacks'!F73</f>
        <v/>
      </c>
      <c r="D73" s="16">
        <f>'Rest Buybacks'!J73</f>
        <v/>
      </c>
      <c r="E73" s="16">
        <f>'Rest Dividends'!H73</f>
        <v/>
      </c>
      <c r="F73" s="16">
        <f>'Rest Offerings'!J73</f>
        <v/>
      </c>
    </row>
    <row r="74">
      <c r="A74" s="16">
        <f>'Rest Universe'!A75</f>
        <v/>
      </c>
      <c r="B74" s="16">
        <f>'Rest Universe'!B75</f>
        <v/>
      </c>
      <c r="C74" s="16">
        <f>'Rest Buybacks'!F74</f>
        <v/>
      </c>
      <c r="D74" s="16">
        <f>'Rest Buybacks'!J74</f>
        <v/>
      </c>
      <c r="E74" s="16">
        <f>'Rest Dividends'!H74</f>
        <v/>
      </c>
      <c r="F74" s="16">
        <f>'Rest Offerings'!J74</f>
        <v/>
      </c>
    </row>
    <row r="75">
      <c r="A75" s="16">
        <f>'Rest Universe'!A76</f>
        <v/>
      </c>
      <c r="B75" s="16">
        <f>'Rest Universe'!B76</f>
        <v/>
      </c>
      <c r="C75" s="16">
        <f>'Rest Buybacks'!F75</f>
        <v/>
      </c>
      <c r="D75" s="16">
        <f>'Rest Buybacks'!J75</f>
        <v/>
      </c>
      <c r="E75" s="16">
        <f>'Rest Dividends'!H75</f>
        <v/>
      </c>
      <c r="F75" s="16">
        <f>'Rest Offerings'!J75</f>
        <v/>
      </c>
    </row>
    <row r="76">
      <c r="A76" s="16">
        <f>'Rest Universe'!A77</f>
        <v/>
      </c>
      <c r="B76" s="16">
        <f>'Rest Universe'!B77</f>
        <v/>
      </c>
      <c r="C76" s="16">
        <f>'Rest Buybacks'!F76</f>
        <v/>
      </c>
      <c r="D76" s="16">
        <f>'Rest Buybacks'!J76</f>
        <v/>
      </c>
      <c r="E76" s="16">
        <f>'Rest Dividends'!H76</f>
        <v/>
      </c>
      <c r="F76" s="16">
        <f>'Rest Offerings'!J76</f>
        <v/>
      </c>
    </row>
    <row r="77">
      <c r="A77" s="16">
        <f>'Rest Universe'!A78</f>
        <v/>
      </c>
      <c r="B77" s="16">
        <f>'Rest Universe'!B78</f>
        <v/>
      </c>
      <c r="C77" s="16">
        <f>'Rest Buybacks'!F77</f>
        <v/>
      </c>
      <c r="D77" s="16">
        <f>'Rest Buybacks'!J77</f>
        <v/>
      </c>
      <c r="E77" s="16">
        <f>'Rest Dividends'!H77</f>
        <v/>
      </c>
      <c r="F77" s="16">
        <f>'Rest Offerings'!J77</f>
        <v/>
      </c>
    </row>
    <row r="78">
      <c r="A78" s="16">
        <f>'Rest Universe'!A79</f>
        <v/>
      </c>
      <c r="B78" s="16">
        <f>'Rest Universe'!B79</f>
        <v/>
      </c>
      <c r="C78" s="16">
        <f>'Rest Buybacks'!F78</f>
        <v/>
      </c>
      <c r="D78" s="16">
        <f>'Rest Buybacks'!J78</f>
        <v/>
      </c>
      <c r="E78" s="16">
        <f>'Rest Dividends'!H78</f>
        <v/>
      </c>
      <c r="F78" s="16">
        <f>'Rest Offerings'!J78</f>
        <v/>
      </c>
    </row>
    <row r="79">
      <c r="A79" s="16">
        <f>'Rest Universe'!A80</f>
        <v/>
      </c>
      <c r="B79" s="16">
        <f>'Rest Universe'!B80</f>
        <v/>
      </c>
      <c r="C79" s="16">
        <f>'Rest Buybacks'!F79</f>
        <v/>
      </c>
      <c r="D79" s="16">
        <f>'Rest Buybacks'!J79</f>
        <v/>
      </c>
      <c r="E79" s="16">
        <f>'Rest Dividends'!H79</f>
        <v/>
      </c>
      <c r="F79" s="16">
        <f>'Rest Offerings'!J79</f>
        <v/>
      </c>
    </row>
    <row r="80">
      <c r="A80" s="16">
        <f>'Rest Universe'!A81</f>
        <v/>
      </c>
      <c r="B80" s="16">
        <f>'Rest Universe'!B81</f>
        <v/>
      </c>
      <c r="C80" s="16">
        <f>'Rest Buybacks'!F80</f>
        <v/>
      </c>
      <c r="D80" s="16">
        <f>'Rest Buybacks'!J80</f>
        <v/>
      </c>
      <c r="E80" s="16">
        <f>'Rest Dividends'!H80</f>
        <v/>
      </c>
      <c r="F80" s="16">
        <f>'Rest Offerings'!J80</f>
        <v/>
      </c>
    </row>
    <row r="81">
      <c r="A81" s="16">
        <f>'Rest Universe'!A82</f>
        <v/>
      </c>
      <c r="B81" s="16">
        <f>'Rest Universe'!B82</f>
        <v/>
      </c>
      <c r="C81" s="16">
        <f>'Rest Buybacks'!F81</f>
        <v/>
      </c>
      <c r="D81" s="16">
        <f>'Rest Buybacks'!J81</f>
        <v/>
      </c>
      <c r="E81" s="16">
        <f>'Rest Dividends'!H81</f>
        <v/>
      </c>
      <c r="F81" s="16">
        <f>'Rest Offerings'!J81</f>
        <v/>
      </c>
    </row>
    <row r="82">
      <c r="A82" s="16">
        <f>'Rest Universe'!A83</f>
        <v/>
      </c>
      <c r="B82" s="16">
        <f>'Rest Universe'!B83</f>
        <v/>
      </c>
      <c r="C82" s="16">
        <f>'Rest Buybacks'!F82</f>
        <v/>
      </c>
      <c r="D82" s="16">
        <f>'Rest Buybacks'!J82</f>
        <v/>
      </c>
      <c r="E82" s="16">
        <f>'Rest Dividends'!H82</f>
        <v/>
      </c>
      <c r="F82" s="16">
        <f>'Rest Offerings'!J82</f>
        <v/>
      </c>
    </row>
    <row r="83">
      <c r="A83" s="16">
        <f>'Rest Universe'!A84</f>
        <v/>
      </c>
      <c r="B83" s="16">
        <f>'Rest Universe'!B84</f>
        <v/>
      </c>
      <c r="C83" s="16">
        <f>'Rest Buybacks'!F83</f>
        <v/>
      </c>
      <c r="D83" s="16">
        <f>'Rest Buybacks'!J83</f>
        <v/>
      </c>
      <c r="E83" s="16">
        <f>'Rest Dividends'!H83</f>
        <v/>
      </c>
      <c r="F83" s="16">
        <f>'Rest Offerings'!J83</f>
        <v/>
      </c>
    </row>
    <row r="84">
      <c r="A84" s="16">
        <f>'Rest Universe'!A85</f>
        <v/>
      </c>
      <c r="B84" s="16">
        <f>'Rest Universe'!B85</f>
        <v/>
      </c>
      <c r="C84" s="16">
        <f>'Rest Buybacks'!F84</f>
        <v/>
      </c>
      <c r="D84" s="16">
        <f>'Rest Buybacks'!J84</f>
        <v/>
      </c>
      <c r="E84" s="16">
        <f>'Rest Dividends'!H84</f>
        <v/>
      </c>
      <c r="F84" s="16">
        <f>'Rest Offerings'!J84</f>
        <v/>
      </c>
    </row>
    <row r="85">
      <c r="A85" s="16">
        <f>'Rest Universe'!A86</f>
        <v/>
      </c>
      <c r="B85" s="16">
        <f>'Rest Universe'!B86</f>
        <v/>
      </c>
      <c r="C85" s="16">
        <f>'Rest Buybacks'!F85</f>
        <v/>
      </c>
      <c r="D85" s="16">
        <f>'Rest Buybacks'!J85</f>
        <v/>
      </c>
      <c r="E85" s="16">
        <f>'Rest Dividends'!H85</f>
        <v/>
      </c>
      <c r="F85" s="16">
        <f>'Rest Offerings'!J85</f>
        <v/>
      </c>
    </row>
    <row r="86">
      <c r="A86" s="16">
        <f>'Rest Universe'!A87</f>
        <v/>
      </c>
      <c r="B86" s="16">
        <f>'Rest Universe'!B87</f>
        <v/>
      </c>
      <c r="C86" s="16">
        <f>'Rest Buybacks'!F86</f>
        <v/>
      </c>
      <c r="D86" s="16">
        <f>'Rest Buybacks'!J86</f>
        <v/>
      </c>
      <c r="E86" s="16">
        <f>'Rest Dividends'!H86</f>
        <v/>
      </c>
      <c r="F86" s="16">
        <f>'Rest Offerings'!J86</f>
        <v/>
      </c>
    </row>
    <row r="87">
      <c r="A87" s="16">
        <f>'Rest Universe'!A88</f>
        <v/>
      </c>
      <c r="B87" s="16">
        <f>'Rest Universe'!B88</f>
        <v/>
      </c>
      <c r="C87" s="16">
        <f>'Rest Buybacks'!F87</f>
        <v/>
      </c>
      <c r="D87" s="16">
        <f>'Rest Buybacks'!J87</f>
        <v/>
      </c>
      <c r="E87" s="16">
        <f>'Rest Dividends'!H87</f>
        <v/>
      </c>
      <c r="F87" s="16">
        <f>'Rest Offerings'!J87</f>
        <v/>
      </c>
    </row>
    <row r="88">
      <c r="A88" s="16">
        <f>'Rest Universe'!A89</f>
        <v/>
      </c>
      <c r="B88" s="16">
        <f>'Rest Universe'!B89</f>
        <v/>
      </c>
      <c r="C88" s="16">
        <f>'Rest Buybacks'!F88</f>
        <v/>
      </c>
      <c r="D88" s="16">
        <f>'Rest Buybacks'!J88</f>
        <v/>
      </c>
      <c r="E88" s="16">
        <f>'Rest Dividends'!H88</f>
        <v/>
      </c>
      <c r="F88" s="16">
        <f>'Rest Offerings'!J88</f>
        <v/>
      </c>
    </row>
    <row r="89">
      <c r="A89" s="16">
        <f>'Rest Universe'!A90</f>
        <v/>
      </c>
      <c r="B89" s="16">
        <f>'Rest Universe'!B90</f>
        <v/>
      </c>
      <c r="C89" s="16">
        <f>'Rest Buybacks'!F89</f>
        <v/>
      </c>
      <c r="D89" s="16">
        <f>'Rest Buybacks'!J89</f>
        <v/>
      </c>
      <c r="E89" s="16">
        <f>'Rest Dividends'!H89</f>
        <v/>
      </c>
      <c r="F89" s="16">
        <f>'Rest Offerings'!J89</f>
        <v/>
      </c>
    </row>
    <row r="90">
      <c r="A90" s="16">
        <f>'Rest Universe'!A91</f>
        <v/>
      </c>
      <c r="B90" s="16">
        <f>'Rest Universe'!B91</f>
        <v/>
      </c>
      <c r="C90" s="16">
        <f>'Rest Buybacks'!F90</f>
        <v/>
      </c>
      <c r="D90" s="16">
        <f>'Rest Buybacks'!J90</f>
        <v/>
      </c>
      <c r="E90" s="16">
        <f>'Rest Dividends'!H90</f>
        <v/>
      </c>
      <c r="F90" s="16">
        <f>'Rest Offerings'!J90</f>
        <v/>
      </c>
    </row>
    <row r="91">
      <c r="A91" s="16">
        <f>'Rest Universe'!A92</f>
        <v/>
      </c>
      <c r="B91" s="16">
        <f>'Rest Universe'!B92</f>
        <v/>
      </c>
      <c r="C91" s="16">
        <f>'Rest Buybacks'!F91</f>
        <v/>
      </c>
      <c r="D91" s="16">
        <f>'Rest Buybacks'!J91</f>
        <v/>
      </c>
      <c r="E91" s="16">
        <f>'Rest Dividends'!H91</f>
        <v/>
      </c>
      <c r="F91" s="16">
        <f>'Rest Offerings'!J91</f>
        <v/>
      </c>
    </row>
    <row r="92">
      <c r="A92" s="16">
        <f>'Rest Universe'!A93</f>
        <v/>
      </c>
      <c r="B92" s="16">
        <f>'Rest Universe'!B93</f>
        <v/>
      </c>
      <c r="C92" s="16">
        <f>'Rest Buybacks'!F92</f>
        <v/>
      </c>
      <c r="D92" s="16">
        <f>'Rest Buybacks'!J92</f>
        <v/>
      </c>
      <c r="E92" s="16">
        <f>'Rest Dividends'!H92</f>
        <v/>
      </c>
      <c r="F92" s="16">
        <f>'Rest Offerings'!J92</f>
        <v/>
      </c>
    </row>
    <row r="93">
      <c r="A93" s="16">
        <f>'Rest Universe'!A94</f>
        <v/>
      </c>
      <c r="B93" s="16">
        <f>'Rest Universe'!B94</f>
        <v/>
      </c>
      <c r="C93" s="16">
        <f>'Rest Buybacks'!F93</f>
        <v/>
      </c>
      <c r="D93" s="16">
        <f>'Rest Buybacks'!J93</f>
        <v/>
      </c>
      <c r="E93" s="16">
        <f>'Rest Dividends'!H93</f>
        <v/>
      </c>
      <c r="F93" s="16">
        <f>'Rest Offerings'!J93</f>
        <v/>
      </c>
    </row>
    <row r="94">
      <c r="A94" s="16">
        <f>'Rest Universe'!A95</f>
        <v/>
      </c>
      <c r="B94" s="16">
        <f>'Rest Universe'!B95</f>
        <v/>
      </c>
      <c r="C94" s="16">
        <f>'Rest Buybacks'!F94</f>
        <v/>
      </c>
      <c r="D94" s="16">
        <f>'Rest Buybacks'!J94</f>
        <v/>
      </c>
      <c r="E94" s="16">
        <f>'Rest Dividends'!H94</f>
        <v/>
      </c>
      <c r="F94" s="16">
        <f>'Rest Offerings'!J94</f>
        <v/>
      </c>
    </row>
    <row r="95">
      <c r="A95" s="16">
        <f>'Rest Universe'!A96</f>
        <v/>
      </c>
      <c r="B95" s="16">
        <f>'Rest Universe'!B96</f>
        <v/>
      </c>
      <c r="C95" s="16">
        <f>'Rest Buybacks'!F95</f>
        <v/>
      </c>
      <c r="D95" s="16">
        <f>'Rest Buybacks'!J95</f>
        <v/>
      </c>
      <c r="E95" s="16">
        <f>'Rest Dividends'!H95</f>
        <v/>
      </c>
      <c r="F95" s="16">
        <f>'Rest Offerings'!J95</f>
        <v/>
      </c>
    </row>
    <row r="96">
      <c r="A96" s="16">
        <f>'Rest Universe'!A97</f>
        <v/>
      </c>
      <c r="B96" s="16">
        <f>'Rest Universe'!B97</f>
        <v/>
      </c>
      <c r="C96" s="16">
        <f>'Rest Buybacks'!F96</f>
        <v/>
      </c>
      <c r="D96" s="16">
        <f>'Rest Buybacks'!J96</f>
        <v/>
      </c>
      <c r="E96" s="16">
        <f>'Rest Dividends'!H96</f>
        <v/>
      </c>
      <c r="F96" s="16">
        <f>'Rest Offerings'!J96</f>
        <v/>
      </c>
    </row>
    <row r="97">
      <c r="A97" s="16">
        <f>'Rest Universe'!A98</f>
        <v/>
      </c>
      <c r="B97" s="16">
        <f>'Rest Universe'!B98</f>
        <v/>
      </c>
      <c r="C97" s="16">
        <f>'Rest Buybacks'!F97</f>
        <v/>
      </c>
      <c r="D97" s="16">
        <f>'Rest Buybacks'!J97</f>
        <v/>
      </c>
      <c r="E97" s="16">
        <f>'Rest Dividends'!H97</f>
        <v/>
      </c>
      <c r="F97" s="16">
        <f>'Rest Offerings'!J97</f>
        <v/>
      </c>
    </row>
    <row r="98">
      <c r="A98" s="16">
        <f>'Rest Universe'!A99</f>
        <v/>
      </c>
      <c r="B98" s="16">
        <f>'Rest Universe'!B99</f>
        <v/>
      </c>
      <c r="C98" s="16">
        <f>'Rest Buybacks'!F98</f>
        <v/>
      </c>
      <c r="D98" s="16">
        <f>'Rest Buybacks'!J98</f>
        <v/>
      </c>
      <c r="E98" s="16">
        <f>'Rest Dividends'!H98</f>
        <v/>
      </c>
      <c r="F98" s="16">
        <f>'Rest Offerings'!J98</f>
        <v/>
      </c>
    </row>
    <row r="99">
      <c r="A99" s="16">
        <f>'Rest Universe'!A100</f>
        <v/>
      </c>
      <c r="B99" s="16">
        <f>'Rest Universe'!B100</f>
        <v/>
      </c>
      <c r="C99" s="16">
        <f>'Rest Buybacks'!F99</f>
        <v/>
      </c>
      <c r="D99" s="16">
        <f>'Rest Buybacks'!J99</f>
        <v/>
      </c>
      <c r="E99" s="16">
        <f>'Rest Dividends'!H99</f>
        <v/>
      </c>
      <c r="F99" s="16">
        <f>'Rest Offerings'!J99</f>
        <v/>
      </c>
    </row>
    <row r="100">
      <c r="A100" s="16">
        <f>'Rest Universe'!A101</f>
        <v/>
      </c>
      <c r="B100" s="16">
        <f>'Rest Universe'!B101</f>
        <v/>
      </c>
      <c r="C100" s="16">
        <f>'Rest Buybacks'!F100</f>
        <v/>
      </c>
      <c r="D100" s="16">
        <f>'Rest Buybacks'!J100</f>
        <v/>
      </c>
      <c r="E100" s="16">
        <f>'Rest Dividends'!H100</f>
        <v/>
      </c>
      <c r="F100" s="16">
        <f>'Rest Offerings'!J100</f>
        <v/>
      </c>
    </row>
    <row r="101">
      <c r="A101" s="16">
        <f>'Rest Universe'!A102</f>
        <v/>
      </c>
      <c r="B101" s="16">
        <f>'Rest Universe'!B102</f>
        <v/>
      </c>
      <c r="C101" s="16">
        <f>'Rest Buybacks'!F101</f>
        <v/>
      </c>
      <c r="D101" s="16">
        <f>'Rest Buybacks'!J101</f>
        <v/>
      </c>
      <c r="E101" s="16">
        <f>'Rest Dividends'!H101</f>
        <v/>
      </c>
      <c r="F101" s="16">
        <f>'Rest Offerings'!J101</f>
        <v/>
      </c>
    </row>
    <row r="102">
      <c r="A102" s="16">
        <f>'Rest Universe'!A103</f>
        <v/>
      </c>
      <c r="B102" s="16">
        <f>'Rest Universe'!B103</f>
        <v/>
      </c>
      <c r="C102" s="16">
        <f>'Rest Buybacks'!F102</f>
        <v/>
      </c>
      <c r="D102" s="16">
        <f>'Rest Buybacks'!J102</f>
        <v/>
      </c>
      <c r="E102" s="16">
        <f>'Rest Dividends'!H102</f>
        <v/>
      </c>
      <c r="F102" s="16">
        <f>'Rest Offerings'!J102</f>
        <v/>
      </c>
    </row>
    <row r="103">
      <c r="A103" s="16">
        <f>'Rest Universe'!A104</f>
        <v/>
      </c>
      <c r="B103" s="16">
        <f>'Rest Universe'!B104</f>
        <v/>
      </c>
      <c r="C103" s="16">
        <f>'Rest Buybacks'!F103</f>
        <v/>
      </c>
      <c r="D103" s="16">
        <f>'Rest Buybacks'!J103</f>
        <v/>
      </c>
      <c r="E103" s="16">
        <f>'Rest Dividends'!H103</f>
        <v/>
      </c>
      <c r="F103" s="16">
        <f>'Rest Offerings'!J103</f>
        <v/>
      </c>
    </row>
    <row r="104">
      <c r="A104" s="16">
        <f>'Rest Universe'!A105</f>
        <v/>
      </c>
      <c r="B104" s="16">
        <f>'Rest Universe'!B105</f>
        <v/>
      </c>
      <c r="C104" s="16">
        <f>'Rest Buybacks'!F104</f>
        <v/>
      </c>
      <c r="D104" s="16">
        <f>'Rest Buybacks'!J104</f>
        <v/>
      </c>
      <c r="E104" s="16">
        <f>'Rest Dividends'!H104</f>
        <v/>
      </c>
      <c r="F104" s="16">
        <f>'Rest Offerings'!J104</f>
        <v/>
      </c>
    </row>
    <row r="105">
      <c r="A105" s="16">
        <f>'Rest Universe'!A106</f>
        <v/>
      </c>
      <c r="B105" s="16">
        <f>'Rest Universe'!B106</f>
        <v/>
      </c>
      <c r="C105" s="16">
        <f>'Rest Buybacks'!F105</f>
        <v/>
      </c>
      <c r="D105" s="16">
        <f>'Rest Buybacks'!J105</f>
        <v/>
      </c>
      <c r="E105" s="16">
        <f>'Rest Dividends'!H105</f>
        <v/>
      </c>
      <c r="F105" s="16">
        <f>'Rest Offerings'!J105</f>
        <v/>
      </c>
    </row>
    <row r="106">
      <c r="A106" s="16">
        <f>'Rest Universe'!A107</f>
        <v/>
      </c>
      <c r="B106" s="16">
        <f>'Rest Universe'!B107</f>
        <v/>
      </c>
      <c r="C106" s="16">
        <f>'Rest Buybacks'!F106</f>
        <v/>
      </c>
      <c r="D106" s="16">
        <f>'Rest Buybacks'!J106</f>
        <v/>
      </c>
      <c r="E106" s="16">
        <f>'Rest Dividends'!H106</f>
        <v/>
      </c>
      <c r="F106" s="16">
        <f>'Rest Offerings'!J106</f>
        <v/>
      </c>
    </row>
    <row r="107">
      <c r="A107" s="16">
        <f>'Rest Universe'!A108</f>
        <v/>
      </c>
      <c r="B107" s="16">
        <f>'Rest Universe'!B108</f>
        <v/>
      </c>
      <c r="C107" s="16">
        <f>'Rest Buybacks'!F107</f>
        <v/>
      </c>
      <c r="D107" s="16">
        <f>'Rest Buybacks'!J107</f>
        <v/>
      </c>
      <c r="E107" s="16">
        <f>'Rest Dividends'!H107</f>
        <v/>
      </c>
      <c r="F107" s="16">
        <f>'Rest Offerings'!J107</f>
        <v/>
      </c>
    </row>
    <row r="108">
      <c r="A108" s="16">
        <f>'Rest Universe'!A109</f>
        <v/>
      </c>
      <c r="B108" s="16">
        <f>'Rest Universe'!B109</f>
        <v/>
      </c>
      <c r="C108" s="16">
        <f>'Rest Buybacks'!F108</f>
        <v/>
      </c>
      <c r="D108" s="16">
        <f>'Rest Buybacks'!J108</f>
        <v/>
      </c>
      <c r="E108" s="16">
        <f>'Rest Dividends'!H108</f>
        <v/>
      </c>
      <c r="F108" s="16">
        <f>'Rest Offerings'!J108</f>
        <v/>
      </c>
    </row>
    <row r="109">
      <c r="A109" s="16">
        <f>'Rest Universe'!A110</f>
        <v/>
      </c>
      <c r="B109" s="16">
        <f>'Rest Universe'!B110</f>
        <v/>
      </c>
      <c r="C109" s="16">
        <f>'Rest Buybacks'!F109</f>
        <v/>
      </c>
      <c r="D109" s="16">
        <f>'Rest Buybacks'!J109</f>
        <v/>
      </c>
      <c r="E109" s="16">
        <f>'Rest Dividends'!H109</f>
        <v/>
      </c>
      <c r="F109" s="16">
        <f>'Rest Offerings'!J109</f>
        <v/>
      </c>
    </row>
    <row r="110">
      <c r="A110" s="16">
        <f>'Rest Universe'!A111</f>
        <v/>
      </c>
      <c r="B110" s="16">
        <f>'Rest Universe'!B111</f>
        <v/>
      </c>
      <c r="C110" s="16">
        <f>'Rest Buybacks'!F110</f>
        <v/>
      </c>
      <c r="D110" s="16">
        <f>'Rest Buybacks'!J110</f>
        <v/>
      </c>
      <c r="E110" s="16">
        <f>'Rest Dividends'!H110</f>
        <v/>
      </c>
      <c r="F110" s="16">
        <f>'Rest Offerings'!J110</f>
        <v/>
      </c>
    </row>
    <row r="111">
      <c r="A111" s="16">
        <f>'Rest Universe'!A112</f>
        <v/>
      </c>
      <c r="B111" s="16">
        <f>'Rest Universe'!B112</f>
        <v/>
      </c>
      <c r="C111" s="16">
        <f>'Rest Buybacks'!F111</f>
        <v/>
      </c>
      <c r="D111" s="16">
        <f>'Rest Buybacks'!J111</f>
        <v/>
      </c>
      <c r="E111" s="16">
        <f>'Rest Dividends'!H111</f>
        <v/>
      </c>
      <c r="F111" s="16">
        <f>'Rest Offerings'!J111</f>
        <v/>
      </c>
    </row>
    <row r="112">
      <c r="A112" s="16">
        <f>'Rest Universe'!A113</f>
        <v/>
      </c>
      <c r="B112" s="16">
        <f>'Rest Universe'!B113</f>
        <v/>
      </c>
      <c r="C112" s="16">
        <f>'Rest Buybacks'!F112</f>
        <v/>
      </c>
      <c r="D112" s="16">
        <f>'Rest Buybacks'!J112</f>
        <v/>
      </c>
      <c r="E112" s="16">
        <f>'Rest Dividends'!H112</f>
        <v/>
      </c>
      <c r="F112" s="16">
        <f>'Rest Offerings'!J112</f>
        <v/>
      </c>
    </row>
    <row r="113">
      <c r="A113" s="16">
        <f>'Rest Universe'!A114</f>
        <v/>
      </c>
      <c r="B113" s="16">
        <f>'Rest Universe'!B114</f>
        <v/>
      </c>
      <c r="C113" s="16">
        <f>'Rest Buybacks'!F113</f>
        <v/>
      </c>
      <c r="D113" s="16">
        <f>'Rest Buybacks'!J113</f>
        <v/>
      </c>
      <c r="E113" s="16">
        <f>'Rest Dividends'!H113</f>
        <v/>
      </c>
      <c r="F113" s="16">
        <f>'Rest Offerings'!J113</f>
        <v/>
      </c>
    </row>
    <row r="114">
      <c r="A114" s="16">
        <f>'Rest Universe'!A115</f>
        <v/>
      </c>
      <c r="B114" s="16">
        <f>'Rest Universe'!B115</f>
        <v/>
      </c>
      <c r="C114" s="16">
        <f>'Rest Buybacks'!F114</f>
        <v/>
      </c>
      <c r="D114" s="16">
        <f>'Rest Buybacks'!J114</f>
        <v/>
      </c>
      <c r="E114" s="16">
        <f>'Rest Dividends'!H114</f>
        <v/>
      </c>
      <c r="F114" s="16">
        <f>'Rest Offerings'!J114</f>
        <v/>
      </c>
    </row>
    <row r="115">
      <c r="A115" s="16">
        <f>'Rest Universe'!A116</f>
        <v/>
      </c>
      <c r="B115" s="16">
        <f>'Rest Universe'!B116</f>
        <v/>
      </c>
      <c r="C115" s="16">
        <f>'Rest Buybacks'!F115</f>
        <v/>
      </c>
      <c r="D115" s="16">
        <f>'Rest Buybacks'!J115</f>
        <v/>
      </c>
      <c r="E115" s="16">
        <f>'Rest Dividends'!H115</f>
        <v/>
      </c>
      <c r="F115" s="16">
        <f>'Rest Offerings'!J115</f>
        <v/>
      </c>
    </row>
    <row r="116">
      <c r="A116" s="16">
        <f>'Rest Universe'!A117</f>
        <v/>
      </c>
      <c r="B116" s="16">
        <f>'Rest Universe'!B117</f>
        <v/>
      </c>
      <c r="C116" s="16">
        <f>'Rest Buybacks'!F116</f>
        <v/>
      </c>
      <c r="D116" s="16">
        <f>'Rest Buybacks'!J116</f>
        <v/>
      </c>
      <c r="E116" s="16">
        <f>'Rest Dividends'!H116</f>
        <v/>
      </c>
      <c r="F116" s="16">
        <f>'Rest Offerings'!J116</f>
        <v/>
      </c>
    </row>
    <row r="117">
      <c r="A117" s="16">
        <f>'Rest Universe'!A118</f>
        <v/>
      </c>
      <c r="B117" s="16">
        <f>'Rest Universe'!B118</f>
        <v/>
      </c>
      <c r="C117" s="16">
        <f>'Rest Buybacks'!F117</f>
        <v/>
      </c>
      <c r="D117" s="16">
        <f>'Rest Buybacks'!J117</f>
        <v/>
      </c>
      <c r="E117" s="16">
        <f>'Rest Dividends'!H117</f>
        <v/>
      </c>
      <c r="F117" s="16">
        <f>'Rest Offerings'!J117</f>
        <v/>
      </c>
    </row>
    <row r="118">
      <c r="A118" s="16">
        <f>'Rest Universe'!A119</f>
        <v/>
      </c>
      <c r="B118" s="16">
        <f>'Rest Universe'!B119</f>
        <v/>
      </c>
      <c r="C118" s="16">
        <f>'Rest Buybacks'!F118</f>
        <v/>
      </c>
      <c r="D118" s="16">
        <f>'Rest Buybacks'!J118</f>
        <v/>
      </c>
      <c r="E118" s="16">
        <f>'Rest Dividends'!H118</f>
        <v/>
      </c>
      <c r="F118" s="16">
        <f>'Rest Offerings'!J118</f>
        <v/>
      </c>
    </row>
    <row r="119">
      <c r="A119" s="16">
        <f>'Rest Universe'!A120</f>
        <v/>
      </c>
      <c r="B119" s="16">
        <f>'Rest Universe'!B120</f>
        <v/>
      </c>
      <c r="C119" s="16">
        <f>'Rest Buybacks'!F119</f>
        <v/>
      </c>
      <c r="D119" s="16">
        <f>'Rest Buybacks'!J119</f>
        <v/>
      </c>
      <c r="E119" s="16">
        <f>'Rest Dividends'!H119</f>
        <v/>
      </c>
      <c r="F119" s="16">
        <f>'Rest Offerings'!J119</f>
        <v/>
      </c>
    </row>
    <row r="120">
      <c r="A120" s="16">
        <f>'Rest Universe'!A121</f>
        <v/>
      </c>
      <c r="B120" s="16">
        <f>'Rest Universe'!B121</f>
        <v/>
      </c>
      <c r="C120" s="16">
        <f>'Rest Buybacks'!F120</f>
        <v/>
      </c>
      <c r="D120" s="16">
        <f>'Rest Buybacks'!J120</f>
        <v/>
      </c>
      <c r="E120" s="16">
        <f>'Rest Dividends'!H120</f>
        <v/>
      </c>
      <c r="F120" s="16">
        <f>'Rest Offerings'!J120</f>
        <v/>
      </c>
    </row>
    <row r="121">
      <c r="A121" s="16">
        <f>'Rest Universe'!A122</f>
        <v/>
      </c>
      <c r="B121" s="16">
        <f>'Rest Universe'!B122</f>
        <v/>
      </c>
      <c r="C121" s="16">
        <f>'Rest Buybacks'!F121</f>
        <v/>
      </c>
      <c r="D121" s="16">
        <f>'Rest Buybacks'!J121</f>
        <v/>
      </c>
      <c r="E121" s="16">
        <f>'Rest Dividends'!H121</f>
        <v/>
      </c>
      <c r="F121" s="16">
        <f>'Rest Offerings'!J121</f>
        <v/>
      </c>
    </row>
    <row r="122">
      <c r="A122" s="16">
        <f>'Rest Universe'!A123</f>
        <v/>
      </c>
      <c r="B122" s="16">
        <f>'Rest Universe'!B123</f>
        <v/>
      </c>
      <c r="C122" s="16">
        <f>'Rest Buybacks'!F122</f>
        <v/>
      </c>
      <c r="D122" s="16">
        <f>'Rest Buybacks'!J122</f>
        <v/>
      </c>
      <c r="E122" s="16">
        <f>'Rest Dividends'!H122</f>
        <v/>
      </c>
      <c r="F122" s="16">
        <f>'Rest Offerings'!J122</f>
        <v/>
      </c>
    </row>
    <row r="123">
      <c r="A123" s="16">
        <f>'Rest Universe'!A124</f>
        <v/>
      </c>
      <c r="B123" s="16">
        <f>'Rest Universe'!B124</f>
        <v/>
      </c>
      <c r="C123" s="16">
        <f>'Rest Buybacks'!F123</f>
        <v/>
      </c>
      <c r="D123" s="16">
        <f>'Rest Buybacks'!J123</f>
        <v/>
      </c>
      <c r="E123" s="16">
        <f>'Rest Dividends'!H123</f>
        <v/>
      </c>
      <c r="F123" s="16">
        <f>'Rest Offerings'!J123</f>
        <v/>
      </c>
    </row>
    <row r="124">
      <c r="A124" s="16">
        <f>'Rest Universe'!A125</f>
        <v/>
      </c>
      <c r="B124" s="16">
        <f>'Rest Universe'!B125</f>
        <v/>
      </c>
      <c r="C124" s="16">
        <f>'Rest Buybacks'!F124</f>
        <v/>
      </c>
      <c r="D124" s="16">
        <f>'Rest Buybacks'!J124</f>
        <v/>
      </c>
      <c r="E124" s="16">
        <f>'Rest Dividends'!H124</f>
        <v/>
      </c>
      <c r="F124" s="16">
        <f>'Rest Offerings'!J124</f>
        <v/>
      </c>
    </row>
    <row r="125">
      <c r="A125" s="16">
        <f>'Rest Universe'!A126</f>
        <v/>
      </c>
      <c r="B125" s="16">
        <f>'Rest Universe'!B126</f>
        <v/>
      </c>
      <c r="C125" s="16">
        <f>'Rest Buybacks'!F125</f>
        <v/>
      </c>
      <c r="D125" s="16">
        <f>'Rest Buybacks'!J125</f>
        <v/>
      </c>
      <c r="E125" s="16">
        <f>'Rest Dividends'!H125</f>
        <v/>
      </c>
      <c r="F125" s="16">
        <f>'Rest Offerings'!J125</f>
        <v/>
      </c>
    </row>
    <row r="126">
      <c r="A126" s="16">
        <f>'Rest Universe'!A127</f>
        <v/>
      </c>
      <c r="B126" s="16">
        <f>'Rest Universe'!B127</f>
        <v/>
      </c>
      <c r="C126" s="16">
        <f>'Rest Buybacks'!F126</f>
        <v/>
      </c>
      <c r="D126" s="16">
        <f>'Rest Buybacks'!J126</f>
        <v/>
      </c>
      <c r="E126" s="16">
        <f>'Rest Dividends'!H126</f>
        <v/>
      </c>
      <c r="F126" s="16">
        <f>'Rest Offerings'!J126</f>
        <v/>
      </c>
    </row>
    <row r="127">
      <c r="A127" s="16">
        <f>'Rest Universe'!A128</f>
        <v/>
      </c>
      <c r="B127" s="16">
        <f>'Rest Universe'!B128</f>
        <v/>
      </c>
      <c r="C127" s="16">
        <f>'Rest Buybacks'!F127</f>
        <v/>
      </c>
      <c r="D127" s="16">
        <f>'Rest Buybacks'!J127</f>
        <v/>
      </c>
      <c r="E127" s="16">
        <f>'Rest Dividends'!H127</f>
        <v/>
      </c>
      <c r="F127" s="16">
        <f>'Rest Offerings'!J127</f>
        <v/>
      </c>
    </row>
    <row r="128">
      <c r="A128" s="16">
        <f>'Rest Universe'!A129</f>
        <v/>
      </c>
      <c r="B128" s="16">
        <f>'Rest Universe'!B129</f>
        <v/>
      </c>
      <c r="C128" s="16">
        <f>'Rest Buybacks'!F128</f>
        <v/>
      </c>
      <c r="D128" s="16">
        <f>'Rest Buybacks'!J128</f>
        <v/>
      </c>
      <c r="E128" s="16">
        <f>'Rest Dividends'!H128</f>
        <v/>
      </c>
      <c r="F128" s="16">
        <f>'Rest Offerings'!J128</f>
        <v/>
      </c>
    </row>
    <row r="129">
      <c r="A129" s="16">
        <f>'Rest Universe'!A130</f>
        <v/>
      </c>
      <c r="B129" s="16">
        <f>'Rest Universe'!B130</f>
        <v/>
      </c>
      <c r="C129" s="16">
        <f>'Rest Buybacks'!F129</f>
        <v/>
      </c>
      <c r="D129" s="16">
        <f>'Rest Buybacks'!J129</f>
        <v/>
      </c>
      <c r="E129" s="16">
        <f>'Rest Dividends'!H129</f>
        <v/>
      </c>
      <c r="F129" s="16">
        <f>'Rest Offerings'!J129</f>
        <v/>
      </c>
    </row>
    <row r="130">
      <c r="A130" s="16">
        <f>'Rest Universe'!A131</f>
        <v/>
      </c>
      <c r="B130" s="16">
        <f>'Rest Universe'!B131</f>
        <v/>
      </c>
      <c r="C130" s="16">
        <f>'Rest Buybacks'!F130</f>
        <v/>
      </c>
      <c r="D130" s="16">
        <f>'Rest Buybacks'!J130</f>
        <v/>
      </c>
      <c r="E130" s="16">
        <f>'Rest Dividends'!H130</f>
        <v/>
      </c>
      <c r="F130" s="16">
        <f>'Rest Offerings'!J130</f>
        <v/>
      </c>
    </row>
    <row r="131">
      <c r="A131" s="16">
        <f>'Rest Universe'!A132</f>
        <v/>
      </c>
      <c r="B131" s="16">
        <f>'Rest Universe'!B132</f>
        <v/>
      </c>
      <c r="C131" s="16">
        <f>'Rest Buybacks'!F131</f>
        <v/>
      </c>
      <c r="D131" s="16">
        <f>'Rest Buybacks'!J131</f>
        <v/>
      </c>
      <c r="E131" s="16">
        <f>'Rest Dividends'!H131</f>
        <v/>
      </c>
      <c r="F131" s="16">
        <f>'Rest Offerings'!J131</f>
        <v/>
      </c>
    </row>
    <row r="132">
      <c r="A132" s="16">
        <f>'Rest Universe'!A133</f>
        <v/>
      </c>
      <c r="B132" s="16">
        <f>'Rest Universe'!B133</f>
        <v/>
      </c>
      <c r="C132" s="16">
        <f>'Rest Buybacks'!F132</f>
        <v/>
      </c>
      <c r="D132" s="16">
        <f>'Rest Buybacks'!J132</f>
        <v/>
      </c>
      <c r="E132" s="16">
        <f>'Rest Dividends'!H132</f>
        <v/>
      </c>
      <c r="F132" s="16">
        <f>'Rest Offerings'!J132</f>
        <v/>
      </c>
    </row>
    <row r="133">
      <c r="A133" s="16">
        <f>'Rest Universe'!A134</f>
        <v/>
      </c>
      <c r="B133" s="16">
        <f>'Rest Universe'!B134</f>
        <v/>
      </c>
      <c r="C133" s="16">
        <f>'Rest Buybacks'!F133</f>
        <v/>
      </c>
      <c r="D133" s="16">
        <f>'Rest Buybacks'!J133</f>
        <v/>
      </c>
      <c r="E133" s="16">
        <f>'Rest Dividends'!H133</f>
        <v/>
      </c>
      <c r="F133" s="16">
        <f>'Rest Offerings'!J133</f>
        <v/>
      </c>
    </row>
    <row r="134">
      <c r="A134" s="16">
        <f>'Rest Universe'!A135</f>
        <v/>
      </c>
      <c r="B134" s="16">
        <f>'Rest Universe'!B135</f>
        <v/>
      </c>
      <c r="C134" s="16">
        <f>'Rest Buybacks'!F134</f>
        <v/>
      </c>
      <c r="D134" s="16">
        <f>'Rest Buybacks'!J134</f>
        <v/>
      </c>
      <c r="E134" s="16">
        <f>'Rest Dividends'!H134</f>
        <v/>
      </c>
      <c r="F134" s="16">
        <f>'Rest Offerings'!J134</f>
        <v/>
      </c>
    </row>
    <row r="135">
      <c r="A135" s="16">
        <f>'Rest Universe'!A136</f>
        <v/>
      </c>
      <c r="B135" s="16">
        <f>'Rest Universe'!B136</f>
        <v/>
      </c>
      <c r="C135" s="16">
        <f>'Rest Buybacks'!F135</f>
        <v/>
      </c>
      <c r="D135" s="16">
        <f>'Rest Buybacks'!J135</f>
        <v/>
      </c>
      <c r="E135" s="16">
        <f>'Rest Dividends'!H135</f>
        <v/>
      </c>
      <c r="F135" s="16">
        <f>'Rest Offerings'!J135</f>
        <v/>
      </c>
    </row>
    <row r="136">
      <c r="A136" s="16">
        <f>'Rest Universe'!A137</f>
        <v/>
      </c>
      <c r="B136" s="16">
        <f>'Rest Universe'!B137</f>
        <v/>
      </c>
      <c r="C136" s="16">
        <f>'Rest Buybacks'!F136</f>
        <v/>
      </c>
      <c r="D136" s="16">
        <f>'Rest Buybacks'!J136</f>
        <v/>
      </c>
      <c r="E136" s="16">
        <f>'Rest Dividends'!H136</f>
        <v/>
      </c>
      <c r="F136" s="16">
        <f>'Rest Offerings'!J136</f>
        <v/>
      </c>
    </row>
    <row r="137">
      <c r="A137" s="16">
        <f>'Rest Universe'!A138</f>
        <v/>
      </c>
      <c r="B137" s="16">
        <f>'Rest Universe'!B138</f>
        <v/>
      </c>
      <c r="C137" s="16">
        <f>'Rest Buybacks'!F137</f>
        <v/>
      </c>
      <c r="D137" s="16">
        <f>'Rest Buybacks'!J137</f>
        <v/>
      </c>
      <c r="E137" s="16">
        <f>'Rest Dividends'!H137</f>
        <v/>
      </c>
      <c r="F137" s="16">
        <f>'Rest Offerings'!J137</f>
        <v/>
      </c>
    </row>
    <row r="138">
      <c r="A138" s="16">
        <f>'Rest Universe'!A139</f>
        <v/>
      </c>
      <c r="B138" s="16">
        <f>'Rest Universe'!B139</f>
        <v/>
      </c>
      <c r="C138" s="16">
        <f>'Rest Buybacks'!F138</f>
        <v/>
      </c>
      <c r="D138" s="16">
        <f>'Rest Buybacks'!J138</f>
        <v/>
      </c>
      <c r="E138" s="16">
        <f>'Rest Dividends'!H138</f>
        <v/>
      </c>
      <c r="F138" s="16">
        <f>'Rest Offerings'!J138</f>
        <v/>
      </c>
    </row>
    <row r="139">
      <c r="A139" s="16">
        <f>'Rest Universe'!A140</f>
        <v/>
      </c>
      <c r="B139" s="16">
        <f>'Rest Universe'!B140</f>
        <v/>
      </c>
      <c r="C139" s="16">
        <f>'Rest Buybacks'!F139</f>
        <v/>
      </c>
      <c r="D139" s="16">
        <f>'Rest Buybacks'!J139</f>
        <v/>
      </c>
      <c r="E139" s="16">
        <f>'Rest Dividends'!H139</f>
        <v/>
      </c>
      <c r="F139" s="16">
        <f>'Rest Offerings'!J139</f>
        <v/>
      </c>
    </row>
    <row r="140">
      <c r="A140" s="16">
        <f>'Rest Universe'!A141</f>
        <v/>
      </c>
      <c r="B140" s="16">
        <f>'Rest Universe'!B141</f>
        <v/>
      </c>
      <c r="C140" s="16">
        <f>'Rest Buybacks'!F140</f>
        <v/>
      </c>
      <c r="D140" s="16">
        <f>'Rest Buybacks'!J140</f>
        <v/>
      </c>
      <c r="E140" s="16">
        <f>'Rest Dividends'!H140</f>
        <v/>
      </c>
      <c r="F140" s="16">
        <f>'Rest Offerings'!J140</f>
        <v/>
      </c>
    </row>
    <row r="141">
      <c r="A141" s="16">
        <f>'Rest Universe'!A142</f>
        <v/>
      </c>
      <c r="B141" s="16">
        <f>'Rest Universe'!B142</f>
        <v/>
      </c>
      <c r="C141" s="16">
        <f>'Rest Buybacks'!F141</f>
        <v/>
      </c>
      <c r="D141" s="16">
        <f>'Rest Buybacks'!J141</f>
        <v/>
      </c>
      <c r="E141" s="16">
        <f>'Rest Dividends'!H141</f>
        <v/>
      </c>
      <c r="F141" s="16">
        <f>'Rest Offerings'!J141</f>
        <v/>
      </c>
    </row>
    <row r="142">
      <c r="A142" s="16">
        <f>'Rest Universe'!A143</f>
        <v/>
      </c>
      <c r="B142" s="16">
        <f>'Rest Universe'!B143</f>
        <v/>
      </c>
      <c r="C142" s="16">
        <f>'Rest Buybacks'!F142</f>
        <v/>
      </c>
      <c r="D142" s="16">
        <f>'Rest Buybacks'!J142</f>
        <v/>
      </c>
      <c r="E142" s="16">
        <f>'Rest Dividends'!H142</f>
        <v/>
      </c>
      <c r="F142" s="16">
        <f>'Rest Offerings'!J142</f>
        <v/>
      </c>
    </row>
    <row r="143">
      <c r="A143" s="16">
        <f>'Rest Universe'!A144</f>
        <v/>
      </c>
      <c r="B143" s="16">
        <f>'Rest Universe'!B144</f>
        <v/>
      </c>
      <c r="C143" s="16">
        <f>'Rest Buybacks'!F143</f>
        <v/>
      </c>
      <c r="D143" s="16">
        <f>'Rest Buybacks'!J143</f>
        <v/>
      </c>
      <c r="E143" s="16">
        <f>'Rest Dividends'!H143</f>
        <v/>
      </c>
      <c r="F143" s="16">
        <f>'Rest Offerings'!J143</f>
        <v/>
      </c>
    </row>
    <row r="144">
      <c r="A144" s="16">
        <f>'Rest Universe'!A145</f>
        <v/>
      </c>
      <c r="B144" s="16">
        <f>'Rest Universe'!B145</f>
        <v/>
      </c>
      <c r="C144" s="16">
        <f>'Rest Buybacks'!F144</f>
        <v/>
      </c>
      <c r="D144" s="16">
        <f>'Rest Buybacks'!J144</f>
        <v/>
      </c>
      <c r="E144" s="16">
        <f>'Rest Dividends'!H144</f>
        <v/>
      </c>
      <c r="F144" s="16">
        <f>'Rest Offerings'!J144</f>
        <v/>
      </c>
    </row>
    <row r="145">
      <c r="A145" s="16">
        <f>'Rest Universe'!A146</f>
        <v/>
      </c>
      <c r="B145" s="16">
        <f>'Rest Universe'!B146</f>
        <v/>
      </c>
      <c r="C145" s="16">
        <f>'Rest Buybacks'!F145</f>
        <v/>
      </c>
      <c r="D145" s="16">
        <f>'Rest Buybacks'!J145</f>
        <v/>
      </c>
      <c r="E145" s="16">
        <f>'Rest Dividends'!H145</f>
        <v/>
      </c>
      <c r="F145" s="16">
        <f>'Rest Offerings'!J145</f>
        <v/>
      </c>
    </row>
    <row r="146">
      <c r="A146" s="16">
        <f>'Rest Universe'!A147</f>
        <v/>
      </c>
      <c r="B146" s="16">
        <f>'Rest Universe'!B147</f>
        <v/>
      </c>
      <c r="C146" s="16">
        <f>'Rest Buybacks'!F146</f>
        <v/>
      </c>
      <c r="D146" s="16">
        <f>'Rest Buybacks'!J146</f>
        <v/>
      </c>
      <c r="E146" s="16">
        <f>'Rest Dividends'!H146</f>
        <v/>
      </c>
      <c r="F146" s="16">
        <f>'Rest Offerings'!J146</f>
        <v/>
      </c>
    </row>
    <row r="147">
      <c r="A147" s="16">
        <f>'Rest Universe'!A148</f>
        <v/>
      </c>
      <c r="B147" s="16">
        <f>'Rest Universe'!B148</f>
        <v/>
      </c>
      <c r="C147" s="16">
        <f>'Rest Buybacks'!F147</f>
        <v/>
      </c>
      <c r="D147" s="16">
        <f>'Rest Buybacks'!J147</f>
        <v/>
      </c>
      <c r="E147" s="16">
        <f>'Rest Dividends'!H147</f>
        <v/>
      </c>
      <c r="F147" s="16">
        <f>'Rest Offerings'!J147</f>
        <v/>
      </c>
    </row>
    <row r="148">
      <c r="A148" s="16">
        <f>'Rest Universe'!A149</f>
        <v/>
      </c>
      <c r="B148" s="16">
        <f>'Rest Universe'!B149</f>
        <v/>
      </c>
      <c r="C148" s="16">
        <f>'Rest Buybacks'!F148</f>
        <v/>
      </c>
      <c r="D148" s="16">
        <f>'Rest Buybacks'!J148</f>
        <v/>
      </c>
      <c r="E148" s="16">
        <f>'Rest Dividends'!H148</f>
        <v/>
      </c>
      <c r="F148" s="16">
        <f>'Rest Offerings'!J148</f>
        <v/>
      </c>
    </row>
    <row r="149">
      <c r="A149" s="16">
        <f>'Rest Universe'!A150</f>
        <v/>
      </c>
      <c r="B149" s="16">
        <f>'Rest Universe'!B150</f>
        <v/>
      </c>
      <c r="C149" s="16">
        <f>'Rest Buybacks'!F149</f>
        <v/>
      </c>
      <c r="D149" s="16">
        <f>'Rest Buybacks'!J149</f>
        <v/>
      </c>
      <c r="E149" s="16">
        <f>'Rest Dividends'!H149</f>
        <v/>
      </c>
      <c r="F149" s="16">
        <f>'Rest Offerings'!J149</f>
        <v/>
      </c>
    </row>
    <row r="150">
      <c r="A150" s="16">
        <f>'Rest Universe'!A151</f>
        <v/>
      </c>
      <c r="B150" s="16">
        <f>'Rest Universe'!B151</f>
        <v/>
      </c>
      <c r="C150" s="16">
        <f>'Rest Buybacks'!F150</f>
        <v/>
      </c>
      <c r="D150" s="16">
        <f>'Rest Buybacks'!J150</f>
        <v/>
      </c>
      <c r="E150" s="16">
        <f>'Rest Dividends'!H150</f>
        <v/>
      </c>
      <c r="F150" s="16">
        <f>'Rest Offerings'!J150</f>
        <v/>
      </c>
    </row>
    <row r="151">
      <c r="A151" s="16">
        <f>'Rest Universe'!A152</f>
        <v/>
      </c>
      <c r="B151" s="16">
        <f>'Rest Universe'!B152</f>
        <v/>
      </c>
      <c r="C151" s="16">
        <f>'Rest Buybacks'!F151</f>
        <v/>
      </c>
      <c r="D151" s="16">
        <f>'Rest Buybacks'!J151</f>
        <v/>
      </c>
      <c r="E151" s="16">
        <f>'Rest Dividends'!H151</f>
        <v/>
      </c>
      <c r="F151" s="16">
        <f>'Rest Offerings'!J151</f>
        <v/>
      </c>
    </row>
    <row r="152">
      <c r="A152" s="16">
        <f>'Rest Universe'!A153</f>
        <v/>
      </c>
      <c r="B152" s="16">
        <f>'Rest Universe'!B153</f>
        <v/>
      </c>
      <c r="C152" s="16">
        <f>'Rest Buybacks'!F152</f>
        <v/>
      </c>
      <c r="D152" s="16">
        <f>'Rest Buybacks'!J152</f>
        <v/>
      </c>
      <c r="E152" s="16">
        <f>'Rest Dividends'!H152</f>
        <v/>
      </c>
      <c r="F152" s="16">
        <f>'Rest Offerings'!J152</f>
        <v/>
      </c>
    </row>
    <row r="153">
      <c r="A153" s="16">
        <f>'Rest Universe'!A154</f>
        <v/>
      </c>
      <c r="B153" s="16">
        <f>'Rest Universe'!B154</f>
        <v/>
      </c>
      <c r="C153" s="16">
        <f>'Rest Buybacks'!F153</f>
        <v/>
      </c>
      <c r="D153" s="16">
        <f>'Rest Buybacks'!J153</f>
        <v/>
      </c>
      <c r="E153" s="16">
        <f>'Rest Dividends'!H153</f>
        <v/>
      </c>
      <c r="F153" s="16">
        <f>'Rest Offerings'!J153</f>
        <v/>
      </c>
    </row>
    <row r="154">
      <c r="A154" s="16">
        <f>'Rest Universe'!A155</f>
        <v/>
      </c>
      <c r="B154" s="16">
        <f>'Rest Universe'!B155</f>
        <v/>
      </c>
      <c r="C154" s="16">
        <f>'Rest Buybacks'!F154</f>
        <v/>
      </c>
      <c r="D154" s="16">
        <f>'Rest Buybacks'!J154</f>
        <v/>
      </c>
      <c r="E154" s="16">
        <f>'Rest Dividends'!H154</f>
        <v/>
      </c>
      <c r="F154" s="16">
        <f>'Rest Offerings'!J154</f>
        <v/>
      </c>
    </row>
    <row r="155">
      <c r="A155" s="16">
        <f>'Rest Universe'!A156</f>
        <v/>
      </c>
      <c r="B155" s="16">
        <f>'Rest Universe'!B156</f>
        <v/>
      </c>
      <c r="C155" s="16">
        <f>'Rest Buybacks'!F155</f>
        <v/>
      </c>
      <c r="D155" s="16">
        <f>'Rest Buybacks'!J155</f>
        <v/>
      </c>
      <c r="E155" s="16">
        <f>'Rest Dividends'!H155</f>
        <v/>
      </c>
      <c r="F155" s="16">
        <f>'Rest Offerings'!J155</f>
        <v/>
      </c>
    </row>
    <row r="156">
      <c r="A156" s="16">
        <f>'Rest Universe'!A157</f>
        <v/>
      </c>
      <c r="B156" s="16">
        <f>'Rest Universe'!B157</f>
        <v/>
      </c>
      <c r="C156" s="16">
        <f>'Rest Buybacks'!F156</f>
        <v/>
      </c>
      <c r="D156" s="16">
        <f>'Rest Buybacks'!J156</f>
        <v/>
      </c>
      <c r="E156" s="16">
        <f>'Rest Dividends'!H156</f>
        <v/>
      </c>
      <c r="F156" s="16">
        <f>'Rest Offerings'!J156</f>
        <v/>
      </c>
    </row>
    <row r="157">
      <c r="A157" s="16">
        <f>'Rest Universe'!A158</f>
        <v/>
      </c>
      <c r="B157" s="16">
        <f>'Rest Universe'!B158</f>
        <v/>
      </c>
      <c r="C157" s="16">
        <f>'Rest Buybacks'!F157</f>
        <v/>
      </c>
      <c r="D157" s="16">
        <f>'Rest Buybacks'!J157</f>
        <v/>
      </c>
      <c r="E157" s="16">
        <f>'Rest Dividends'!H157</f>
        <v/>
      </c>
      <c r="F157" s="16">
        <f>'Rest Offerings'!J157</f>
        <v/>
      </c>
    </row>
    <row r="158">
      <c r="A158" s="16">
        <f>'Rest Universe'!A159</f>
        <v/>
      </c>
      <c r="B158" s="16">
        <f>'Rest Universe'!B159</f>
        <v/>
      </c>
      <c r="C158" s="16">
        <f>'Rest Buybacks'!F158</f>
        <v/>
      </c>
      <c r="D158" s="16">
        <f>'Rest Buybacks'!J158</f>
        <v/>
      </c>
      <c r="E158" s="16">
        <f>'Rest Dividends'!H158</f>
        <v/>
      </c>
      <c r="F158" s="16">
        <f>'Rest Offerings'!J158</f>
        <v/>
      </c>
    </row>
    <row r="159">
      <c r="A159" s="16">
        <f>'Rest Universe'!A160</f>
        <v/>
      </c>
      <c r="B159" s="16">
        <f>'Rest Universe'!B160</f>
        <v/>
      </c>
      <c r="C159" s="16">
        <f>'Rest Buybacks'!F159</f>
        <v/>
      </c>
      <c r="D159" s="16">
        <f>'Rest Buybacks'!J159</f>
        <v/>
      </c>
      <c r="E159" s="16">
        <f>'Rest Dividends'!H159</f>
        <v/>
      </c>
      <c r="F159" s="16">
        <f>'Rest Offerings'!J159</f>
        <v/>
      </c>
    </row>
    <row r="160">
      <c r="A160" s="16">
        <f>'Rest Universe'!A161</f>
        <v/>
      </c>
      <c r="B160" s="16">
        <f>'Rest Universe'!B161</f>
        <v/>
      </c>
      <c r="C160" s="16">
        <f>'Rest Buybacks'!F160</f>
        <v/>
      </c>
      <c r="D160" s="16">
        <f>'Rest Buybacks'!J160</f>
        <v/>
      </c>
      <c r="E160" s="16">
        <f>'Rest Dividends'!H160</f>
        <v/>
      </c>
      <c r="F160" s="16">
        <f>'Rest Offerings'!J160</f>
        <v/>
      </c>
    </row>
    <row r="161">
      <c r="A161" s="16">
        <f>'Rest Universe'!A162</f>
        <v/>
      </c>
      <c r="B161" s="16">
        <f>'Rest Universe'!B162</f>
        <v/>
      </c>
      <c r="C161" s="16">
        <f>'Rest Buybacks'!F161</f>
        <v/>
      </c>
      <c r="D161" s="16">
        <f>'Rest Buybacks'!J161</f>
        <v/>
      </c>
      <c r="E161" s="16">
        <f>'Rest Dividends'!H161</f>
        <v/>
      </c>
      <c r="F161" s="16">
        <f>'Rest Offerings'!J161</f>
        <v/>
      </c>
    </row>
    <row r="162">
      <c r="A162" s="16">
        <f>'Rest Universe'!A163</f>
        <v/>
      </c>
      <c r="B162" s="16">
        <f>'Rest Universe'!B163</f>
        <v/>
      </c>
      <c r="C162" s="16">
        <f>'Rest Buybacks'!F162</f>
        <v/>
      </c>
      <c r="D162" s="16">
        <f>'Rest Buybacks'!J162</f>
        <v/>
      </c>
      <c r="E162" s="16">
        <f>'Rest Dividends'!H162</f>
        <v/>
      </c>
      <c r="F162" s="16">
        <f>'Rest Offerings'!J162</f>
        <v/>
      </c>
    </row>
    <row r="163">
      <c r="A163" s="16">
        <f>'Rest Universe'!A164</f>
        <v/>
      </c>
      <c r="B163" s="16">
        <f>'Rest Universe'!B164</f>
        <v/>
      </c>
      <c r="C163" s="16">
        <f>'Rest Buybacks'!F163</f>
        <v/>
      </c>
      <c r="D163" s="16">
        <f>'Rest Buybacks'!J163</f>
        <v/>
      </c>
      <c r="E163" s="16">
        <f>'Rest Dividends'!H163</f>
        <v/>
      </c>
      <c r="F163" s="16">
        <f>'Rest Offerings'!J163</f>
        <v/>
      </c>
    </row>
    <row r="164">
      <c r="A164" s="16">
        <f>'Rest Universe'!A165</f>
        <v/>
      </c>
      <c r="B164" s="16">
        <f>'Rest Universe'!B165</f>
        <v/>
      </c>
      <c r="C164" s="16">
        <f>'Rest Buybacks'!F164</f>
        <v/>
      </c>
      <c r="D164" s="16">
        <f>'Rest Buybacks'!J164</f>
        <v/>
      </c>
      <c r="E164" s="16">
        <f>'Rest Dividends'!H164</f>
        <v/>
      </c>
      <c r="F164" s="16">
        <f>'Rest Offerings'!J164</f>
        <v/>
      </c>
    </row>
    <row r="165">
      <c r="A165" s="16">
        <f>'Rest Universe'!A166</f>
        <v/>
      </c>
      <c r="B165" s="16">
        <f>'Rest Universe'!B166</f>
        <v/>
      </c>
      <c r="C165" s="16">
        <f>'Rest Buybacks'!F165</f>
        <v/>
      </c>
      <c r="D165" s="16">
        <f>'Rest Buybacks'!J165</f>
        <v/>
      </c>
      <c r="E165" s="16">
        <f>'Rest Dividends'!H165</f>
        <v/>
      </c>
      <c r="F165" s="16">
        <f>'Rest Offerings'!J165</f>
        <v/>
      </c>
    </row>
    <row r="166">
      <c r="A166" s="16">
        <f>'Rest Universe'!A167</f>
        <v/>
      </c>
      <c r="B166" s="16">
        <f>'Rest Universe'!B167</f>
        <v/>
      </c>
      <c r="C166" s="16">
        <f>'Rest Buybacks'!F166</f>
        <v/>
      </c>
      <c r="D166" s="16">
        <f>'Rest Buybacks'!J166</f>
        <v/>
      </c>
      <c r="E166" s="16">
        <f>'Rest Dividends'!H166</f>
        <v/>
      </c>
      <c r="F166" s="16">
        <f>'Rest Offerings'!J166</f>
        <v/>
      </c>
    </row>
    <row r="167">
      <c r="A167" s="16">
        <f>'Rest Universe'!A168</f>
        <v/>
      </c>
      <c r="B167" s="16">
        <f>'Rest Universe'!B168</f>
        <v/>
      </c>
      <c r="C167" s="16">
        <f>'Rest Buybacks'!F167</f>
        <v/>
      </c>
      <c r="D167" s="16">
        <f>'Rest Buybacks'!J167</f>
        <v/>
      </c>
      <c r="E167" s="16">
        <f>'Rest Dividends'!H167</f>
        <v/>
      </c>
      <c r="F167" s="16">
        <f>'Rest Offerings'!J167</f>
        <v/>
      </c>
    </row>
    <row r="168">
      <c r="A168" s="16">
        <f>'Rest Universe'!A169</f>
        <v/>
      </c>
      <c r="B168" s="16">
        <f>'Rest Universe'!B169</f>
        <v/>
      </c>
      <c r="C168" s="16">
        <f>'Rest Buybacks'!F168</f>
        <v/>
      </c>
      <c r="D168" s="16">
        <f>'Rest Buybacks'!J168</f>
        <v/>
      </c>
      <c r="E168" s="16">
        <f>'Rest Dividends'!H168</f>
        <v/>
      </c>
      <c r="F168" s="16">
        <f>'Rest Offerings'!J168</f>
        <v/>
      </c>
    </row>
    <row r="169">
      <c r="A169" s="16">
        <f>'Rest Universe'!A170</f>
        <v/>
      </c>
      <c r="B169" s="16">
        <f>'Rest Universe'!B170</f>
        <v/>
      </c>
      <c r="C169" s="16">
        <f>'Rest Buybacks'!F169</f>
        <v/>
      </c>
      <c r="D169" s="16">
        <f>'Rest Buybacks'!J169</f>
        <v/>
      </c>
      <c r="E169" s="16">
        <f>'Rest Dividends'!H169</f>
        <v/>
      </c>
      <c r="F169" s="16">
        <f>'Rest Offerings'!J169</f>
        <v/>
      </c>
    </row>
    <row r="170">
      <c r="A170" s="16">
        <f>'Rest Universe'!A171</f>
        <v/>
      </c>
      <c r="B170" s="16">
        <f>'Rest Universe'!B171</f>
        <v/>
      </c>
      <c r="C170" s="16">
        <f>'Rest Buybacks'!F170</f>
        <v/>
      </c>
      <c r="D170" s="16">
        <f>'Rest Buybacks'!J170</f>
        <v/>
      </c>
      <c r="E170" s="16">
        <f>'Rest Dividends'!H170</f>
        <v/>
      </c>
      <c r="F170" s="16">
        <f>'Rest Offerings'!J170</f>
        <v/>
      </c>
    </row>
    <row r="171">
      <c r="A171" s="16">
        <f>'Rest Universe'!A172</f>
        <v/>
      </c>
      <c r="B171" s="16">
        <f>'Rest Universe'!B172</f>
        <v/>
      </c>
      <c r="C171" s="16">
        <f>'Rest Buybacks'!F171</f>
        <v/>
      </c>
      <c r="D171" s="16">
        <f>'Rest Buybacks'!J171</f>
        <v/>
      </c>
      <c r="E171" s="16">
        <f>'Rest Dividends'!H171</f>
        <v/>
      </c>
      <c r="F171" s="16">
        <f>'Rest Offerings'!J171</f>
        <v/>
      </c>
    </row>
    <row r="172">
      <c r="A172" s="16">
        <f>'Rest Universe'!A173</f>
        <v/>
      </c>
      <c r="B172" s="16">
        <f>'Rest Universe'!B173</f>
        <v/>
      </c>
      <c r="C172" s="16">
        <f>'Rest Buybacks'!F172</f>
        <v/>
      </c>
      <c r="D172" s="16">
        <f>'Rest Buybacks'!J172</f>
        <v/>
      </c>
      <c r="E172" s="16">
        <f>'Rest Dividends'!H172</f>
        <v/>
      </c>
      <c r="F172" s="16">
        <f>'Rest Offerings'!J172</f>
        <v/>
      </c>
    </row>
    <row r="173">
      <c r="A173" s="16">
        <f>'Rest Universe'!A174</f>
        <v/>
      </c>
      <c r="B173" s="16">
        <f>'Rest Universe'!B174</f>
        <v/>
      </c>
      <c r="C173" s="16">
        <f>'Rest Buybacks'!F173</f>
        <v/>
      </c>
      <c r="D173" s="16">
        <f>'Rest Buybacks'!J173</f>
        <v/>
      </c>
      <c r="E173" s="16">
        <f>'Rest Dividends'!H173</f>
        <v/>
      </c>
      <c r="F173" s="16">
        <f>'Rest Offerings'!J173</f>
        <v/>
      </c>
    </row>
    <row r="174">
      <c r="A174" s="16">
        <f>'Rest Universe'!A175</f>
        <v/>
      </c>
      <c r="B174" s="16">
        <f>'Rest Universe'!B175</f>
        <v/>
      </c>
      <c r="C174" s="16">
        <f>'Rest Buybacks'!F174</f>
        <v/>
      </c>
      <c r="D174" s="16">
        <f>'Rest Buybacks'!J174</f>
        <v/>
      </c>
      <c r="E174" s="16">
        <f>'Rest Dividends'!H174</f>
        <v/>
      </c>
      <c r="F174" s="16">
        <f>'Rest Offerings'!J174</f>
        <v/>
      </c>
    </row>
    <row r="175">
      <c r="A175" s="16">
        <f>'Rest Universe'!A176</f>
        <v/>
      </c>
      <c r="B175" s="16">
        <f>'Rest Universe'!B176</f>
        <v/>
      </c>
      <c r="C175" s="16">
        <f>'Rest Buybacks'!F175</f>
        <v/>
      </c>
      <c r="D175" s="16">
        <f>'Rest Buybacks'!J175</f>
        <v/>
      </c>
      <c r="E175" s="16">
        <f>'Rest Dividends'!H175</f>
        <v/>
      </c>
      <c r="F175" s="16">
        <f>'Rest Offerings'!J175</f>
        <v/>
      </c>
    </row>
    <row r="176">
      <c r="A176" s="16">
        <f>'Rest Universe'!A177</f>
        <v/>
      </c>
      <c r="B176" s="16">
        <f>'Rest Universe'!B177</f>
        <v/>
      </c>
      <c r="C176" s="16">
        <f>'Rest Buybacks'!F176</f>
        <v/>
      </c>
      <c r="D176" s="16">
        <f>'Rest Buybacks'!J176</f>
        <v/>
      </c>
      <c r="E176" s="16">
        <f>'Rest Dividends'!H176</f>
        <v/>
      </c>
      <c r="F176" s="16">
        <f>'Rest Offerings'!J176</f>
        <v/>
      </c>
    </row>
    <row r="177">
      <c r="A177" s="16">
        <f>'Rest Universe'!A178</f>
        <v/>
      </c>
      <c r="B177" s="16">
        <f>'Rest Universe'!B178</f>
        <v/>
      </c>
      <c r="C177" s="16">
        <f>'Rest Buybacks'!F177</f>
        <v/>
      </c>
      <c r="D177" s="16">
        <f>'Rest Buybacks'!J177</f>
        <v/>
      </c>
      <c r="E177" s="16">
        <f>'Rest Dividends'!H177</f>
        <v/>
      </c>
      <c r="F177" s="16">
        <f>'Rest Offerings'!J177</f>
        <v/>
      </c>
    </row>
    <row r="178">
      <c r="A178" s="16">
        <f>'Rest Universe'!A179</f>
        <v/>
      </c>
      <c r="B178" s="16">
        <f>'Rest Universe'!B179</f>
        <v/>
      </c>
      <c r="C178" s="16">
        <f>'Rest Buybacks'!F178</f>
        <v/>
      </c>
      <c r="D178" s="16">
        <f>'Rest Buybacks'!J178</f>
        <v/>
      </c>
      <c r="E178" s="16">
        <f>'Rest Dividends'!H178</f>
        <v/>
      </c>
      <c r="F178" s="16">
        <f>'Rest Offerings'!J178</f>
        <v/>
      </c>
    </row>
    <row r="179">
      <c r="A179" s="16">
        <f>'Rest Universe'!A180</f>
        <v/>
      </c>
      <c r="B179" s="16">
        <f>'Rest Universe'!B180</f>
        <v/>
      </c>
      <c r="C179" s="16">
        <f>'Rest Buybacks'!F179</f>
        <v/>
      </c>
      <c r="D179" s="16">
        <f>'Rest Buybacks'!J179</f>
        <v/>
      </c>
      <c r="E179" s="16">
        <f>'Rest Dividends'!H179</f>
        <v/>
      </c>
      <c r="F179" s="16">
        <f>'Rest Offerings'!J179</f>
        <v/>
      </c>
    </row>
    <row r="180">
      <c r="A180" s="16">
        <f>'Rest Universe'!A181</f>
        <v/>
      </c>
      <c r="B180" s="16">
        <f>'Rest Universe'!B181</f>
        <v/>
      </c>
      <c r="C180" s="16">
        <f>'Rest Buybacks'!F180</f>
        <v/>
      </c>
      <c r="D180" s="16">
        <f>'Rest Buybacks'!J180</f>
        <v/>
      </c>
      <c r="E180" s="16">
        <f>'Rest Dividends'!H180</f>
        <v/>
      </c>
      <c r="F180" s="16">
        <f>'Rest Offerings'!J180</f>
        <v/>
      </c>
    </row>
    <row r="181">
      <c r="A181" s="16">
        <f>'Rest Universe'!A182</f>
        <v/>
      </c>
      <c r="B181" s="16">
        <f>'Rest Universe'!B182</f>
        <v/>
      </c>
      <c r="C181" s="16">
        <f>'Rest Buybacks'!F181</f>
        <v/>
      </c>
      <c r="D181" s="16">
        <f>'Rest Buybacks'!J181</f>
        <v/>
      </c>
      <c r="E181" s="16">
        <f>'Rest Dividends'!H181</f>
        <v/>
      </c>
      <c r="F181" s="16">
        <f>'Rest Offerings'!J181</f>
        <v/>
      </c>
    </row>
    <row r="182">
      <c r="A182" s="16">
        <f>'Rest Universe'!A183</f>
        <v/>
      </c>
      <c r="B182" s="16">
        <f>'Rest Universe'!B183</f>
        <v/>
      </c>
      <c r="C182" s="16">
        <f>'Rest Buybacks'!F182</f>
        <v/>
      </c>
      <c r="D182" s="16">
        <f>'Rest Buybacks'!J182</f>
        <v/>
      </c>
      <c r="E182" s="16">
        <f>'Rest Dividends'!H182</f>
        <v/>
      </c>
      <c r="F182" s="16">
        <f>'Rest Offerings'!J182</f>
        <v/>
      </c>
    </row>
    <row r="183">
      <c r="A183" s="16">
        <f>'Rest Universe'!A184</f>
        <v/>
      </c>
      <c r="B183" s="16">
        <f>'Rest Universe'!B184</f>
        <v/>
      </c>
      <c r="C183" s="16">
        <f>'Rest Buybacks'!F183</f>
        <v/>
      </c>
      <c r="D183" s="16">
        <f>'Rest Buybacks'!J183</f>
        <v/>
      </c>
      <c r="E183" s="16">
        <f>'Rest Dividends'!H183</f>
        <v/>
      </c>
      <c r="F183" s="16">
        <f>'Rest Offerings'!J183</f>
        <v/>
      </c>
    </row>
    <row r="184">
      <c r="A184" s="16">
        <f>'Rest Universe'!A185</f>
        <v/>
      </c>
      <c r="B184" s="16">
        <f>'Rest Universe'!B185</f>
        <v/>
      </c>
      <c r="C184" s="16">
        <f>'Rest Buybacks'!F184</f>
        <v/>
      </c>
      <c r="D184" s="16">
        <f>'Rest Buybacks'!J184</f>
        <v/>
      </c>
      <c r="E184" s="16">
        <f>'Rest Dividends'!H184</f>
        <v/>
      </c>
      <c r="F184" s="16">
        <f>'Rest Offerings'!J184</f>
        <v/>
      </c>
    </row>
    <row r="185">
      <c r="A185" s="16">
        <f>'Rest Universe'!A186</f>
        <v/>
      </c>
      <c r="B185" s="16">
        <f>'Rest Universe'!B186</f>
        <v/>
      </c>
      <c r="C185" s="16">
        <f>'Rest Buybacks'!F185</f>
        <v/>
      </c>
      <c r="D185" s="16">
        <f>'Rest Buybacks'!J185</f>
        <v/>
      </c>
      <c r="E185" s="16">
        <f>'Rest Dividends'!H185</f>
        <v/>
      </c>
      <c r="F185" s="16">
        <f>'Rest Offerings'!J185</f>
        <v/>
      </c>
    </row>
    <row r="186">
      <c r="A186" s="16">
        <f>'Rest Universe'!A187</f>
        <v/>
      </c>
      <c r="B186" s="16">
        <f>'Rest Universe'!B187</f>
        <v/>
      </c>
      <c r="C186" s="16">
        <f>'Rest Buybacks'!F186</f>
        <v/>
      </c>
      <c r="D186" s="16">
        <f>'Rest Buybacks'!J186</f>
        <v/>
      </c>
      <c r="E186" s="16">
        <f>'Rest Dividends'!H186</f>
        <v/>
      </c>
      <c r="F186" s="16">
        <f>'Rest Offerings'!J186</f>
        <v/>
      </c>
    </row>
    <row r="187">
      <c r="A187" s="16">
        <f>'Rest Universe'!A188</f>
        <v/>
      </c>
      <c r="B187" s="16">
        <f>'Rest Universe'!B188</f>
        <v/>
      </c>
      <c r="C187" s="16">
        <f>'Rest Buybacks'!F187</f>
        <v/>
      </c>
      <c r="D187" s="16">
        <f>'Rest Buybacks'!J187</f>
        <v/>
      </c>
      <c r="E187" s="16">
        <f>'Rest Dividends'!H187</f>
        <v/>
      </c>
      <c r="F187" s="16">
        <f>'Rest Offerings'!J187</f>
        <v/>
      </c>
    </row>
    <row r="188">
      <c r="A188" s="16">
        <f>'Rest Universe'!A189</f>
        <v/>
      </c>
      <c r="B188" s="16">
        <f>'Rest Universe'!B189</f>
        <v/>
      </c>
      <c r="C188" s="16">
        <f>'Rest Buybacks'!F188</f>
        <v/>
      </c>
      <c r="D188" s="16">
        <f>'Rest Buybacks'!J188</f>
        <v/>
      </c>
      <c r="E188" s="16">
        <f>'Rest Dividends'!H188</f>
        <v/>
      </c>
      <c r="F188" s="16">
        <f>'Rest Offerings'!J188</f>
        <v/>
      </c>
    </row>
    <row r="189">
      <c r="A189" s="16">
        <f>'Rest Universe'!A190</f>
        <v/>
      </c>
      <c r="B189" s="16">
        <f>'Rest Universe'!B190</f>
        <v/>
      </c>
      <c r="C189" s="16">
        <f>'Rest Buybacks'!F189</f>
        <v/>
      </c>
      <c r="D189" s="16">
        <f>'Rest Buybacks'!J189</f>
        <v/>
      </c>
      <c r="E189" s="16">
        <f>'Rest Dividends'!H189</f>
        <v/>
      </c>
      <c r="F189" s="16">
        <f>'Rest Offerings'!J189</f>
        <v/>
      </c>
    </row>
    <row r="190">
      <c r="A190" s="16">
        <f>'Rest Universe'!A191</f>
        <v/>
      </c>
      <c r="B190" s="16">
        <f>'Rest Universe'!B191</f>
        <v/>
      </c>
      <c r="C190" s="16">
        <f>'Rest Buybacks'!F190</f>
        <v/>
      </c>
      <c r="D190" s="16">
        <f>'Rest Buybacks'!J190</f>
        <v/>
      </c>
      <c r="E190" s="16">
        <f>'Rest Dividends'!H190</f>
        <v/>
      </c>
      <c r="F190" s="16">
        <f>'Rest Offerings'!J190</f>
        <v/>
      </c>
    </row>
    <row r="191">
      <c r="A191" s="16">
        <f>'Rest Universe'!A192</f>
        <v/>
      </c>
      <c r="B191" s="16">
        <f>'Rest Universe'!B192</f>
        <v/>
      </c>
      <c r="C191" s="16">
        <f>'Rest Buybacks'!F191</f>
        <v/>
      </c>
      <c r="D191" s="16">
        <f>'Rest Buybacks'!J191</f>
        <v/>
      </c>
      <c r="E191" s="16">
        <f>'Rest Dividends'!H191</f>
        <v/>
      </c>
      <c r="F191" s="16">
        <f>'Rest Offerings'!J191</f>
        <v/>
      </c>
    </row>
    <row r="192">
      <c r="A192" s="16">
        <f>'Rest Universe'!A193</f>
        <v/>
      </c>
      <c r="B192" s="16">
        <f>'Rest Universe'!B193</f>
        <v/>
      </c>
      <c r="C192" s="16">
        <f>'Rest Buybacks'!F192</f>
        <v/>
      </c>
      <c r="D192" s="16">
        <f>'Rest Buybacks'!J192</f>
        <v/>
      </c>
      <c r="E192" s="16">
        <f>'Rest Dividends'!H192</f>
        <v/>
      </c>
      <c r="F192" s="16">
        <f>'Rest Offerings'!J192</f>
        <v/>
      </c>
    </row>
    <row r="193">
      <c r="A193" s="16">
        <f>'Rest Universe'!A194</f>
        <v/>
      </c>
      <c r="B193" s="16">
        <f>'Rest Universe'!B194</f>
        <v/>
      </c>
      <c r="C193" s="16">
        <f>'Rest Buybacks'!F193</f>
        <v/>
      </c>
      <c r="D193" s="16">
        <f>'Rest Buybacks'!J193</f>
        <v/>
      </c>
      <c r="E193" s="16">
        <f>'Rest Dividends'!H193</f>
        <v/>
      </c>
      <c r="F193" s="16">
        <f>'Rest Offerings'!J193</f>
        <v/>
      </c>
    </row>
    <row r="194">
      <c r="A194" s="16">
        <f>'Rest Universe'!A195</f>
        <v/>
      </c>
      <c r="B194" s="16">
        <f>'Rest Universe'!B195</f>
        <v/>
      </c>
      <c r="C194" s="16">
        <f>'Rest Buybacks'!F194</f>
        <v/>
      </c>
      <c r="D194" s="16">
        <f>'Rest Buybacks'!J194</f>
        <v/>
      </c>
      <c r="E194" s="16">
        <f>'Rest Dividends'!H194</f>
        <v/>
      </c>
      <c r="F194" s="16">
        <f>'Rest Offerings'!J194</f>
        <v/>
      </c>
    </row>
    <row r="195">
      <c r="A195" s="16">
        <f>'Rest Universe'!A196</f>
        <v/>
      </c>
      <c r="B195" s="16">
        <f>'Rest Universe'!B196</f>
        <v/>
      </c>
      <c r="C195" s="16">
        <f>'Rest Buybacks'!F195</f>
        <v/>
      </c>
      <c r="D195" s="16">
        <f>'Rest Buybacks'!J195</f>
        <v/>
      </c>
      <c r="E195" s="16">
        <f>'Rest Dividends'!H195</f>
        <v/>
      </c>
      <c r="F195" s="16">
        <f>'Rest Offerings'!J195</f>
        <v/>
      </c>
    </row>
    <row r="196">
      <c r="A196" s="16">
        <f>'Rest Universe'!A197</f>
        <v/>
      </c>
      <c r="B196" s="16">
        <f>'Rest Universe'!B197</f>
        <v/>
      </c>
      <c r="C196" s="16">
        <f>'Rest Buybacks'!F196</f>
        <v/>
      </c>
      <c r="D196" s="16">
        <f>'Rest Buybacks'!J196</f>
        <v/>
      </c>
      <c r="E196" s="16">
        <f>'Rest Dividends'!H196</f>
        <v/>
      </c>
      <c r="F196" s="16">
        <f>'Rest Offerings'!J196</f>
        <v/>
      </c>
    </row>
    <row r="197">
      <c r="A197" s="16">
        <f>'Rest Universe'!A198</f>
        <v/>
      </c>
      <c r="B197" s="16">
        <f>'Rest Universe'!B198</f>
        <v/>
      </c>
      <c r="C197" s="16">
        <f>'Rest Buybacks'!F197</f>
        <v/>
      </c>
      <c r="D197" s="16">
        <f>'Rest Buybacks'!J197</f>
        <v/>
      </c>
      <c r="E197" s="16">
        <f>'Rest Dividends'!H197</f>
        <v/>
      </c>
      <c r="F197" s="16">
        <f>'Rest Offerings'!J197</f>
        <v/>
      </c>
    </row>
    <row r="198">
      <c r="A198" s="16">
        <f>'Rest Universe'!A199</f>
        <v/>
      </c>
      <c r="B198" s="16">
        <f>'Rest Universe'!B199</f>
        <v/>
      </c>
      <c r="C198" s="16">
        <f>'Rest Buybacks'!F198</f>
        <v/>
      </c>
      <c r="D198" s="16">
        <f>'Rest Buybacks'!J198</f>
        <v/>
      </c>
      <c r="E198" s="16">
        <f>'Rest Dividends'!H198</f>
        <v/>
      </c>
      <c r="F198" s="16">
        <f>'Rest Offerings'!J198</f>
        <v/>
      </c>
    </row>
    <row r="199">
      <c r="A199" s="16">
        <f>'Rest Universe'!A200</f>
        <v/>
      </c>
      <c r="B199" s="16">
        <f>'Rest Universe'!B200</f>
        <v/>
      </c>
      <c r="C199" s="16">
        <f>'Rest Buybacks'!F199</f>
        <v/>
      </c>
      <c r="D199" s="16">
        <f>'Rest Buybacks'!J199</f>
        <v/>
      </c>
      <c r="E199" s="16">
        <f>'Rest Dividends'!H199</f>
        <v/>
      </c>
      <c r="F199" s="16">
        <f>'Rest Offerings'!J199</f>
        <v/>
      </c>
    </row>
    <row r="200">
      <c r="A200" s="16">
        <f>'Rest Universe'!A201</f>
        <v/>
      </c>
      <c r="B200" s="16">
        <f>'Rest Universe'!B201</f>
        <v/>
      </c>
      <c r="C200" s="16">
        <f>'Rest Buybacks'!F200</f>
        <v/>
      </c>
      <c r="D200" s="16">
        <f>'Rest Buybacks'!J200</f>
        <v/>
      </c>
      <c r="E200" s="16">
        <f>'Rest Dividends'!H200</f>
        <v/>
      </c>
      <c r="F200" s="16">
        <f>'Rest Offerings'!J200</f>
        <v/>
      </c>
    </row>
    <row r="201">
      <c r="A201" s="16">
        <f>'Rest Universe'!A202</f>
        <v/>
      </c>
      <c r="B201" s="16">
        <f>'Rest Universe'!B202</f>
        <v/>
      </c>
      <c r="C201" s="16">
        <f>'Rest Buybacks'!F201</f>
        <v/>
      </c>
      <c r="D201" s="16">
        <f>'Rest Buybacks'!J201</f>
        <v/>
      </c>
      <c r="E201" s="16">
        <f>'Rest Dividends'!H201</f>
        <v/>
      </c>
      <c r="F201" s="16">
        <f>'Rest Offerings'!J201</f>
        <v/>
      </c>
    </row>
    <row r="202">
      <c r="A202" s="16">
        <f>'Rest Universe'!A203</f>
        <v/>
      </c>
      <c r="B202" s="16">
        <f>'Rest Universe'!B203</f>
        <v/>
      </c>
      <c r="C202" s="16">
        <f>'Rest Buybacks'!F202</f>
        <v/>
      </c>
      <c r="D202" s="16">
        <f>'Rest Buybacks'!J202</f>
        <v/>
      </c>
      <c r="E202" s="16">
        <f>'Rest Dividends'!H202</f>
        <v/>
      </c>
      <c r="F202" s="16">
        <f>'Rest Offerings'!J202</f>
        <v/>
      </c>
    </row>
    <row r="203">
      <c r="A203" s="16">
        <f>'Rest Universe'!A204</f>
        <v/>
      </c>
      <c r="B203" s="16">
        <f>'Rest Universe'!B204</f>
        <v/>
      </c>
      <c r="C203" s="16">
        <f>'Rest Buybacks'!F203</f>
        <v/>
      </c>
      <c r="D203" s="16">
        <f>'Rest Buybacks'!J203</f>
        <v/>
      </c>
      <c r="E203" s="16">
        <f>'Rest Dividends'!H203</f>
        <v/>
      </c>
      <c r="F203" s="16">
        <f>'Rest Offerings'!J203</f>
        <v/>
      </c>
    </row>
    <row r="204">
      <c r="A204" s="16">
        <f>'Rest Universe'!A205</f>
        <v/>
      </c>
      <c r="B204" s="16">
        <f>'Rest Universe'!B205</f>
        <v/>
      </c>
      <c r="C204" s="16">
        <f>'Rest Buybacks'!F204</f>
        <v/>
      </c>
      <c r="D204" s="16">
        <f>'Rest Buybacks'!J204</f>
        <v/>
      </c>
      <c r="E204" s="16">
        <f>'Rest Dividends'!H204</f>
        <v/>
      </c>
      <c r="F204" s="16">
        <f>'Rest Offerings'!J204</f>
        <v/>
      </c>
    </row>
    <row r="205">
      <c r="A205" s="16">
        <f>'Rest Universe'!A206</f>
        <v/>
      </c>
      <c r="B205" s="16">
        <f>'Rest Universe'!B206</f>
        <v/>
      </c>
      <c r="C205" s="16">
        <f>'Rest Buybacks'!F205</f>
        <v/>
      </c>
      <c r="D205" s="16">
        <f>'Rest Buybacks'!J205</f>
        <v/>
      </c>
      <c r="E205" s="16">
        <f>'Rest Dividends'!H205</f>
        <v/>
      </c>
      <c r="F205" s="16">
        <f>'Rest Offerings'!J205</f>
        <v/>
      </c>
    </row>
    <row r="206">
      <c r="A206" s="16">
        <f>'Rest Universe'!A207</f>
        <v/>
      </c>
      <c r="B206" s="16">
        <f>'Rest Universe'!B207</f>
        <v/>
      </c>
      <c r="C206" s="16">
        <f>'Rest Buybacks'!F206</f>
        <v/>
      </c>
      <c r="D206" s="16">
        <f>'Rest Buybacks'!J206</f>
        <v/>
      </c>
      <c r="E206" s="16">
        <f>'Rest Dividends'!H206</f>
        <v/>
      </c>
      <c r="F206" s="16">
        <f>'Rest Offerings'!J206</f>
        <v/>
      </c>
    </row>
    <row r="207">
      <c r="A207" s="16">
        <f>'Rest Universe'!A208</f>
        <v/>
      </c>
      <c r="B207" s="16">
        <f>'Rest Universe'!B208</f>
        <v/>
      </c>
      <c r="C207" s="16">
        <f>'Rest Buybacks'!F207</f>
        <v/>
      </c>
      <c r="D207" s="16">
        <f>'Rest Buybacks'!J207</f>
        <v/>
      </c>
      <c r="E207" s="16">
        <f>'Rest Dividends'!H207</f>
        <v/>
      </c>
      <c r="F207" s="16">
        <f>'Rest Offerings'!J207</f>
        <v/>
      </c>
    </row>
    <row r="208">
      <c r="A208" s="16">
        <f>'Rest Universe'!A209</f>
        <v/>
      </c>
      <c r="B208" s="16">
        <f>'Rest Universe'!B209</f>
        <v/>
      </c>
      <c r="C208" s="16">
        <f>'Rest Buybacks'!F208</f>
        <v/>
      </c>
      <c r="D208" s="16">
        <f>'Rest Buybacks'!J208</f>
        <v/>
      </c>
      <c r="E208" s="16">
        <f>'Rest Dividends'!H208</f>
        <v/>
      </c>
      <c r="F208" s="16">
        <f>'Rest Offerings'!J208</f>
        <v/>
      </c>
    </row>
    <row r="209">
      <c r="A209" s="16">
        <f>'Rest Universe'!A210</f>
        <v/>
      </c>
      <c r="B209" s="16">
        <f>'Rest Universe'!B210</f>
        <v/>
      </c>
      <c r="C209" s="16">
        <f>'Rest Buybacks'!F209</f>
        <v/>
      </c>
      <c r="D209" s="16">
        <f>'Rest Buybacks'!J209</f>
        <v/>
      </c>
      <c r="E209" s="16">
        <f>'Rest Dividends'!H209</f>
        <v/>
      </c>
      <c r="F209" s="16">
        <f>'Rest Offerings'!J209</f>
        <v/>
      </c>
    </row>
    <row r="210">
      <c r="A210" s="16">
        <f>'Rest Universe'!A211</f>
        <v/>
      </c>
      <c r="B210" s="16">
        <f>'Rest Universe'!B211</f>
        <v/>
      </c>
      <c r="C210" s="16">
        <f>'Rest Buybacks'!F210</f>
        <v/>
      </c>
      <c r="D210" s="16">
        <f>'Rest Buybacks'!J210</f>
        <v/>
      </c>
      <c r="E210" s="16">
        <f>'Rest Dividends'!H210</f>
        <v/>
      </c>
      <c r="F210" s="16">
        <f>'Rest Offerings'!J210</f>
        <v/>
      </c>
    </row>
    <row r="211">
      <c r="A211" s="16">
        <f>'Rest Universe'!A212</f>
        <v/>
      </c>
      <c r="B211" s="16">
        <f>'Rest Universe'!B212</f>
        <v/>
      </c>
      <c r="C211" s="16">
        <f>'Rest Buybacks'!F211</f>
        <v/>
      </c>
      <c r="D211" s="16">
        <f>'Rest Buybacks'!J211</f>
        <v/>
      </c>
      <c r="E211" s="16">
        <f>'Rest Dividends'!H211</f>
        <v/>
      </c>
      <c r="F211" s="16">
        <f>'Rest Offerings'!J211</f>
        <v/>
      </c>
    </row>
    <row r="212">
      <c r="A212" s="16">
        <f>'Rest Universe'!A213</f>
        <v/>
      </c>
      <c r="B212" s="16">
        <f>'Rest Universe'!B213</f>
        <v/>
      </c>
      <c r="C212" s="16">
        <f>'Rest Buybacks'!F212</f>
        <v/>
      </c>
      <c r="D212" s="16">
        <f>'Rest Buybacks'!J212</f>
        <v/>
      </c>
      <c r="E212" s="16">
        <f>'Rest Dividends'!H212</f>
        <v/>
      </c>
      <c r="F212" s="16">
        <f>'Rest Offerings'!J212</f>
        <v/>
      </c>
    </row>
    <row r="213">
      <c r="A213" s="16">
        <f>'Rest Universe'!A214</f>
        <v/>
      </c>
      <c r="B213" s="16">
        <f>'Rest Universe'!B214</f>
        <v/>
      </c>
      <c r="C213" s="16">
        <f>'Rest Buybacks'!F213</f>
        <v/>
      </c>
      <c r="D213" s="16">
        <f>'Rest Buybacks'!J213</f>
        <v/>
      </c>
      <c r="E213" s="16">
        <f>'Rest Dividends'!H213</f>
        <v/>
      </c>
      <c r="F213" s="16">
        <f>'Rest Offerings'!J213</f>
        <v/>
      </c>
    </row>
    <row r="214">
      <c r="A214" s="16">
        <f>'Rest Universe'!A215</f>
        <v/>
      </c>
      <c r="B214" s="16">
        <f>'Rest Universe'!B215</f>
        <v/>
      </c>
      <c r="C214" s="16">
        <f>'Rest Buybacks'!F214</f>
        <v/>
      </c>
      <c r="D214" s="16">
        <f>'Rest Buybacks'!J214</f>
        <v/>
      </c>
      <c r="E214" s="16">
        <f>'Rest Dividends'!H214</f>
        <v/>
      </c>
      <c r="F214" s="16">
        <f>'Rest Offerings'!J214</f>
        <v/>
      </c>
    </row>
    <row r="215">
      <c r="A215" s="16">
        <f>'Rest Universe'!A216</f>
        <v/>
      </c>
      <c r="B215" s="16">
        <f>'Rest Universe'!B216</f>
        <v/>
      </c>
      <c r="C215" s="16">
        <f>'Rest Buybacks'!F215</f>
        <v/>
      </c>
      <c r="D215" s="16">
        <f>'Rest Buybacks'!J215</f>
        <v/>
      </c>
      <c r="E215" s="16">
        <f>'Rest Dividends'!H215</f>
        <v/>
      </c>
      <c r="F215" s="16">
        <f>'Rest Offerings'!J215</f>
        <v/>
      </c>
    </row>
    <row r="216">
      <c r="A216" s="16">
        <f>'Rest Universe'!A217</f>
        <v/>
      </c>
      <c r="B216" s="16">
        <f>'Rest Universe'!B217</f>
        <v/>
      </c>
      <c r="C216" s="16">
        <f>'Rest Buybacks'!F216</f>
        <v/>
      </c>
      <c r="D216" s="16">
        <f>'Rest Buybacks'!J216</f>
        <v/>
      </c>
      <c r="E216" s="16">
        <f>'Rest Dividends'!H216</f>
        <v/>
      </c>
      <c r="F216" s="16">
        <f>'Rest Offerings'!J216</f>
        <v/>
      </c>
    </row>
    <row r="217">
      <c r="A217" s="16">
        <f>'Rest Universe'!A218</f>
        <v/>
      </c>
      <c r="B217" s="16">
        <f>'Rest Universe'!B218</f>
        <v/>
      </c>
      <c r="C217" s="16">
        <f>'Rest Buybacks'!F217</f>
        <v/>
      </c>
      <c r="D217" s="16">
        <f>'Rest Buybacks'!J217</f>
        <v/>
      </c>
      <c r="E217" s="16">
        <f>'Rest Dividends'!H217</f>
        <v/>
      </c>
      <c r="F217" s="16">
        <f>'Rest Offerings'!J217</f>
        <v/>
      </c>
    </row>
    <row r="218">
      <c r="A218" s="16">
        <f>'Rest Universe'!A219</f>
        <v/>
      </c>
      <c r="B218" s="16">
        <f>'Rest Universe'!B219</f>
        <v/>
      </c>
      <c r="C218" s="16">
        <f>'Rest Buybacks'!F218</f>
        <v/>
      </c>
      <c r="D218" s="16">
        <f>'Rest Buybacks'!J218</f>
        <v/>
      </c>
      <c r="E218" s="16">
        <f>'Rest Dividends'!H218</f>
        <v/>
      </c>
      <c r="F218" s="16">
        <f>'Rest Offerings'!J218</f>
        <v/>
      </c>
    </row>
    <row r="219">
      <c r="A219" s="16">
        <f>'Rest Universe'!A220</f>
        <v/>
      </c>
      <c r="B219" s="16">
        <f>'Rest Universe'!B220</f>
        <v/>
      </c>
      <c r="C219" s="16">
        <f>'Rest Buybacks'!F219</f>
        <v/>
      </c>
      <c r="D219" s="16">
        <f>'Rest Buybacks'!J219</f>
        <v/>
      </c>
      <c r="E219" s="16">
        <f>'Rest Dividends'!H219</f>
        <v/>
      </c>
      <c r="F219" s="16">
        <f>'Rest Offerings'!J219</f>
        <v/>
      </c>
    </row>
    <row r="220">
      <c r="A220" s="16">
        <f>'Rest Universe'!A221</f>
        <v/>
      </c>
      <c r="B220" s="16">
        <f>'Rest Universe'!B221</f>
        <v/>
      </c>
      <c r="C220" s="16">
        <f>'Rest Buybacks'!F220</f>
        <v/>
      </c>
      <c r="D220" s="16">
        <f>'Rest Buybacks'!J220</f>
        <v/>
      </c>
      <c r="E220" s="16">
        <f>'Rest Dividends'!H220</f>
        <v/>
      </c>
      <c r="F220" s="16">
        <f>'Rest Offerings'!J220</f>
        <v/>
      </c>
    </row>
    <row r="221">
      <c r="A221" s="16">
        <f>'Rest Universe'!A222</f>
        <v/>
      </c>
      <c r="B221" s="16">
        <f>'Rest Universe'!B222</f>
        <v/>
      </c>
      <c r="C221" s="16">
        <f>'Rest Buybacks'!F221</f>
        <v/>
      </c>
      <c r="D221" s="16">
        <f>'Rest Buybacks'!J221</f>
        <v/>
      </c>
      <c r="E221" s="16">
        <f>'Rest Dividends'!H221</f>
        <v/>
      </c>
      <c r="F221" s="16">
        <f>'Rest Offerings'!J221</f>
        <v/>
      </c>
    </row>
    <row r="222">
      <c r="A222" s="16">
        <f>'Rest Universe'!A223</f>
        <v/>
      </c>
      <c r="B222" s="16">
        <f>'Rest Universe'!B223</f>
        <v/>
      </c>
      <c r="C222" s="16">
        <f>'Rest Buybacks'!F222</f>
        <v/>
      </c>
      <c r="D222" s="16">
        <f>'Rest Buybacks'!J222</f>
        <v/>
      </c>
      <c r="E222" s="16">
        <f>'Rest Dividends'!H222</f>
        <v/>
      </c>
      <c r="F222" s="16">
        <f>'Rest Offerings'!J222</f>
        <v/>
      </c>
    </row>
    <row r="223">
      <c r="A223" s="16">
        <f>'Rest Universe'!A224</f>
        <v/>
      </c>
      <c r="B223" s="16">
        <f>'Rest Universe'!B224</f>
        <v/>
      </c>
      <c r="C223" s="16">
        <f>'Rest Buybacks'!F223</f>
        <v/>
      </c>
      <c r="D223" s="16">
        <f>'Rest Buybacks'!J223</f>
        <v/>
      </c>
      <c r="E223" s="16">
        <f>'Rest Dividends'!H223</f>
        <v/>
      </c>
      <c r="F223" s="16">
        <f>'Rest Offerings'!J223</f>
        <v/>
      </c>
    </row>
    <row r="224">
      <c r="A224" s="16">
        <f>'Rest Universe'!A225</f>
        <v/>
      </c>
      <c r="B224" s="16">
        <f>'Rest Universe'!B225</f>
        <v/>
      </c>
      <c r="C224" s="16">
        <f>'Rest Buybacks'!F224</f>
        <v/>
      </c>
      <c r="D224" s="16">
        <f>'Rest Buybacks'!J224</f>
        <v/>
      </c>
      <c r="E224" s="16">
        <f>'Rest Dividends'!H224</f>
        <v/>
      </c>
      <c r="F224" s="16">
        <f>'Rest Offerings'!J224</f>
        <v/>
      </c>
    </row>
    <row r="225">
      <c r="A225" s="16">
        <f>'Rest Universe'!A226</f>
        <v/>
      </c>
      <c r="B225" s="16">
        <f>'Rest Universe'!B226</f>
        <v/>
      </c>
      <c r="C225" s="16">
        <f>'Rest Buybacks'!F225</f>
        <v/>
      </c>
      <c r="D225" s="16">
        <f>'Rest Buybacks'!J225</f>
        <v/>
      </c>
      <c r="E225" s="16">
        <f>'Rest Dividends'!H225</f>
        <v/>
      </c>
      <c r="F225" s="16">
        <f>'Rest Offerings'!J225</f>
        <v/>
      </c>
    </row>
    <row r="226">
      <c r="A226" s="16">
        <f>'Rest Universe'!A227</f>
        <v/>
      </c>
      <c r="B226" s="16">
        <f>'Rest Universe'!B227</f>
        <v/>
      </c>
      <c r="C226" s="16">
        <f>'Rest Buybacks'!F226</f>
        <v/>
      </c>
      <c r="D226" s="16">
        <f>'Rest Buybacks'!J226</f>
        <v/>
      </c>
      <c r="E226" s="16">
        <f>'Rest Dividends'!H226</f>
        <v/>
      </c>
      <c r="F226" s="16">
        <f>'Rest Offerings'!J226</f>
        <v/>
      </c>
    </row>
    <row r="227">
      <c r="A227" s="16">
        <f>'Rest Universe'!A228</f>
        <v/>
      </c>
      <c r="B227" s="16">
        <f>'Rest Universe'!B228</f>
        <v/>
      </c>
      <c r="C227" s="16">
        <f>'Rest Buybacks'!F227</f>
        <v/>
      </c>
      <c r="D227" s="16">
        <f>'Rest Buybacks'!J227</f>
        <v/>
      </c>
      <c r="E227" s="16">
        <f>'Rest Dividends'!H227</f>
        <v/>
      </c>
      <c r="F227" s="16">
        <f>'Rest Offerings'!J227</f>
        <v/>
      </c>
    </row>
    <row r="228">
      <c r="A228" s="16">
        <f>'Rest Universe'!A229</f>
        <v/>
      </c>
      <c r="B228" s="16">
        <f>'Rest Universe'!B229</f>
        <v/>
      </c>
      <c r="C228" s="16">
        <f>'Rest Buybacks'!F228</f>
        <v/>
      </c>
      <c r="D228" s="16">
        <f>'Rest Buybacks'!J228</f>
        <v/>
      </c>
      <c r="E228" s="16">
        <f>'Rest Dividends'!H228</f>
        <v/>
      </c>
      <c r="F228" s="16">
        <f>'Rest Offerings'!J228</f>
        <v/>
      </c>
    </row>
    <row r="229">
      <c r="A229" s="16">
        <f>'Rest Universe'!A230</f>
        <v/>
      </c>
      <c r="B229" s="16">
        <f>'Rest Universe'!B230</f>
        <v/>
      </c>
      <c r="C229" s="16">
        <f>'Rest Buybacks'!F229</f>
        <v/>
      </c>
      <c r="D229" s="16">
        <f>'Rest Buybacks'!J229</f>
        <v/>
      </c>
      <c r="E229" s="16">
        <f>'Rest Dividends'!H229</f>
        <v/>
      </c>
      <c r="F229" s="16">
        <f>'Rest Offerings'!J229</f>
        <v/>
      </c>
    </row>
    <row r="230">
      <c r="A230" s="16">
        <f>'Rest Universe'!A231</f>
        <v/>
      </c>
      <c r="B230" s="16">
        <f>'Rest Universe'!B231</f>
        <v/>
      </c>
      <c r="C230" s="16">
        <f>'Rest Buybacks'!F230</f>
        <v/>
      </c>
      <c r="D230" s="16">
        <f>'Rest Buybacks'!J230</f>
        <v/>
      </c>
      <c r="E230" s="16">
        <f>'Rest Dividends'!H230</f>
        <v/>
      </c>
      <c r="F230" s="16">
        <f>'Rest Offerings'!J230</f>
        <v/>
      </c>
    </row>
    <row r="231">
      <c r="A231" s="16">
        <f>'Rest Universe'!A232</f>
        <v/>
      </c>
      <c r="B231" s="16">
        <f>'Rest Universe'!B232</f>
        <v/>
      </c>
      <c r="C231" s="16">
        <f>'Rest Buybacks'!F231</f>
        <v/>
      </c>
      <c r="D231" s="16">
        <f>'Rest Buybacks'!J231</f>
        <v/>
      </c>
      <c r="E231" s="16">
        <f>'Rest Dividends'!H231</f>
        <v/>
      </c>
      <c r="F231" s="16">
        <f>'Rest Offerings'!J231</f>
        <v/>
      </c>
    </row>
    <row r="232">
      <c r="A232" s="16">
        <f>'Rest Universe'!A233</f>
        <v/>
      </c>
      <c r="B232" s="16">
        <f>'Rest Universe'!B233</f>
        <v/>
      </c>
      <c r="C232" s="16">
        <f>'Rest Buybacks'!F232</f>
        <v/>
      </c>
      <c r="D232" s="16">
        <f>'Rest Buybacks'!J232</f>
        <v/>
      </c>
      <c r="E232" s="16">
        <f>'Rest Dividends'!H232</f>
        <v/>
      </c>
      <c r="F232" s="16">
        <f>'Rest Offerings'!J232</f>
        <v/>
      </c>
    </row>
    <row r="233">
      <c r="A233" s="16">
        <f>'Rest Universe'!A234</f>
        <v/>
      </c>
      <c r="B233" s="16">
        <f>'Rest Universe'!B234</f>
        <v/>
      </c>
      <c r="C233" s="16">
        <f>'Rest Buybacks'!F233</f>
        <v/>
      </c>
      <c r="D233" s="16">
        <f>'Rest Buybacks'!J233</f>
        <v/>
      </c>
      <c r="E233" s="16">
        <f>'Rest Dividends'!H233</f>
        <v/>
      </c>
      <c r="F233" s="16">
        <f>'Rest Offerings'!J233</f>
        <v/>
      </c>
    </row>
    <row r="234">
      <c r="A234" s="16">
        <f>'Rest Universe'!A235</f>
        <v/>
      </c>
      <c r="B234" s="16">
        <f>'Rest Universe'!B235</f>
        <v/>
      </c>
      <c r="C234" s="16">
        <f>'Rest Buybacks'!F234</f>
        <v/>
      </c>
      <c r="D234" s="16">
        <f>'Rest Buybacks'!J234</f>
        <v/>
      </c>
      <c r="E234" s="16">
        <f>'Rest Dividends'!H234</f>
        <v/>
      </c>
      <c r="F234" s="16">
        <f>'Rest Offerings'!J234</f>
        <v/>
      </c>
    </row>
    <row r="235">
      <c r="A235" s="16">
        <f>'Rest Universe'!A236</f>
        <v/>
      </c>
      <c r="B235" s="16">
        <f>'Rest Universe'!B236</f>
        <v/>
      </c>
      <c r="C235" s="16">
        <f>'Rest Buybacks'!F235</f>
        <v/>
      </c>
      <c r="D235" s="16">
        <f>'Rest Buybacks'!J235</f>
        <v/>
      </c>
      <c r="E235" s="16">
        <f>'Rest Dividends'!H235</f>
        <v/>
      </c>
      <c r="F235" s="16">
        <f>'Rest Offerings'!J235</f>
        <v/>
      </c>
    </row>
    <row r="236">
      <c r="A236" s="16">
        <f>'Rest Universe'!A237</f>
        <v/>
      </c>
      <c r="B236" s="16">
        <f>'Rest Universe'!B237</f>
        <v/>
      </c>
      <c r="C236" s="16">
        <f>'Rest Buybacks'!F236</f>
        <v/>
      </c>
      <c r="D236" s="16">
        <f>'Rest Buybacks'!J236</f>
        <v/>
      </c>
      <c r="E236" s="16">
        <f>'Rest Dividends'!H236</f>
        <v/>
      </c>
      <c r="F236" s="16">
        <f>'Rest Offerings'!J236</f>
        <v/>
      </c>
    </row>
    <row r="237">
      <c r="A237" s="16">
        <f>'Rest Universe'!A238</f>
        <v/>
      </c>
      <c r="B237" s="16">
        <f>'Rest Universe'!B238</f>
        <v/>
      </c>
      <c r="C237" s="16">
        <f>'Rest Buybacks'!F237</f>
        <v/>
      </c>
      <c r="D237" s="16">
        <f>'Rest Buybacks'!J237</f>
        <v/>
      </c>
      <c r="E237" s="16">
        <f>'Rest Dividends'!H237</f>
        <v/>
      </c>
      <c r="F237" s="16">
        <f>'Rest Offerings'!J237</f>
        <v/>
      </c>
    </row>
    <row r="238">
      <c r="A238" s="16">
        <f>'Rest Universe'!A239</f>
        <v/>
      </c>
      <c r="B238" s="16">
        <f>'Rest Universe'!B239</f>
        <v/>
      </c>
      <c r="C238" s="16">
        <f>'Rest Buybacks'!F238</f>
        <v/>
      </c>
      <c r="D238" s="16">
        <f>'Rest Buybacks'!J238</f>
        <v/>
      </c>
      <c r="E238" s="16">
        <f>'Rest Dividends'!H238</f>
        <v/>
      </c>
      <c r="F238" s="16">
        <f>'Rest Offerings'!J238</f>
        <v/>
      </c>
    </row>
    <row r="239">
      <c r="A239" s="16">
        <f>'Rest Universe'!A240</f>
        <v/>
      </c>
      <c r="B239" s="16">
        <f>'Rest Universe'!B240</f>
        <v/>
      </c>
      <c r="C239" s="16">
        <f>'Rest Buybacks'!F239</f>
        <v/>
      </c>
      <c r="D239" s="16">
        <f>'Rest Buybacks'!J239</f>
        <v/>
      </c>
      <c r="E239" s="16">
        <f>'Rest Dividends'!H239</f>
        <v/>
      </c>
      <c r="F239" s="16">
        <f>'Rest Offerings'!J239</f>
        <v/>
      </c>
    </row>
    <row r="240">
      <c r="A240" s="16">
        <f>'Rest Universe'!A241</f>
        <v/>
      </c>
      <c r="B240" s="16">
        <f>'Rest Universe'!B241</f>
        <v/>
      </c>
      <c r="C240" s="16">
        <f>'Rest Buybacks'!F240</f>
        <v/>
      </c>
      <c r="D240" s="16">
        <f>'Rest Buybacks'!J240</f>
        <v/>
      </c>
      <c r="E240" s="16">
        <f>'Rest Dividends'!H240</f>
        <v/>
      </c>
      <c r="F240" s="16">
        <f>'Rest Offerings'!J240</f>
        <v/>
      </c>
    </row>
    <row r="241">
      <c r="A241" s="16">
        <f>'Rest Universe'!A242</f>
        <v/>
      </c>
      <c r="B241" s="16">
        <f>'Rest Universe'!B242</f>
        <v/>
      </c>
      <c r="C241" s="16">
        <f>'Rest Buybacks'!F241</f>
        <v/>
      </c>
      <c r="D241" s="16">
        <f>'Rest Buybacks'!J241</f>
        <v/>
      </c>
      <c r="E241" s="16">
        <f>'Rest Dividends'!H241</f>
        <v/>
      </c>
      <c r="F241" s="16">
        <f>'Rest Offerings'!J241</f>
        <v/>
      </c>
    </row>
    <row r="242">
      <c r="A242" s="16">
        <f>'Rest Universe'!A243</f>
        <v/>
      </c>
      <c r="B242" s="16">
        <f>'Rest Universe'!B243</f>
        <v/>
      </c>
      <c r="C242" s="16">
        <f>'Rest Buybacks'!F242</f>
        <v/>
      </c>
      <c r="D242" s="16">
        <f>'Rest Buybacks'!J242</f>
        <v/>
      </c>
      <c r="E242" s="16">
        <f>'Rest Dividends'!H242</f>
        <v/>
      </c>
      <c r="F242" s="16">
        <f>'Rest Offerings'!J242</f>
        <v/>
      </c>
    </row>
    <row r="243">
      <c r="A243" s="16">
        <f>'Rest Universe'!A244</f>
        <v/>
      </c>
      <c r="B243" s="16">
        <f>'Rest Universe'!B244</f>
        <v/>
      </c>
      <c r="C243" s="16">
        <f>'Rest Buybacks'!F243</f>
        <v/>
      </c>
      <c r="D243" s="16">
        <f>'Rest Buybacks'!J243</f>
        <v/>
      </c>
      <c r="E243" s="16">
        <f>'Rest Dividends'!H243</f>
        <v/>
      </c>
      <c r="F243" s="16">
        <f>'Rest Offerings'!J243</f>
        <v/>
      </c>
    </row>
    <row r="244">
      <c r="A244" s="16">
        <f>'Rest Universe'!A245</f>
        <v/>
      </c>
      <c r="B244" s="16">
        <f>'Rest Universe'!B245</f>
        <v/>
      </c>
      <c r="C244" s="16">
        <f>'Rest Buybacks'!F244</f>
        <v/>
      </c>
      <c r="D244" s="16">
        <f>'Rest Buybacks'!J244</f>
        <v/>
      </c>
      <c r="E244" s="16">
        <f>'Rest Dividends'!H244</f>
        <v/>
      </c>
      <c r="F244" s="16">
        <f>'Rest Offerings'!J244</f>
        <v/>
      </c>
    </row>
    <row r="245">
      <c r="A245" s="16">
        <f>'Rest Universe'!A246</f>
        <v/>
      </c>
      <c r="B245" s="16">
        <f>'Rest Universe'!B246</f>
        <v/>
      </c>
      <c r="C245" s="16">
        <f>'Rest Buybacks'!F245</f>
        <v/>
      </c>
      <c r="D245" s="16">
        <f>'Rest Buybacks'!J245</f>
        <v/>
      </c>
      <c r="E245" s="16">
        <f>'Rest Dividends'!H245</f>
        <v/>
      </c>
      <c r="F245" s="16">
        <f>'Rest Offerings'!J245</f>
        <v/>
      </c>
    </row>
    <row r="246">
      <c r="A246" s="16">
        <f>'Rest Universe'!A247</f>
        <v/>
      </c>
      <c r="B246" s="16">
        <f>'Rest Universe'!B247</f>
        <v/>
      </c>
      <c r="C246" s="16">
        <f>'Rest Buybacks'!F246</f>
        <v/>
      </c>
      <c r="D246" s="16">
        <f>'Rest Buybacks'!J246</f>
        <v/>
      </c>
      <c r="E246" s="16">
        <f>'Rest Dividends'!H246</f>
        <v/>
      </c>
      <c r="F246" s="16">
        <f>'Rest Offerings'!J246</f>
        <v/>
      </c>
    </row>
    <row r="247">
      <c r="A247" s="16">
        <f>'Rest Universe'!A248</f>
        <v/>
      </c>
      <c r="B247" s="16">
        <f>'Rest Universe'!B248</f>
        <v/>
      </c>
      <c r="C247" s="16">
        <f>'Rest Buybacks'!F247</f>
        <v/>
      </c>
      <c r="D247" s="16">
        <f>'Rest Buybacks'!J247</f>
        <v/>
      </c>
      <c r="E247" s="16">
        <f>'Rest Dividends'!H247</f>
        <v/>
      </c>
      <c r="F247" s="16">
        <f>'Rest Offerings'!J247</f>
        <v/>
      </c>
    </row>
    <row r="248">
      <c r="A248" s="16">
        <f>'Rest Universe'!A249</f>
        <v/>
      </c>
      <c r="B248" s="16">
        <f>'Rest Universe'!B249</f>
        <v/>
      </c>
      <c r="C248" s="16">
        <f>'Rest Buybacks'!F248</f>
        <v/>
      </c>
      <c r="D248" s="16">
        <f>'Rest Buybacks'!J248</f>
        <v/>
      </c>
      <c r="E248" s="16">
        <f>'Rest Dividends'!H248</f>
        <v/>
      </c>
      <c r="F248" s="16">
        <f>'Rest Offerings'!J248</f>
        <v/>
      </c>
    </row>
    <row r="249">
      <c r="A249" s="16">
        <f>'Rest Universe'!A250</f>
        <v/>
      </c>
      <c r="B249" s="16">
        <f>'Rest Universe'!B250</f>
        <v/>
      </c>
      <c r="C249" s="16">
        <f>'Rest Buybacks'!F249</f>
        <v/>
      </c>
      <c r="D249" s="16">
        <f>'Rest Buybacks'!J249</f>
        <v/>
      </c>
      <c r="E249" s="16">
        <f>'Rest Dividends'!H249</f>
        <v/>
      </c>
      <c r="F249" s="16">
        <f>'Rest Offerings'!J249</f>
        <v/>
      </c>
    </row>
    <row r="250">
      <c r="A250" s="16">
        <f>'Rest Universe'!A251</f>
        <v/>
      </c>
      <c r="B250" s="16">
        <f>'Rest Universe'!B251</f>
        <v/>
      </c>
      <c r="C250" s="16">
        <f>'Rest Buybacks'!F250</f>
        <v/>
      </c>
      <c r="D250" s="16">
        <f>'Rest Buybacks'!J250</f>
        <v/>
      </c>
      <c r="E250" s="16">
        <f>'Rest Dividends'!H250</f>
        <v/>
      </c>
      <c r="F250" s="16">
        <f>'Rest Offerings'!J250</f>
        <v/>
      </c>
    </row>
    <row r="251">
      <c r="A251" s="16">
        <f>'Rest Universe'!A252</f>
        <v/>
      </c>
      <c r="B251" s="16">
        <f>'Rest Universe'!B252</f>
        <v/>
      </c>
      <c r="C251" s="16">
        <f>'Rest Buybacks'!F251</f>
        <v/>
      </c>
      <c r="D251" s="16">
        <f>'Rest Buybacks'!J251</f>
        <v/>
      </c>
      <c r="E251" s="16">
        <f>'Rest Dividends'!H251</f>
        <v/>
      </c>
      <c r="F251" s="16">
        <f>'Rest Offerings'!J251</f>
        <v/>
      </c>
    </row>
    <row r="252">
      <c r="A252" s="16">
        <f>'Rest Universe'!A253</f>
        <v/>
      </c>
      <c r="B252" s="16">
        <f>'Rest Universe'!B253</f>
        <v/>
      </c>
      <c r="C252" s="16">
        <f>'Rest Buybacks'!F252</f>
        <v/>
      </c>
      <c r="D252" s="16">
        <f>'Rest Buybacks'!J252</f>
        <v/>
      </c>
      <c r="E252" s="16">
        <f>'Rest Dividends'!H252</f>
        <v/>
      </c>
      <c r="F252" s="16">
        <f>'Rest Offerings'!J252</f>
        <v/>
      </c>
    </row>
    <row r="253">
      <c r="A253" s="16">
        <f>'Rest Universe'!A254</f>
        <v/>
      </c>
      <c r="B253" s="16">
        <f>'Rest Universe'!B254</f>
        <v/>
      </c>
      <c r="C253" s="16">
        <f>'Rest Buybacks'!F253</f>
        <v/>
      </c>
      <c r="D253" s="16">
        <f>'Rest Buybacks'!J253</f>
        <v/>
      </c>
      <c r="E253" s="16">
        <f>'Rest Dividends'!H253</f>
        <v/>
      </c>
      <c r="F253" s="16">
        <f>'Rest Offerings'!J253</f>
        <v/>
      </c>
    </row>
    <row r="254">
      <c r="A254" s="16">
        <f>'Rest Universe'!A255</f>
        <v/>
      </c>
      <c r="B254" s="16">
        <f>'Rest Universe'!B255</f>
        <v/>
      </c>
      <c r="C254" s="16">
        <f>'Rest Buybacks'!F254</f>
        <v/>
      </c>
      <c r="D254" s="16">
        <f>'Rest Buybacks'!J254</f>
        <v/>
      </c>
      <c r="E254" s="16">
        <f>'Rest Dividends'!H254</f>
        <v/>
      </c>
      <c r="F254" s="16">
        <f>'Rest Offerings'!J254</f>
        <v/>
      </c>
    </row>
    <row r="255">
      <c r="A255" s="16">
        <f>'Rest Universe'!A256</f>
        <v/>
      </c>
      <c r="B255" s="16">
        <f>'Rest Universe'!B256</f>
        <v/>
      </c>
      <c r="C255" s="16">
        <f>'Rest Buybacks'!F255</f>
        <v/>
      </c>
      <c r="D255" s="16">
        <f>'Rest Buybacks'!J255</f>
        <v/>
      </c>
      <c r="E255" s="16">
        <f>'Rest Dividends'!H255</f>
        <v/>
      </c>
      <c r="F255" s="16">
        <f>'Rest Offerings'!J255</f>
        <v/>
      </c>
    </row>
    <row r="256">
      <c r="A256" s="16">
        <f>'Rest Universe'!A257</f>
        <v/>
      </c>
      <c r="B256" s="16">
        <f>'Rest Universe'!B257</f>
        <v/>
      </c>
      <c r="C256" s="16">
        <f>'Rest Buybacks'!F256</f>
        <v/>
      </c>
      <c r="D256" s="16">
        <f>'Rest Buybacks'!J256</f>
        <v/>
      </c>
      <c r="E256" s="16">
        <f>'Rest Dividends'!H256</f>
        <v/>
      </c>
      <c r="F256" s="16">
        <f>'Rest Offerings'!J256</f>
        <v/>
      </c>
    </row>
    <row r="257">
      <c r="A257" s="16">
        <f>'Rest Universe'!A258</f>
        <v/>
      </c>
      <c r="B257" s="16">
        <f>'Rest Universe'!B258</f>
        <v/>
      </c>
      <c r="C257" s="16">
        <f>'Rest Buybacks'!F257</f>
        <v/>
      </c>
      <c r="D257" s="16">
        <f>'Rest Buybacks'!J257</f>
        <v/>
      </c>
      <c r="E257" s="16">
        <f>'Rest Dividends'!H257</f>
        <v/>
      </c>
      <c r="F257" s="16">
        <f>'Rest Offerings'!J257</f>
        <v/>
      </c>
    </row>
    <row r="258">
      <c r="A258" s="16">
        <f>'Rest Universe'!A259</f>
        <v/>
      </c>
      <c r="B258" s="16">
        <f>'Rest Universe'!B259</f>
        <v/>
      </c>
      <c r="C258" s="16">
        <f>'Rest Buybacks'!F258</f>
        <v/>
      </c>
      <c r="D258" s="16">
        <f>'Rest Buybacks'!J258</f>
        <v/>
      </c>
      <c r="E258" s="16">
        <f>'Rest Dividends'!H258</f>
        <v/>
      </c>
      <c r="F258" s="16">
        <f>'Rest Offerings'!J258</f>
        <v/>
      </c>
    </row>
    <row r="259">
      <c r="A259" s="16">
        <f>'Rest Universe'!A260</f>
        <v/>
      </c>
      <c r="B259" s="16">
        <f>'Rest Universe'!B260</f>
        <v/>
      </c>
      <c r="C259" s="16">
        <f>'Rest Buybacks'!F259</f>
        <v/>
      </c>
      <c r="D259" s="16">
        <f>'Rest Buybacks'!J259</f>
        <v/>
      </c>
      <c r="E259" s="16">
        <f>'Rest Dividends'!H259</f>
        <v/>
      </c>
      <c r="F259" s="16">
        <f>'Rest Offerings'!J259</f>
        <v/>
      </c>
    </row>
    <row r="260">
      <c r="A260" s="16">
        <f>'Rest Universe'!A261</f>
        <v/>
      </c>
      <c r="B260" s="16">
        <f>'Rest Universe'!B261</f>
        <v/>
      </c>
      <c r="C260" s="16">
        <f>'Rest Buybacks'!F260</f>
        <v/>
      </c>
      <c r="D260" s="16">
        <f>'Rest Buybacks'!J260</f>
        <v/>
      </c>
      <c r="E260" s="16">
        <f>'Rest Dividends'!H260</f>
        <v/>
      </c>
      <c r="F260" s="16">
        <f>'Rest Offerings'!J260</f>
        <v/>
      </c>
    </row>
    <row r="261">
      <c r="A261" s="16">
        <f>'Rest Universe'!A262</f>
        <v/>
      </c>
      <c r="B261" s="16">
        <f>'Rest Universe'!B262</f>
        <v/>
      </c>
      <c r="C261" s="16">
        <f>'Rest Buybacks'!F261</f>
        <v/>
      </c>
      <c r="D261" s="16">
        <f>'Rest Buybacks'!J261</f>
        <v/>
      </c>
      <c r="E261" s="16">
        <f>'Rest Dividends'!H261</f>
        <v/>
      </c>
      <c r="F261" s="16">
        <f>'Rest Offerings'!J261</f>
        <v/>
      </c>
    </row>
    <row r="262">
      <c r="A262" s="16">
        <f>'Rest Universe'!A263</f>
        <v/>
      </c>
      <c r="B262" s="16">
        <f>'Rest Universe'!B263</f>
        <v/>
      </c>
      <c r="C262" s="16">
        <f>'Rest Buybacks'!F262</f>
        <v/>
      </c>
      <c r="D262" s="16">
        <f>'Rest Buybacks'!J262</f>
        <v/>
      </c>
      <c r="E262" s="16">
        <f>'Rest Dividends'!H262</f>
        <v/>
      </c>
      <c r="F262" s="16">
        <f>'Rest Offerings'!J262</f>
        <v/>
      </c>
    </row>
    <row r="263">
      <c r="A263" s="16">
        <f>'Rest Universe'!A264</f>
        <v/>
      </c>
      <c r="B263" s="16">
        <f>'Rest Universe'!B264</f>
        <v/>
      </c>
      <c r="C263" s="16">
        <f>'Rest Buybacks'!F263</f>
        <v/>
      </c>
      <c r="D263" s="16">
        <f>'Rest Buybacks'!J263</f>
        <v/>
      </c>
      <c r="E263" s="16">
        <f>'Rest Dividends'!H263</f>
        <v/>
      </c>
      <c r="F263" s="16">
        <f>'Rest Offerings'!J263</f>
        <v/>
      </c>
    </row>
    <row r="264">
      <c r="A264" s="16">
        <f>'Rest Universe'!A265</f>
        <v/>
      </c>
      <c r="B264" s="16">
        <f>'Rest Universe'!B265</f>
        <v/>
      </c>
      <c r="C264" s="16">
        <f>'Rest Buybacks'!F264</f>
        <v/>
      </c>
      <c r="D264" s="16">
        <f>'Rest Buybacks'!J264</f>
        <v/>
      </c>
      <c r="E264" s="16">
        <f>'Rest Dividends'!H264</f>
        <v/>
      </c>
      <c r="F264" s="16">
        <f>'Rest Offerings'!J264</f>
        <v/>
      </c>
    </row>
    <row r="265">
      <c r="A265" s="16">
        <f>'Rest Universe'!A266</f>
        <v/>
      </c>
      <c r="B265" s="16">
        <f>'Rest Universe'!B266</f>
        <v/>
      </c>
      <c r="C265" s="16">
        <f>'Rest Buybacks'!F265</f>
        <v/>
      </c>
      <c r="D265" s="16">
        <f>'Rest Buybacks'!J265</f>
        <v/>
      </c>
      <c r="E265" s="16">
        <f>'Rest Dividends'!H265</f>
        <v/>
      </c>
      <c r="F265" s="16">
        <f>'Rest Offerings'!J265</f>
        <v/>
      </c>
    </row>
    <row r="266">
      <c r="A266" s="16">
        <f>'Rest Universe'!A267</f>
        <v/>
      </c>
      <c r="B266" s="16">
        <f>'Rest Universe'!B267</f>
        <v/>
      </c>
      <c r="C266" s="16">
        <f>'Rest Buybacks'!F266</f>
        <v/>
      </c>
      <c r="D266" s="16">
        <f>'Rest Buybacks'!J266</f>
        <v/>
      </c>
      <c r="E266" s="16">
        <f>'Rest Dividends'!H266</f>
        <v/>
      </c>
      <c r="F266" s="16">
        <f>'Rest Offerings'!J266</f>
        <v/>
      </c>
    </row>
    <row r="267">
      <c r="A267" s="16">
        <f>'Rest Universe'!A268</f>
        <v/>
      </c>
      <c r="B267" s="16">
        <f>'Rest Universe'!B268</f>
        <v/>
      </c>
      <c r="C267" s="16">
        <f>'Rest Buybacks'!F267</f>
        <v/>
      </c>
      <c r="D267" s="16">
        <f>'Rest Buybacks'!J267</f>
        <v/>
      </c>
      <c r="E267" s="16">
        <f>'Rest Dividends'!H267</f>
        <v/>
      </c>
      <c r="F267" s="16">
        <f>'Rest Offerings'!J267</f>
        <v/>
      </c>
    </row>
    <row r="268">
      <c r="A268" s="16">
        <f>'Rest Universe'!A269</f>
        <v/>
      </c>
      <c r="B268" s="16">
        <f>'Rest Universe'!B269</f>
        <v/>
      </c>
      <c r="C268" s="16">
        <f>'Rest Buybacks'!F268</f>
        <v/>
      </c>
      <c r="D268" s="16">
        <f>'Rest Buybacks'!J268</f>
        <v/>
      </c>
      <c r="E268" s="16">
        <f>'Rest Dividends'!H268</f>
        <v/>
      </c>
      <c r="F268" s="16">
        <f>'Rest Offerings'!J268</f>
        <v/>
      </c>
    </row>
    <row r="269">
      <c r="A269" s="16">
        <f>'Rest Universe'!A270</f>
        <v/>
      </c>
      <c r="B269" s="16">
        <f>'Rest Universe'!B270</f>
        <v/>
      </c>
      <c r="C269" s="16">
        <f>'Rest Buybacks'!F269</f>
        <v/>
      </c>
      <c r="D269" s="16">
        <f>'Rest Buybacks'!J269</f>
        <v/>
      </c>
      <c r="E269" s="16">
        <f>'Rest Dividends'!H269</f>
        <v/>
      </c>
      <c r="F269" s="16">
        <f>'Rest Offerings'!J269</f>
        <v/>
      </c>
    </row>
    <row r="270">
      <c r="A270" s="16">
        <f>'Rest Universe'!A271</f>
        <v/>
      </c>
      <c r="B270" s="16">
        <f>'Rest Universe'!B271</f>
        <v/>
      </c>
      <c r="C270" s="16">
        <f>'Rest Buybacks'!F270</f>
        <v/>
      </c>
      <c r="D270" s="16">
        <f>'Rest Buybacks'!J270</f>
        <v/>
      </c>
      <c r="E270" s="16">
        <f>'Rest Dividends'!H270</f>
        <v/>
      </c>
      <c r="F270" s="16">
        <f>'Rest Offerings'!J270</f>
        <v/>
      </c>
    </row>
    <row r="271">
      <c r="A271" s="16">
        <f>'Rest Universe'!A272</f>
        <v/>
      </c>
      <c r="B271" s="16">
        <f>'Rest Universe'!B272</f>
        <v/>
      </c>
      <c r="C271" s="16">
        <f>'Rest Buybacks'!F271</f>
        <v/>
      </c>
      <c r="D271" s="16">
        <f>'Rest Buybacks'!J271</f>
        <v/>
      </c>
      <c r="E271" s="16">
        <f>'Rest Dividends'!H271</f>
        <v/>
      </c>
      <c r="F271" s="16">
        <f>'Rest Offerings'!J271</f>
        <v/>
      </c>
    </row>
    <row r="272">
      <c r="A272" s="16">
        <f>'Rest Universe'!A273</f>
        <v/>
      </c>
      <c r="B272" s="16">
        <f>'Rest Universe'!B273</f>
        <v/>
      </c>
      <c r="C272" s="16">
        <f>'Rest Buybacks'!F272</f>
        <v/>
      </c>
      <c r="D272" s="16">
        <f>'Rest Buybacks'!J272</f>
        <v/>
      </c>
      <c r="E272" s="16">
        <f>'Rest Dividends'!H272</f>
        <v/>
      </c>
      <c r="F272" s="16">
        <f>'Rest Offerings'!J272</f>
        <v/>
      </c>
    </row>
    <row r="273">
      <c r="A273" s="16">
        <f>'Rest Universe'!A274</f>
        <v/>
      </c>
      <c r="B273" s="16">
        <f>'Rest Universe'!B274</f>
        <v/>
      </c>
      <c r="C273" s="16">
        <f>'Rest Buybacks'!F273</f>
        <v/>
      </c>
      <c r="D273" s="16">
        <f>'Rest Buybacks'!J273</f>
        <v/>
      </c>
      <c r="E273" s="16">
        <f>'Rest Dividends'!H273</f>
        <v/>
      </c>
      <c r="F273" s="16">
        <f>'Rest Offerings'!J273</f>
        <v/>
      </c>
    </row>
    <row r="274">
      <c r="A274" s="16">
        <f>'Rest Universe'!A275</f>
        <v/>
      </c>
      <c r="B274" s="16">
        <f>'Rest Universe'!B275</f>
        <v/>
      </c>
      <c r="C274" s="16">
        <f>'Rest Buybacks'!F274</f>
        <v/>
      </c>
      <c r="D274" s="16">
        <f>'Rest Buybacks'!J274</f>
        <v/>
      </c>
      <c r="E274" s="16">
        <f>'Rest Dividends'!H274</f>
        <v/>
      </c>
      <c r="F274" s="16">
        <f>'Rest Offerings'!J274</f>
        <v/>
      </c>
    </row>
    <row r="275">
      <c r="A275" s="16">
        <f>'Rest Universe'!A276</f>
        <v/>
      </c>
      <c r="B275" s="16">
        <f>'Rest Universe'!B276</f>
        <v/>
      </c>
      <c r="C275" s="16">
        <f>'Rest Buybacks'!F275</f>
        <v/>
      </c>
      <c r="D275" s="16">
        <f>'Rest Buybacks'!J275</f>
        <v/>
      </c>
      <c r="E275" s="16">
        <f>'Rest Dividends'!H275</f>
        <v/>
      </c>
      <c r="F275" s="16">
        <f>'Rest Offerings'!J275</f>
        <v/>
      </c>
    </row>
    <row r="276">
      <c r="A276" s="16">
        <f>'Rest Universe'!A277</f>
        <v/>
      </c>
      <c r="B276" s="16">
        <f>'Rest Universe'!B277</f>
        <v/>
      </c>
      <c r="C276" s="16">
        <f>'Rest Buybacks'!F276</f>
        <v/>
      </c>
      <c r="D276" s="16">
        <f>'Rest Buybacks'!J276</f>
        <v/>
      </c>
      <c r="E276" s="16">
        <f>'Rest Dividends'!H276</f>
        <v/>
      </c>
      <c r="F276" s="16">
        <f>'Rest Offerings'!J276</f>
        <v/>
      </c>
    </row>
    <row r="277">
      <c r="A277" s="16">
        <f>'Rest Universe'!A278</f>
        <v/>
      </c>
      <c r="B277" s="16">
        <f>'Rest Universe'!B278</f>
        <v/>
      </c>
      <c r="C277" s="16">
        <f>'Rest Buybacks'!F277</f>
        <v/>
      </c>
      <c r="D277" s="16">
        <f>'Rest Buybacks'!J277</f>
        <v/>
      </c>
      <c r="E277" s="16">
        <f>'Rest Dividends'!H277</f>
        <v/>
      </c>
      <c r="F277" s="16">
        <f>'Rest Offerings'!J277</f>
        <v/>
      </c>
    </row>
    <row r="278">
      <c r="A278" s="16">
        <f>'Rest Universe'!A279</f>
        <v/>
      </c>
      <c r="B278" s="16">
        <f>'Rest Universe'!B279</f>
        <v/>
      </c>
      <c r="C278" s="16">
        <f>'Rest Buybacks'!F278</f>
        <v/>
      </c>
      <c r="D278" s="16">
        <f>'Rest Buybacks'!J278</f>
        <v/>
      </c>
      <c r="E278" s="16">
        <f>'Rest Dividends'!H278</f>
        <v/>
      </c>
      <c r="F278" s="16">
        <f>'Rest Offerings'!J278</f>
        <v/>
      </c>
    </row>
    <row r="279">
      <c r="A279" s="16">
        <f>'Rest Universe'!A280</f>
        <v/>
      </c>
      <c r="B279" s="16">
        <f>'Rest Universe'!B280</f>
        <v/>
      </c>
      <c r="C279" s="16">
        <f>'Rest Buybacks'!F279</f>
        <v/>
      </c>
      <c r="D279" s="16">
        <f>'Rest Buybacks'!J279</f>
        <v/>
      </c>
      <c r="E279" s="16">
        <f>'Rest Dividends'!H279</f>
        <v/>
      </c>
      <c r="F279" s="16">
        <f>'Rest Offerings'!J279</f>
        <v/>
      </c>
    </row>
    <row r="280">
      <c r="A280" s="16">
        <f>'Rest Universe'!A281</f>
        <v/>
      </c>
      <c r="B280" s="16">
        <f>'Rest Universe'!B281</f>
        <v/>
      </c>
      <c r="C280" s="16">
        <f>'Rest Buybacks'!F280</f>
        <v/>
      </c>
      <c r="D280" s="16">
        <f>'Rest Buybacks'!J280</f>
        <v/>
      </c>
      <c r="E280" s="16">
        <f>'Rest Dividends'!H280</f>
        <v/>
      </c>
      <c r="F280" s="16">
        <f>'Rest Offerings'!J280</f>
        <v/>
      </c>
    </row>
    <row r="281">
      <c r="A281" s="16">
        <f>'Rest Universe'!A282</f>
        <v/>
      </c>
      <c r="B281" s="16">
        <f>'Rest Universe'!B282</f>
        <v/>
      </c>
      <c r="C281" s="16">
        <f>'Rest Buybacks'!F281</f>
        <v/>
      </c>
      <c r="D281" s="16">
        <f>'Rest Buybacks'!J281</f>
        <v/>
      </c>
      <c r="E281" s="16">
        <f>'Rest Dividends'!H281</f>
        <v/>
      </c>
      <c r="F281" s="16">
        <f>'Rest Offerings'!J281</f>
        <v/>
      </c>
    </row>
    <row r="282">
      <c r="A282" s="16">
        <f>'Rest Universe'!A283</f>
        <v/>
      </c>
      <c r="B282" s="16">
        <f>'Rest Universe'!B283</f>
        <v/>
      </c>
      <c r="C282" s="16">
        <f>'Rest Buybacks'!F282</f>
        <v/>
      </c>
      <c r="D282" s="16">
        <f>'Rest Buybacks'!J282</f>
        <v/>
      </c>
      <c r="E282" s="16">
        <f>'Rest Dividends'!H282</f>
        <v/>
      </c>
      <c r="F282" s="16">
        <f>'Rest Offerings'!J282</f>
        <v/>
      </c>
    </row>
    <row r="283">
      <c r="A283" s="16">
        <f>'Rest Universe'!A284</f>
        <v/>
      </c>
      <c r="B283" s="16">
        <f>'Rest Universe'!B284</f>
        <v/>
      </c>
      <c r="C283" s="16">
        <f>'Rest Buybacks'!F283</f>
        <v/>
      </c>
      <c r="D283" s="16">
        <f>'Rest Buybacks'!J283</f>
        <v/>
      </c>
      <c r="E283" s="16">
        <f>'Rest Dividends'!H283</f>
        <v/>
      </c>
      <c r="F283" s="16">
        <f>'Rest Offerings'!J283</f>
        <v/>
      </c>
    </row>
    <row r="284">
      <c r="A284" s="16">
        <f>'Rest Universe'!A285</f>
        <v/>
      </c>
      <c r="B284" s="16">
        <f>'Rest Universe'!B285</f>
        <v/>
      </c>
      <c r="C284" s="16">
        <f>'Rest Buybacks'!F284</f>
        <v/>
      </c>
      <c r="D284" s="16">
        <f>'Rest Buybacks'!J284</f>
        <v/>
      </c>
      <c r="E284" s="16">
        <f>'Rest Dividends'!H284</f>
        <v/>
      </c>
      <c r="F284" s="16">
        <f>'Rest Offerings'!J284</f>
        <v/>
      </c>
    </row>
    <row r="285">
      <c r="A285" s="16">
        <f>'Rest Universe'!A286</f>
        <v/>
      </c>
      <c r="B285" s="16">
        <f>'Rest Universe'!B286</f>
        <v/>
      </c>
      <c r="C285" s="16">
        <f>'Rest Buybacks'!F285</f>
        <v/>
      </c>
      <c r="D285" s="16">
        <f>'Rest Buybacks'!J285</f>
        <v/>
      </c>
      <c r="E285" s="16">
        <f>'Rest Dividends'!H285</f>
        <v/>
      </c>
      <c r="F285" s="16">
        <f>'Rest Offerings'!J285</f>
        <v/>
      </c>
    </row>
    <row r="286">
      <c r="A286" s="16">
        <f>'Rest Universe'!A287</f>
        <v/>
      </c>
      <c r="B286" s="16">
        <f>'Rest Universe'!B287</f>
        <v/>
      </c>
      <c r="C286" s="16">
        <f>'Rest Buybacks'!F286</f>
        <v/>
      </c>
      <c r="D286" s="16">
        <f>'Rest Buybacks'!J286</f>
        <v/>
      </c>
      <c r="E286" s="16">
        <f>'Rest Dividends'!H286</f>
        <v/>
      </c>
      <c r="F286" s="16">
        <f>'Rest Offerings'!J286</f>
        <v/>
      </c>
    </row>
    <row r="287">
      <c r="A287" s="16">
        <f>'Rest Universe'!A288</f>
        <v/>
      </c>
      <c r="B287" s="16">
        <f>'Rest Universe'!B288</f>
        <v/>
      </c>
      <c r="C287" s="16">
        <f>'Rest Buybacks'!F287</f>
        <v/>
      </c>
      <c r="D287" s="16">
        <f>'Rest Buybacks'!J287</f>
        <v/>
      </c>
      <c r="E287" s="16">
        <f>'Rest Dividends'!H287</f>
        <v/>
      </c>
      <c r="F287" s="16">
        <f>'Rest Offerings'!J287</f>
        <v/>
      </c>
    </row>
    <row r="288">
      <c r="A288" s="16">
        <f>'Rest Universe'!A289</f>
        <v/>
      </c>
      <c r="B288" s="16">
        <f>'Rest Universe'!B289</f>
        <v/>
      </c>
      <c r="C288" s="16">
        <f>'Rest Buybacks'!F288</f>
        <v/>
      </c>
      <c r="D288" s="16">
        <f>'Rest Buybacks'!J288</f>
        <v/>
      </c>
      <c r="E288" s="16">
        <f>'Rest Dividends'!H288</f>
        <v/>
      </c>
      <c r="F288" s="16">
        <f>'Rest Offerings'!J288</f>
        <v/>
      </c>
    </row>
    <row r="289">
      <c r="A289" s="16">
        <f>'Rest Universe'!A290</f>
        <v/>
      </c>
      <c r="B289" s="16">
        <f>'Rest Universe'!B290</f>
        <v/>
      </c>
      <c r="C289" s="16">
        <f>'Rest Buybacks'!F289</f>
        <v/>
      </c>
      <c r="D289" s="16">
        <f>'Rest Buybacks'!J289</f>
        <v/>
      </c>
      <c r="E289" s="16">
        <f>'Rest Dividends'!H289</f>
        <v/>
      </c>
      <c r="F289" s="16">
        <f>'Rest Offerings'!J289</f>
        <v/>
      </c>
    </row>
    <row r="290">
      <c r="A290" s="16">
        <f>'Rest Universe'!A291</f>
        <v/>
      </c>
      <c r="B290" s="16">
        <f>'Rest Universe'!B291</f>
        <v/>
      </c>
      <c r="C290" s="16">
        <f>'Rest Buybacks'!F290</f>
        <v/>
      </c>
      <c r="D290" s="16">
        <f>'Rest Buybacks'!J290</f>
        <v/>
      </c>
      <c r="E290" s="16">
        <f>'Rest Dividends'!H290</f>
        <v/>
      </c>
      <c r="F290" s="16">
        <f>'Rest Offerings'!J290</f>
        <v/>
      </c>
    </row>
    <row r="291">
      <c r="A291" s="16">
        <f>'Rest Universe'!A292</f>
        <v/>
      </c>
      <c r="B291" s="16">
        <f>'Rest Universe'!B292</f>
        <v/>
      </c>
      <c r="C291" s="16">
        <f>'Rest Buybacks'!F291</f>
        <v/>
      </c>
      <c r="D291" s="16">
        <f>'Rest Buybacks'!J291</f>
        <v/>
      </c>
      <c r="E291" s="16">
        <f>'Rest Dividends'!H291</f>
        <v/>
      </c>
      <c r="F291" s="16">
        <f>'Rest Offerings'!J291</f>
        <v/>
      </c>
    </row>
    <row r="292">
      <c r="A292" s="16">
        <f>'Rest Universe'!A293</f>
        <v/>
      </c>
      <c r="B292" s="16">
        <f>'Rest Universe'!B293</f>
        <v/>
      </c>
      <c r="C292" s="16">
        <f>'Rest Buybacks'!F292</f>
        <v/>
      </c>
      <c r="D292" s="16">
        <f>'Rest Buybacks'!J292</f>
        <v/>
      </c>
      <c r="E292" s="16">
        <f>'Rest Dividends'!H292</f>
        <v/>
      </c>
      <c r="F292" s="16">
        <f>'Rest Offerings'!J292</f>
        <v/>
      </c>
    </row>
    <row r="293">
      <c r="A293" s="16">
        <f>'Rest Universe'!A294</f>
        <v/>
      </c>
      <c r="B293" s="16">
        <f>'Rest Universe'!B294</f>
        <v/>
      </c>
      <c r="C293" s="16">
        <f>'Rest Buybacks'!F293</f>
        <v/>
      </c>
      <c r="D293" s="16">
        <f>'Rest Buybacks'!J293</f>
        <v/>
      </c>
      <c r="E293" s="16">
        <f>'Rest Dividends'!H293</f>
        <v/>
      </c>
      <c r="F293" s="16">
        <f>'Rest Offerings'!J293</f>
        <v/>
      </c>
    </row>
    <row r="294">
      <c r="A294" s="16">
        <f>'Rest Universe'!A295</f>
        <v/>
      </c>
      <c r="B294" s="16">
        <f>'Rest Universe'!B295</f>
        <v/>
      </c>
      <c r="C294" s="16">
        <f>'Rest Buybacks'!F294</f>
        <v/>
      </c>
      <c r="D294" s="16">
        <f>'Rest Buybacks'!J294</f>
        <v/>
      </c>
      <c r="E294" s="16">
        <f>'Rest Dividends'!H294</f>
        <v/>
      </c>
      <c r="F294" s="16">
        <f>'Rest Offerings'!J294</f>
        <v/>
      </c>
    </row>
    <row r="295">
      <c r="A295" s="16">
        <f>'Rest Universe'!A296</f>
        <v/>
      </c>
      <c r="B295" s="16">
        <f>'Rest Universe'!B296</f>
        <v/>
      </c>
      <c r="C295" s="16">
        <f>'Rest Buybacks'!F295</f>
        <v/>
      </c>
      <c r="D295" s="16">
        <f>'Rest Buybacks'!J295</f>
        <v/>
      </c>
      <c r="E295" s="16">
        <f>'Rest Dividends'!H295</f>
        <v/>
      </c>
      <c r="F295" s="16">
        <f>'Rest Offerings'!J295</f>
        <v/>
      </c>
    </row>
    <row r="296">
      <c r="A296" s="16">
        <f>'Rest Universe'!A297</f>
        <v/>
      </c>
      <c r="B296" s="16">
        <f>'Rest Universe'!B297</f>
        <v/>
      </c>
      <c r="C296" s="16">
        <f>'Rest Buybacks'!F296</f>
        <v/>
      </c>
      <c r="D296" s="16">
        <f>'Rest Buybacks'!J296</f>
        <v/>
      </c>
      <c r="E296" s="16">
        <f>'Rest Dividends'!H296</f>
        <v/>
      </c>
      <c r="F296" s="16">
        <f>'Rest Offerings'!J296</f>
        <v/>
      </c>
    </row>
    <row r="297">
      <c r="A297" s="16">
        <f>'Rest Universe'!A298</f>
        <v/>
      </c>
      <c r="B297" s="16">
        <f>'Rest Universe'!B298</f>
        <v/>
      </c>
      <c r="C297" s="16">
        <f>'Rest Buybacks'!F297</f>
        <v/>
      </c>
      <c r="D297" s="16">
        <f>'Rest Buybacks'!J297</f>
        <v/>
      </c>
      <c r="E297" s="16">
        <f>'Rest Dividends'!H297</f>
        <v/>
      </c>
      <c r="F297" s="16">
        <f>'Rest Offerings'!J297</f>
        <v/>
      </c>
    </row>
    <row r="298">
      <c r="A298" s="16">
        <f>'Rest Universe'!A299</f>
        <v/>
      </c>
      <c r="B298" s="16">
        <f>'Rest Universe'!B299</f>
        <v/>
      </c>
      <c r="C298" s="16">
        <f>'Rest Buybacks'!F298</f>
        <v/>
      </c>
      <c r="D298" s="16">
        <f>'Rest Buybacks'!J298</f>
        <v/>
      </c>
      <c r="E298" s="16">
        <f>'Rest Dividends'!H298</f>
        <v/>
      </c>
      <c r="F298" s="16">
        <f>'Rest Offerings'!J298</f>
        <v/>
      </c>
    </row>
    <row r="299">
      <c r="A299" s="16">
        <f>'Rest Universe'!A300</f>
        <v/>
      </c>
      <c r="B299" s="16">
        <f>'Rest Universe'!B300</f>
        <v/>
      </c>
      <c r="C299" s="16">
        <f>'Rest Buybacks'!F299</f>
        <v/>
      </c>
      <c r="D299" s="16">
        <f>'Rest Buybacks'!J299</f>
        <v/>
      </c>
      <c r="E299" s="16">
        <f>'Rest Dividends'!H299</f>
        <v/>
      </c>
      <c r="F299" s="16">
        <f>'Rest Offerings'!J299</f>
        <v/>
      </c>
    </row>
    <row r="300">
      <c r="A300" s="16">
        <f>'Rest Universe'!A301</f>
        <v/>
      </c>
      <c r="B300" s="16">
        <f>'Rest Universe'!B301</f>
        <v/>
      </c>
      <c r="C300" s="16">
        <f>'Rest Buybacks'!F300</f>
        <v/>
      </c>
      <c r="D300" s="16">
        <f>'Rest Buybacks'!J300</f>
        <v/>
      </c>
      <c r="E300" s="16">
        <f>'Rest Dividends'!H300</f>
        <v/>
      </c>
      <c r="F300" s="16">
        <f>'Rest Offerings'!J300</f>
        <v/>
      </c>
    </row>
    <row r="301">
      <c r="A301" s="16">
        <f>'Rest Universe'!A302</f>
        <v/>
      </c>
      <c r="B301" s="16">
        <f>'Rest Universe'!B302</f>
        <v/>
      </c>
      <c r="C301" s="16">
        <f>'Rest Buybacks'!F301</f>
        <v/>
      </c>
      <c r="D301" s="16">
        <f>'Rest Buybacks'!J301</f>
        <v/>
      </c>
      <c r="E301" s="16">
        <f>'Rest Dividends'!H301</f>
        <v/>
      </c>
      <c r="F301" s="16">
        <f>'Rest Offerings'!J301</f>
        <v/>
      </c>
    </row>
    <row r="302">
      <c r="A302" s="16">
        <f>'Rest Universe'!A303</f>
        <v/>
      </c>
      <c r="B302" s="16">
        <f>'Rest Universe'!B303</f>
        <v/>
      </c>
      <c r="C302" s="16">
        <f>'Rest Buybacks'!F302</f>
        <v/>
      </c>
      <c r="D302" s="16">
        <f>'Rest Buybacks'!J302</f>
        <v/>
      </c>
      <c r="E302" s="16">
        <f>'Rest Dividends'!H302</f>
        <v/>
      </c>
      <c r="F302" s="16">
        <f>'Rest Offerings'!J302</f>
        <v/>
      </c>
    </row>
    <row r="303">
      <c r="A303" s="16">
        <f>'Rest Universe'!A304</f>
        <v/>
      </c>
      <c r="B303" s="16">
        <f>'Rest Universe'!B304</f>
        <v/>
      </c>
      <c r="C303" s="16">
        <f>'Rest Buybacks'!F303</f>
        <v/>
      </c>
      <c r="D303" s="16">
        <f>'Rest Buybacks'!J303</f>
        <v/>
      </c>
      <c r="E303" s="16">
        <f>'Rest Dividends'!H303</f>
        <v/>
      </c>
      <c r="F303" s="16">
        <f>'Rest Offerings'!J303</f>
        <v/>
      </c>
    </row>
    <row r="304">
      <c r="A304" s="16">
        <f>'Rest Universe'!A305</f>
        <v/>
      </c>
      <c r="B304" s="16">
        <f>'Rest Universe'!B305</f>
        <v/>
      </c>
      <c r="C304" s="16">
        <f>'Rest Buybacks'!F304</f>
        <v/>
      </c>
      <c r="D304" s="16">
        <f>'Rest Buybacks'!J304</f>
        <v/>
      </c>
      <c r="E304" s="16">
        <f>'Rest Dividends'!H304</f>
        <v/>
      </c>
      <c r="F304" s="16">
        <f>'Rest Offerings'!J304</f>
        <v/>
      </c>
    </row>
    <row r="305">
      <c r="A305" s="16">
        <f>'Rest Universe'!A306</f>
        <v/>
      </c>
      <c r="B305" s="16">
        <f>'Rest Universe'!B306</f>
        <v/>
      </c>
      <c r="C305" s="16">
        <f>'Rest Buybacks'!F305</f>
        <v/>
      </c>
      <c r="D305" s="16">
        <f>'Rest Buybacks'!J305</f>
        <v/>
      </c>
      <c r="E305" s="16">
        <f>'Rest Dividends'!H305</f>
        <v/>
      </c>
      <c r="F305" s="16">
        <f>'Rest Offerings'!J305</f>
        <v/>
      </c>
    </row>
    <row r="306">
      <c r="A306" s="16">
        <f>'Rest Universe'!A307</f>
        <v/>
      </c>
      <c r="B306" s="16">
        <f>'Rest Universe'!B307</f>
        <v/>
      </c>
      <c r="C306" s="16">
        <f>'Rest Buybacks'!F306</f>
        <v/>
      </c>
      <c r="D306" s="16">
        <f>'Rest Buybacks'!J306</f>
        <v/>
      </c>
      <c r="E306" s="16">
        <f>'Rest Dividends'!H306</f>
        <v/>
      </c>
      <c r="F306" s="16">
        <f>'Rest Offerings'!J306</f>
        <v/>
      </c>
    </row>
    <row r="307">
      <c r="A307" s="16">
        <f>'Rest Universe'!A308</f>
        <v/>
      </c>
      <c r="B307" s="16">
        <f>'Rest Universe'!B308</f>
        <v/>
      </c>
      <c r="C307" s="16">
        <f>'Rest Buybacks'!F307</f>
        <v/>
      </c>
      <c r="D307" s="16">
        <f>'Rest Buybacks'!J307</f>
        <v/>
      </c>
      <c r="E307" s="16">
        <f>'Rest Dividends'!H307</f>
        <v/>
      </c>
      <c r="F307" s="16">
        <f>'Rest Offerings'!J307</f>
        <v/>
      </c>
    </row>
    <row r="308">
      <c r="A308" s="16">
        <f>'Rest Universe'!A309</f>
        <v/>
      </c>
      <c r="B308" s="16">
        <f>'Rest Universe'!B309</f>
        <v/>
      </c>
      <c r="C308" s="16">
        <f>'Rest Buybacks'!F308</f>
        <v/>
      </c>
      <c r="D308" s="16">
        <f>'Rest Buybacks'!J308</f>
        <v/>
      </c>
      <c r="E308" s="16">
        <f>'Rest Dividends'!H308</f>
        <v/>
      </c>
      <c r="F308" s="16">
        <f>'Rest Offerings'!J308</f>
        <v/>
      </c>
    </row>
    <row r="309">
      <c r="A309" s="16">
        <f>'Rest Universe'!A310</f>
        <v/>
      </c>
      <c r="B309" s="16">
        <f>'Rest Universe'!B310</f>
        <v/>
      </c>
      <c r="C309" s="16">
        <f>'Rest Buybacks'!F309</f>
        <v/>
      </c>
      <c r="D309" s="16">
        <f>'Rest Buybacks'!J309</f>
        <v/>
      </c>
      <c r="E309" s="16">
        <f>'Rest Dividends'!H309</f>
        <v/>
      </c>
      <c r="F309" s="16">
        <f>'Rest Offerings'!J309</f>
        <v/>
      </c>
    </row>
    <row r="310">
      <c r="A310" s="16">
        <f>'Rest Universe'!A311</f>
        <v/>
      </c>
      <c r="B310" s="16">
        <f>'Rest Universe'!B311</f>
        <v/>
      </c>
      <c r="C310" s="16">
        <f>'Rest Buybacks'!F310</f>
        <v/>
      </c>
      <c r="D310" s="16">
        <f>'Rest Buybacks'!J310</f>
        <v/>
      </c>
      <c r="E310" s="16">
        <f>'Rest Dividends'!H310</f>
        <v/>
      </c>
      <c r="F310" s="16">
        <f>'Rest Offerings'!J310</f>
        <v/>
      </c>
    </row>
    <row r="311">
      <c r="A311" s="16">
        <f>'Rest Universe'!A312</f>
        <v/>
      </c>
      <c r="B311" s="16">
        <f>'Rest Universe'!B312</f>
        <v/>
      </c>
      <c r="C311" s="16">
        <f>'Rest Buybacks'!F311</f>
        <v/>
      </c>
      <c r="D311" s="16">
        <f>'Rest Buybacks'!J311</f>
        <v/>
      </c>
      <c r="E311" s="16">
        <f>'Rest Dividends'!H311</f>
        <v/>
      </c>
      <c r="F311" s="16">
        <f>'Rest Offerings'!J311</f>
        <v/>
      </c>
    </row>
    <row r="312">
      <c r="A312" s="16">
        <f>'Rest Universe'!A313</f>
        <v/>
      </c>
      <c r="B312" s="16">
        <f>'Rest Universe'!B313</f>
        <v/>
      </c>
      <c r="C312" s="16">
        <f>'Rest Buybacks'!F312</f>
        <v/>
      </c>
      <c r="D312" s="16">
        <f>'Rest Buybacks'!J312</f>
        <v/>
      </c>
      <c r="E312" s="16">
        <f>'Rest Dividends'!H312</f>
        <v/>
      </c>
      <c r="F312" s="16">
        <f>'Rest Offerings'!J312</f>
        <v/>
      </c>
    </row>
    <row r="313">
      <c r="A313" s="16">
        <f>'Rest Universe'!A314</f>
        <v/>
      </c>
      <c r="B313" s="16">
        <f>'Rest Universe'!B314</f>
        <v/>
      </c>
      <c r="C313" s="16">
        <f>'Rest Buybacks'!F313</f>
        <v/>
      </c>
      <c r="D313" s="16">
        <f>'Rest Buybacks'!J313</f>
        <v/>
      </c>
      <c r="E313" s="16">
        <f>'Rest Dividends'!H313</f>
        <v/>
      </c>
      <c r="F313" s="16">
        <f>'Rest Offerings'!J313</f>
        <v/>
      </c>
    </row>
    <row r="314">
      <c r="A314" s="16">
        <f>'Rest Universe'!A315</f>
        <v/>
      </c>
      <c r="B314" s="16">
        <f>'Rest Universe'!B315</f>
        <v/>
      </c>
      <c r="C314" s="16">
        <f>'Rest Buybacks'!F314</f>
        <v/>
      </c>
      <c r="D314" s="16">
        <f>'Rest Buybacks'!J314</f>
        <v/>
      </c>
      <c r="E314" s="16">
        <f>'Rest Dividends'!H314</f>
        <v/>
      </c>
      <c r="F314" s="16">
        <f>'Rest Offerings'!J314</f>
        <v/>
      </c>
    </row>
    <row r="315">
      <c r="A315" s="16">
        <f>'Rest Universe'!A316</f>
        <v/>
      </c>
      <c r="B315" s="16">
        <f>'Rest Universe'!B316</f>
        <v/>
      </c>
      <c r="C315" s="16">
        <f>'Rest Buybacks'!F315</f>
        <v/>
      </c>
      <c r="D315" s="16">
        <f>'Rest Buybacks'!J315</f>
        <v/>
      </c>
      <c r="E315" s="16">
        <f>'Rest Dividends'!H315</f>
        <v/>
      </c>
      <c r="F315" s="16">
        <f>'Rest Offerings'!J315</f>
        <v/>
      </c>
    </row>
    <row r="316">
      <c r="A316" s="16">
        <f>'Rest Universe'!A317</f>
        <v/>
      </c>
      <c r="B316" s="16">
        <f>'Rest Universe'!B317</f>
        <v/>
      </c>
      <c r="C316" s="16">
        <f>'Rest Buybacks'!F316</f>
        <v/>
      </c>
      <c r="D316" s="16">
        <f>'Rest Buybacks'!J316</f>
        <v/>
      </c>
      <c r="E316" s="16">
        <f>'Rest Dividends'!H316</f>
        <v/>
      </c>
      <c r="F316" s="16">
        <f>'Rest Offerings'!J316</f>
        <v/>
      </c>
    </row>
    <row r="317">
      <c r="A317" s="16">
        <f>'Rest Universe'!A318</f>
        <v/>
      </c>
      <c r="B317" s="16">
        <f>'Rest Universe'!B318</f>
        <v/>
      </c>
      <c r="C317" s="16">
        <f>'Rest Buybacks'!F317</f>
        <v/>
      </c>
      <c r="D317" s="16">
        <f>'Rest Buybacks'!J317</f>
        <v/>
      </c>
      <c r="E317" s="16">
        <f>'Rest Dividends'!H317</f>
        <v/>
      </c>
      <c r="F317" s="16">
        <f>'Rest Offerings'!J317</f>
        <v/>
      </c>
    </row>
    <row r="318">
      <c r="A318" s="16">
        <f>'Rest Universe'!A319</f>
        <v/>
      </c>
      <c r="B318" s="16">
        <f>'Rest Universe'!B319</f>
        <v/>
      </c>
      <c r="C318" s="16">
        <f>'Rest Buybacks'!F318</f>
        <v/>
      </c>
      <c r="D318" s="16">
        <f>'Rest Buybacks'!J318</f>
        <v/>
      </c>
      <c r="E318" s="16">
        <f>'Rest Dividends'!H318</f>
        <v/>
      </c>
      <c r="F318" s="16">
        <f>'Rest Offerings'!J318</f>
        <v/>
      </c>
    </row>
    <row r="319">
      <c r="A319" s="16">
        <f>'Rest Universe'!A320</f>
        <v/>
      </c>
      <c r="B319" s="16">
        <f>'Rest Universe'!B320</f>
        <v/>
      </c>
      <c r="C319" s="16">
        <f>'Rest Buybacks'!F319</f>
        <v/>
      </c>
      <c r="D319" s="16">
        <f>'Rest Buybacks'!J319</f>
        <v/>
      </c>
      <c r="E319" s="16">
        <f>'Rest Dividends'!H319</f>
        <v/>
      </c>
      <c r="F319" s="16">
        <f>'Rest Offerings'!J319</f>
        <v/>
      </c>
    </row>
    <row r="320">
      <c r="A320" s="16">
        <f>'Rest Universe'!A321</f>
        <v/>
      </c>
      <c r="B320" s="16">
        <f>'Rest Universe'!B321</f>
        <v/>
      </c>
      <c r="C320" s="16">
        <f>'Rest Buybacks'!F320</f>
        <v/>
      </c>
      <c r="D320" s="16">
        <f>'Rest Buybacks'!J320</f>
        <v/>
      </c>
      <c r="E320" s="16">
        <f>'Rest Dividends'!H320</f>
        <v/>
      </c>
      <c r="F320" s="16">
        <f>'Rest Offerings'!J320</f>
        <v/>
      </c>
    </row>
    <row r="321">
      <c r="A321" s="16">
        <f>'Rest Universe'!A322</f>
        <v/>
      </c>
      <c r="B321" s="16">
        <f>'Rest Universe'!B322</f>
        <v/>
      </c>
      <c r="C321" s="16">
        <f>'Rest Buybacks'!F321</f>
        <v/>
      </c>
      <c r="D321" s="16">
        <f>'Rest Buybacks'!J321</f>
        <v/>
      </c>
      <c r="E321" s="16">
        <f>'Rest Dividends'!H321</f>
        <v/>
      </c>
      <c r="F321" s="16">
        <f>'Rest Offerings'!J321</f>
        <v/>
      </c>
    </row>
    <row r="322">
      <c r="A322" s="16">
        <f>'Rest Universe'!A323</f>
        <v/>
      </c>
      <c r="B322" s="16">
        <f>'Rest Universe'!B323</f>
        <v/>
      </c>
      <c r="C322" s="16">
        <f>'Rest Buybacks'!F322</f>
        <v/>
      </c>
      <c r="D322" s="16">
        <f>'Rest Buybacks'!J322</f>
        <v/>
      </c>
      <c r="E322" s="16">
        <f>'Rest Dividends'!H322</f>
        <v/>
      </c>
      <c r="F322" s="16">
        <f>'Rest Offerings'!J322</f>
        <v/>
      </c>
    </row>
    <row r="323">
      <c r="A323" s="16">
        <f>'Rest Universe'!A324</f>
        <v/>
      </c>
      <c r="B323" s="16">
        <f>'Rest Universe'!B324</f>
        <v/>
      </c>
      <c r="C323" s="16">
        <f>'Rest Buybacks'!F323</f>
        <v/>
      </c>
      <c r="D323" s="16">
        <f>'Rest Buybacks'!J323</f>
        <v/>
      </c>
      <c r="E323" s="16">
        <f>'Rest Dividends'!H323</f>
        <v/>
      </c>
      <c r="F323" s="16">
        <f>'Rest Offerings'!J323</f>
        <v/>
      </c>
    </row>
    <row r="324">
      <c r="A324" s="16">
        <f>'Rest Universe'!A325</f>
        <v/>
      </c>
      <c r="B324" s="16">
        <f>'Rest Universe'!B325</f>
        <v/>
      </c>
      <c r="C324" s="16">
        <f>'Rest Buybacks'!F324</f>
        <v/>
      </c>
      <c r="D324" s="16">
        <f>'Rest Buybacks'!J324</f>
        <v/>
      </c>
      <c r="E324" s="16">
        <f>'Rest Dividends'!H324</f>
        <v/>
      </c>
      <c r="F324" s="16">
        <f>'Rest Offerings'!J324</f>
        <v/>
      </c>
    </row>
    <row r="325">
      <c r="A325" s="16">
        <f>'Rest Universe'!A326</f>
        <v/>
      </c>
      <c r="B325" s="16">
        <f>'Rest Universe'!B326</f>
        <v/>
      </c>
      <c r="C325" s="16">
        <f>'Rest Buybacks'!F325</f>
        <v/>
      </c>
      <c r="D325" s="16">
        <f>'Rest Buybacks'!J325</f>
        <v/>
      </c>
      <c r="E325" s="16">
        <f>'Rest Dividends'!H325</f>
        <v/>
      </c>
      <c r="F325" s="16">
        <f>'Rest Offerings'!J325</f>
        <v/>
      </c>
    </row>
    <row r="326">
      <c r="A326" s="16">
        <f>'Rest Universe'!A327</f>
        <v/>
      </c>
      <c r="B326" s="16">
        <f>'Rest Universe'!B327</f>
        <v/>
      </c>
      <c r="C326" s="16">
        <f>'Rest Buybacks'!F326</f>
        <v/>
      </c>
      <c r="D326" s="16">
        <f>'Rest Buybacks'!J326</f>
        <v/>
      </c>
      <c r="E326" s="16">
        <f>'Rest Dividends'!H326</f>
        <v/>
      </c>
      <c r="F326" s="16">
        <f>'Rest Offerings'!J326</f>
        <v/>
      </c>
    </row>
    <row r="327">
      <c r="A327" s="16">
        <f>'Rest Universe'!A328</f>
        <v/>
      </c>
      <c r="B327" s="16">
        <f>'Rest Universe'!B328</f>
        <v/>
      </c>
      <c r="C327" s="16">
        <f>'Rest Buybacks'!F327</f>
        <v/>
      </c>
      <c r="D327" s="16">
        <f>'Rest Buybacks'!J327</f>
        <v/>
      </c>
      <c r="E327" s="16">
        <f>'Rest Dividends'!H327</f>
        <v/>
      </c>
      <c r="F327" s="16">
        <f>'Rest Offerings'!J327</f>
        <v/>
      </c>
    </row>
    <row r="328">
      <c r="A328" s="16">
        <f>'Rest Universe'!A329</f>
        <v/>
      </c>
      <c r="B328" s="16">
        <f>'Rest Universe'!B329</f>
        <v/>
      </c>
      <c r="C328" s="16">
        <f>'Rest Buybacks'!F328</f>
        <v/>
      </c>
      <c r="D328" s="16">
        <f>'Rest Buybacks'!J328</f>
        <v/>
      </c>
      <c r="E328" s="16">
        <f>'Rest Dividends'!H328</f>
        <v/>
      </c>
      <c r="F328" s="16">
        <f>'Rest Offerings'!J328</f>
        <v/>
      </c>
    </row>
    <row r="329">
      <c r="A329" s="16">
        <f>'Rest Universe'!A330</f>
        <v/>
      </c>
      <c r="B329" s="16">
        <f>'Rest Universe'!B330</f>
        <v/>
      </c>
      <c r="C329" s="16">
        <f>'Rest Buybacks'!F329</f>
        <v/>
      </c>
      <c r="D329" s="16">
        <f>'Rest Buybacks'!J329</f>
        <v/>
      </c>
      <c r="E329" s="16">
        <f>'Rest Dividends'!H329</f>
        <v/>
      </c>
      <c r="F329" s="16">
        <f>'Rest Offerings'!J329</f>
        <v/>
      </c>
    </row>
    <row r="330">
      <c r="A330" s="16">
        <f>'Rest Universe'!A331</f>
        <v/>
      </c>
      <c r="B330" s="16">
        <f>'Rest Universe'!B331</f>
        <v/>
      </c>
      <c r="C330" s="16">
        <f>'Rest Buybacks'!F330</f>
        <v/>
      </c>
      <c r="D330" s="16">
        <f>'Rest Buybacks'!J330</f>
        <v/>
      </c>
      <c r="E330" s="16">
        <f>'Rest Dividends'!H330</f>
        <v/>
      </c>
      <c r="F330" s="16">
        <f>'Rest Offerings'!J330</f>
        <v/>
      </c>
    </row>
    <row r="331">
      <c r="A331" s="16">
        <f>'Rest Universe'!A332</f>
        <v/>
      </c>
      <c r="B331" s="16">
        <f>'Rest Universe'!B332</f>
        <v/>
      </c>
      <c r="C331" s="16">
        <f>'Rest Buybacks'!F331</f>
        <v/>
      </c>
      <c r="D331" s="16">
        <f>'Rest Buybacks'!J331</f>
        <v/>
      </c>
      <c r="E331" s="16">
        <f>'Rest Dividends'!H331</f>
        <v/>
      </c>
      <c r="F331" s="16">
        <f>'Rest Offerings'!J331</f>
        <v/>
      </c>
    </row>
    <row r="332">
      <c r="A332" s="16">
        <f>'Rest Universe'!A333</f>
        <v/>
      </c>
      <c r="B332" s="16">
        <f>'Rest Universe'!B333</f>
        <v/>
      </c>
      <c r="C332" s="16">
        <f>'Rest Buybacks'!F332</f>
        <v/>
      </c>
      <c r="D332" s="16">
        <f>'Rest Buybacks'!J332</f>
        <v/>
      </c>
      <c r="E332" s="16">
        <f>'Rest Dividends'!H332</f>
        <v/>
      </c>
      <c r="F332" s="16">
        <f>'Rest Offerings'!J332</f>
        <v/>
      </c>
    </row>
    <row r="333">
      <c r="A333" s="16">
        <f>'Rest Universe'!A334</f>
        <v/>
      </c>
      <c r="B333" s="16">
        <f>'Rest Universe'!B334</f>
        <v/>
      </c>
      <c r="C333" s="16">
        <f>'Rest Buybacks'!F333</f>
        <v/>
      </c>
      <c r="D333" s="16">
        <f>'Rest Buybacks'!J333</f>
        <v/>
      </c>
      <c r="E333" s="16">
        <f>'Rest Dividends'!H333</f>
        <v/>
      </c>
      <c r="F333" s="16">
        <f>'Rest Offerings'!J333</f>
        <v/>
      </c>
    </row>
    <row r="334">
      <c r="A334" s="16">
        <f>'Rest Universe'!A335</f>
        <v/>
      </c>
      <c r="B334" s="16">
        <f>'Rest Universe'!B335</f>
        <v/>
      </c>
      <c r="C334" s="16">
        <f>'Rest Buybacks'!F334</f>
        <v/>
      </c>
      <c r="D334" s="16">
        <f>'Rest Buybacks'!J334</f>
        <v/>
      </c>
      <c r="E334" s="16">
        <f>'Rest Dividends'!H334</f>
        <v/>
      </c>
      <c r="F334" s="16">
        <f>'Rest Offerings'!J334</f>
        <v/>
      </c>
    </row>
    <row r="335">
      <c r="A335" s="16">
        <f>'Rest Universe'!A336</f>
        <v/>
      </c>
      <c r="B335" s="16">
        <f>'Rest Universe'!B336</f>
        <v/>
      </c>
      <c r="C335" s="16">
        <f>'Rest Buybacks'!F335</f>
        <v/>
      </c>
      <c r="D335" s="16">
        <f>'Rest Buybacks'!J335</f>
        <v/>
      </c>
      <c r="E335" s="16">
        <f>'Rest Dividends'!H335</f>
        <v/>
      </c>
      <c r="F335" s="16">
        <f>'Rest Offerings'!J335</f>
        <v/>
      </c>
    </row>
    <row r="336">
      <c r="A336" s="16">
        <f>'Rest Universe'!A337</f>
        <v/>
      </c>
      <c r="B336" s="16">
        <f>'Rest Universe'!B337</f>
        <v/>
      </c>
      <c r="C336" s="16">
        <f>'Rest Buybacks'!F336</f>
        <v/>
      </c>
      <c r="D336" s="16">
        <f>'Rest Buybacks'!J336</f>
        <v/>
      </c>
      <c r="E336" s="16">
        <f>'Rest Dividends'!H336</f>
        <v/>
      </c>
      <c r="F336" s="16">
        <f>'Rest Offerings'!J336</f>
        <v/>
      </c>
    </row>
    <row r="337">
      <c r="A337" s="16">
        <f>'Rest Universe'!A338</f>
        <v/>
      </c>
      <c r="B337" s="16">
        <f>'Rest Universe'!B338</f>
        <v/>
      </c>
      <c r="C337" s="16">
        <f>'Rest Buybacks'!F337</f>
        <v/>
      </c>
      <c r="D337" s="16">
        <f>'Rest Buybacks'!J337</f>
        <v/>
      </c>
      <c r="E337" s="16">
        <f>'Rest Dividends'!H337</f>
        <v/>
      </c>
      <c r="F337" s="16">
        <f>'Rest Offerings'!J337</f>
        <v/>
      </c>
    </row>
    <row r="338">
      <c r="A338" s="16">
        <f>'Rest Universe'!A339</f>
        <v/>
      </c>
      <c r="B338" s="16">
        <f>'Rest Universe'!B339</f>
        <v/>
      </c>
      <c r="C338" s="16">
        <f>'Rest Buybacks'!F338</f>
        <v/>
      </c>
      <c r="D338" s="16">
        <f>'Rest Buybacks'!J338</f>
        <v/>
      </c>
      <c r="E338" s="16">
        <f>'Rest Dividends'!H338</f>
        <v/>
      </c>
      <c r="F338" s="16">
        <f>'Rest Offerings'!J338</f>
        <v/>
      </c>
    </row>
    <row r="339">
      <c r="A339" s="16">
        <f>'Rest Universe'!A340</f>
        <v/>
      </c>
      <c r="B339" s="16">
        <f>'Rest Universe'!B340</f>
        <v/>
      </c>
      <c r="C339" s="16">
        <f>'Rest Buybacks'!F339</f>
        <v/>
      </c>
      <c r="D339" s="16">
        <f>'Rest Buybacks'!J339</f>
        <v/>
      </c>
      <c r="E339" s="16">
        <f>'Rest Dividends'!H339</f>
        <v/>
      </c>
      <c r="F339" s="16">
        <f>'Rest Offerings'!J339</f>
        <v/>
      </c>
    </row>
    <row r="340">
      <c r="A340" s="16">
        <f>'Rest Universe'!A341</f>
        <v/>
      </c>
      <c r="B340" s="16">
        <f>'Rest Universe'!B341</f>
        <v/>
      </c>
      <c r="C340" s="16">
        <f>'Rest Buybacks'!F340</f>
        <v/>
      </c>
      <c r="D340" s="16">
        <f>'Rest Buybacks'!J340</f>
        <v/>
      </c>
      <c r="E340" s="16">
        <f>'Rest Dividends'!H340</f>
        <v/>
      </c>
      <c r="F340" s="16">
        <f>'Rest Offerings'!J340</f>
        <v/>
      </c>
    </row>
    <row r="341">
      <c r="A341" s="16">
        <f>'Rest Universe'!A342</f>
        <v/>
      </c>
      <c r="B341" s="16">
        <f>'Rest Universe'!B342</f>
        <v/>
      </c>
      <c r="C341" s="16">
        <f>'Rest Buybacks'!F341</f>
        <v/>
      </c>
      <c r="D341" s="16">
        <f>'Rest Buybacks'!J341</f>
        <v/>
      </c>
      <c r="E341" s="16">
        <f>'Rest Dividends'!H341</f>
        <v/>
      </c>
      <c r="F341" s="16">
        <f>'Rest Offerings'!J341</f>
        <v/>
      </c>
    </row>
    <row r="342">
      <c r="A342" s="16">
        <f>'Rest Universe'!A343</f>
        <v/>
      </c>
      <c r="B342" s="16">
        <f>'Rest Universe'!B343</f>
        <v/>
      </c>
      <c r="C342" s="16">
        <f>'Rest Buybacks'!F342</f>
        <v/>
      </c>
      <c r="D342" s="16">
        <f>'Rest Buybacks'!J342</f>
        <v/>
      </c>
      <c r="E342" s="16">
        <f>'Rest Dividends'!H342</f>
        <v/>
      </c>
      <c r="F342" s="16">
        <f>'Rest Offerings'!J342</f>
        <v/>
      </c>
    </row>
    <row r="343">
      <c r="A343" s="16">
        <f>'Rest Universe'!A344</f>
        <v/>
      </c>
      <c r="B343" s="16">
        <f>'Rest Universe'!B344</f>
        <v/>
      </c>
      <c r="C343" s="16">
        <f>'Rest Buybacks'!F343</f>
        <v/>
      </c>
      <c r="D343" s="16">
        <f>'Rest Buybacks'!J343</f>
        <v/>
      </c>
      <c r="E343" s="16">
        <f>'Rest Dividends'!H343</f>
        <v/>
      </c>
      <c r="F343" s="16">
        <f>'Rest Offerings'!J343</f>
        <v/>
      </c>
    </row>
    <row r="344">
      <c r="A344" s="16">
        <f>'Rest Universe'!A345</f>
        <v/>
      </c>
      <c r="B344" s="16">
        <f>'Rest Universe'!B345</f>
        <v/>
      </c>
      <c r="C344" s="16">
        <f>'Rest Buybacks'!F344</f>
        <v/>
      </c>
      <c r="D344" s="16">
        <f>'Rest Buybacks'!J344</f>
        <v/>
      </c>
      <c r="E344" s="16">
        <f>'Rest Dividends'!H344</f>
        <v/>
      </c>
      <c r="F344" s="16">
        <f>'Rest Offerings'!J344</f>
        <v/>
      </c>
    </row>
    <row r="345">
      <c r="A345" s="16">
        <f>'Rest Universe'!A346</f>
        <v/>
      </c>
      <c r="B345" s="16">
        <f>'Rest Universe'!B346</f>
        <v/>
      </c>
      <c r="C345" s="16">
        <f>'Rest Buybacks'!F345</f>
        <v/>
      </c>
      <c r="D345" s="16">
        <f>'Rest Buybacks'!J345</f>
        <v/>
      </c>
      <c r="E345" s="16">
        <f>'Rest Dividends'!H345</f>
        <v/>
      </c>
      <c r="F345" s="16">
        <f>'Rest Offerings'!J345</f>
        <v/>
      </c>
    </row>
    <row r="346">
      <c r="A346" s="16">
        <f>'Rest Universe'!A347</f>
        <v/>
      </c>
      <c r="B346" s="16">
        <f>'Rest Universe'!B347</f>
        <v/>
      </c>
      <c r="C346" s="16">
        <f>'Rest Buybacks'!F346</f>
        <v/>
      </c>
      <c r="D346" s="16">
        <f>'Rest Buybacks'!J346</f>
        <v/>
      </c>
      <c r="E346" s="16">
        <f>'Rest Dividends'!H346</f>
        <v/>
      </c>
      <c r="F346" s="16">
        <f>'Rest Offerings'!J346</f>
        <v/>
      </c>
    </row>
    <row r="347">
      <c r="A347" s="16">
        <f>'Rest Universe'!A348</f>
        <v/>
      </c>
      <c r="B347" s="16">
        <f>'Rest Universe'!B348</f>
        <v/>
      </c>
      <c r="C347" s="16">
        <f>'Rest Buybacks'!F347</f>
        <v/>
      </c>
      <c r="D347" s="16">
        <f>'Rest Buybacks'!J347</f>
        <v/>
      </c>
      <c r="E347" s="16">
        <f>'Rest Dividends'!H347</f>
        <v/>
      </c>
      <c r="F347" s="16">
        <f>'Rest Offerings'!J347</f>
        <v/>
      </c>
    </row>
    <row r="348">
      <c r="A348" s="16">
        <f>'Rest Universe'!A349</f>
        <v/>
      </c>
      <c r="B348" s="16">
        <f>'Rest Universe'!B349</f>
        <v/>
      </c>
      <c r="C348" s="16">
        <f>'Rest Buybacks'!F348</f>
        <v/>
      </c>
      <c r="D348" s="16">
        <f>'Rest Buybacks'!J348</f>
        <v/>
      </c>
      <c r="E348" s="16">
        <f>'Rest Dividends'!H348</f>
        <v/>
      </c>
      <c r="F348" s="16">
        <f>'Rest Offerings'!J348</f>
        <v/>
      </c>
    </row>
    <row r="349">
      <c r="A349" s="16">
        <f>'Rest Universe'!A350</f>
        <v/>
      </c>
      <c r="B349" s="16">
        <f>'Rest Universe'!B350</f>
        <v/>
      </c>
      <c r="C349" s="16">
        <f>'Rest Buybacks'!F349</f>
        <v/>
      </c>
      <c r="D349" s="16">
        <f>'Rest Buybacks'!J349</f>
        <v/>
      </c>
      <c r="E349" s="16">
        <f>'Rest Dividends'!H349</f>
        <v/>
      </c>
      <c r="F349" s="16">
        <f>'Rest Offerings'!J349</f>
        <v/>
      </c>
    </row>
    <row r="350">
      <c r="A350" s="16">
        <f>'Rest Universe'!A351</f>
        <v/>
      </c>
      <c r="B350" s="16">
        <f>'Rest Universe'!B351</f>
        <v/>
      </c>
      <c r="C350" s="16">
        <f>'Rest Buybacks'!F350</f>
        <v/>
      </c>
      <c r="D350" s="16">
        <f>'Rest Buybacks'!J350</f>
        <v/>
      </c>
      <c r="E350" s="16">
        <f>'Rest Dividends'!H350</f>
        <v/>
      </c>
      <c r="F350" s="16">
        <f>'Rest Offerings'!J350</f>
        <v/>
      </c>
    </row>
    <row r="351">
      <c r="A351" s="16">
        <f>'Rest Universe'!A352</f>
        <v/>
      </c>
      <c r="B351" s="16">
        <f>'Rest Universe'!B352</f>
        <v/>
      </c>
      <c r="C351" s="16">
        <f>'Rest Buybacks'!F351</f>
        <v/>
      </c>
      <c r="D351" s="16">
        <f>'Rest Buybacks'!J351</f>
        <v/>
      </c>
      <c r="E351" s="16">
        <f>'Rest Dividends'!H351</f>
        <v/>
      </c>
      <c r="F351" s="16">
        <f>'Rest Offerings'!J351</f>
        <v/>
      </c>
    </row>
    <row r="352">
      <c r="A352" s="16">
        <f>'Rest Universe'!A353</f>
        <v/>
      </c>
      <c r="B352" s="16">
        <f>'Rest Universe'!B353</f>
        <v/>
      </c>
      <c r="C352" s="16">
        <f>'Rest Buybacks'!F352</f>
        <v/>
      </c>
      <c r="D352" s="16">
        <f>'Rest Buybacks'!J352</f>
        <v/>
      </c>
      <c r="E352" s="16">
        <f>'Rest Dividends'!H352</f>
        <v/>
      </c>
      <c r="F352" s="16">
        <f>'Rest Offerings'!J352</f>
        <v/>
      </c>
    </row>
    <row r="353">
      <c r="A353" s="16">
        <f>'Rest Universe'!A354</f>
        <v/>
      </c>
      <c r="B353" s="16">
        <f>'Rest Universe'!B354</f>
        <v/>
      </c>
      <c r="C353" s="16">
        <f>'Rest Buybacks'!F353</f>
        <v/>
      </c>
      <c r="D353" s="16">
        <f>'Rest Buybacks'!J353</f>
        <v/>
      </c>
      <c r="E353" s="16">
        <f>'Rest Dividends'!H353</f>
        <v/>
      </c>
      <c r="F353" s="16">
        <f>'Rest Offerings'!J353</f>
        <v/>
      </c>
    </row>
    <row r="354">
      <c r="A354" s="16">
        <f>'Rest Universe'!A355</f>
        <v/>
      </c>
      <c r="B354" s="16">
        <f>'Rest Universe'!B355</f>
        <v/>
      </c>
      <c r="C354" s="16">
        <f>'Rest Buybacks'!F354</f>
        <v/>
      </c>
      <c r="D354" s="16">
        <f>'Rest Buybacks'!J354</f>
        <v/>
      </c>
      <c r="E354" s="16">
        <f>'Rest Dividends'!H354</f>
        <v/>
      </c>
      <c r="F354" s="16">
        <f>'Rest Offerings'!J354</f>
        <v/>
      </c>
    </row>
    <row r="355">
      <c r="A355" s="16">
        <f>'Rest Universe'!A356</f>
        <v/>
      </c>
      <c r="B355" s="16">
        <f>'Rest Universe'!B356</f>
        <v/>
      </c>
      <c r="C355" s="16">
        <f>'Rest Buybacks'!F355</f>
        <v/>
      </c>
      <c r="D355" s="16">
        <f>'Rest Buybacks'!J355</f>
        <v/>
      </c>
      <c r="E355" s="16">
        <f>'Rest Dividends'!H355</f>
        <v/>
      </c>
      <c r="F355" s="16">
        <f>'Rest Offerings'!J355</f>
        <v/>
      </c>
    </row>
    <row r="356">
      <c r="A356" s="16">
        <f>'Rest Universe'!A357</f>
        <v/>
      </c>
      <c r="B356" s="16">
        <f>'Rest Universe'!B357</f>
        <v/>
      </c>
      <c r="C356" s="16">
        <f>'Rest Buybacks'!F356</f>
        <v/>
      </c>
      <c r="D356" s="16">
        <f>'Rest Buybacks'!J356</f>
        <v/>
      </c>
      <c r="E356" s="16">
        <f>'Rest Dividends'!H356</f>
        <v/>
      </c>
      <c r="F356" s="16">
        <f>'Rest Offerings'!J356</f>
        <v/>
      </c>
    </row>
    <row r="357">
      <c r="A357" s="16">
        <f>'Rest Universe'!A358</f>
        <v/>
      </c>
      <c r="B357" s="16">
        <f>'Rest Universe'!B358</f>
        <v/>
      </c>
      <c r="C357" s="16">
        <f>'Rest Buybacks'!F357</f>
        <v/>
      </c>
      <c r="D357" s="16">
        <f>'Rest Buybacks'!J357</f>
        <v/>
      </c>
      <c r="E357" s="16">
        <f>'Rest Dividends'!H357</f>
        <v/>
      </c>
      <c r="F357" s="16">
        <f>'Rest Offerings'!J357</f>
        <v/>
      </c>
    </row>
    <row r="358">
      <c r="A358" s="16">
        <f>'Rest Universe'!A359</f>
        <v/>
      </c>
      <c r="B358" s="16">
        <f>'Rest Universe'!B359</f>
        <v/>
      </c>
      <c r="C358" s="16">
        <f>'Rest Buybacks'!F358</f>
        <v/>
      </c>
      <c r="D358" s="16">
        <f>'Rest Buybacks'!J358</f>
        <v/>
      </c>
      <c r="E358" s="16">
        <f>'Rest Dividends'!H358</f>
        <v/>
      </c>
      <c r="F358" s="16">
        <f>'Rest Offerings'!J358</f>
        <v/>
      </c>
    </row>
    <row r="359">
      <c r="A359" s="16">
        <f>'Rest Universe'!A360</f>
        <v/>
      </c>
      <c r="B359" s="16">
        <f>'Rest Universe'!B360</f>
        <v/>
      </c>
      <c r="C359" s="16">
        <f>'Rest Buybacks'!F359</f>
        <v/>
      </c>
      <c r="D359" s="16">
        <f>'Rest Buybacks'!J359</f>
        <v/>
      </c>
      <c r="E359" s="16">
        <f>'Rest Dividends'!H359</f>
        <v/>
      </c>
      <c r="F359" s="16">
        <f>'Rest Offerings'!J359</f>
        <v/>
      </c>
    </row>
    <row r="360">
      <c r="A360" s="16">
        <f>'Rest Universe'!A361</f>
        <v/>
      </c>
      <c r="B360" s="16">
        <f>'Rest Universe'!B361</f>
        <v/>
      </c>
      <c r="C360" s="16">
        <f>'Rest Buybacks'!F360</f>
        <v/>
      </c>
      <c r="D360" s="16">
        <f>'Rest Buybacks'!J360</f>
        <v/>
      </c>
      <c r="E360" s="16">
        <f>'Rest Dividends'!H360</f>
        <v/>
      </c>
      <c r="F360" s="16">
        <f>'Rest Offerings'!J360</f>
        <v/>
      </c>
    </row>
    <row r="361">
      <c r="A361" s="16">
        <f>'Rest Universe'!A362</f>
        <v/>
      </c>
      <c r="B361" s="16">
        <f>'Rest Universe'!B362</f>
        <v/>
      </c>
      <c r="C361" s="16">
        <f>'Rest Buybacks'!F361</f>
        <v/>
      </c>
      <c r="D361" s="16">
        <f>'Rest Buybacks'!J361</f>
        <v/>
      </c>
      <c r="E361" s="16">
        <f>'Rest Dividends'!H361</f>
        <v/>
      </c>
      <c r="F361" s="16">
        <f>'Rest Offerings'!J361</f>
        <v/>
      </c>
    </row>
    <row r="362">
      <c r="A362" s="16">
        <f>'Rest Universe'!A363</f>
        <v/>
      </c>
      <c r="B362" s="16">
        <f>'Rest Universe'!B363</f>
        <v/>
      </c>
      <c r="C362" s="16">
        <f>'Rest Buybacks'!F362</f>
        <v/>
      </c>
      <c r="D362" s="16">
        <f>'Rest Buybacks'!J362</f>
        <v/>
      </c>
      <c r="E362" s="16">
        <f>'Rest Dividends'!H362</f>
        <v/>
      </c>
      <c r="F362" s="16">
        <f>'Rest Offerings'!J362</f>
        <v/>
      </c>
    </row>
    <row r="363">
      <c r="A363" s="16">
        <f>'Rest Universe'!A364</f>
        <v/>
      </c>
      <c r="B363" s="16">
        <f>'Rest Universe'!B364</f>
        <v/>
      </c>
      <c r="C363" s="16">
        <f>'Rest Buybacks'!F363</f>
        <v/>
      </c>
      <c r="D363" s="16">
        <f>'Rest Buybacks'!J363</f>
        <v/>
      </c>
      <c r="E363" s="16">
        <f>'Rest Dividends'!H363</f>
        <v/>
      </c>
      <c r="F363" s="16">
        <f>'Rest Offerings'!J363</f>
        <v/>
      </c>
    </row>
    <row r="364">
      <c r="A364" s="16">
        <f>'Rest Universe'!A365</f>
        <v/>
      </c>
      <c r="B364" s="16">
        <f>'Rest Universe'!B365</f>
        <v/>
      </c>
      <c r="C364" s="16">
        <f>'Rest Buybacks'!F364</f>
        <v/>
      </c>
      <c r="D364" s="16">
        <f>'Rest Buybacks'!J364</f>
        <v/>
      </c>
      <c r="E364" s="16">
        <f>'Rest Dividends'!H364</f>
        <v/>
      </c>
      <c r="F364" s="16">
        <f>'Rest Offerings'!J364</f>
        <v/>
      </c>
    </row>
    <row r="365">
      <c r="A365" s="16">
        <f>'Rest Universe'!A366</f>
        <v/>
      </c>
      <c r="B365" s="16">
        <f>'Rest Universe'!B366</f>
        <v/>
      </c>
      <c r="C365" s="16">
        <f>'Rest Buybacks'!F365</f>
        <v/>
      </c>
      <c r="D365" s="16">
        <f>'Rest Buybacks'!J365</f>
        <v/>
      </c>
      <c r="E365" s="16">
        <f>'Rest Dividends'!H365</f>
        <v/>
      </c>
      <c r="F365" s="16">
        <f>'Rest Offerings'!J365</f>
        <v/>
      </c>
    </row>
    <row r="366">
      <c r="A366" s="16">
        <f>'Rest Universe'!A367</f>
        <v/>
      </c>
      <c r="B366" s="16">
        <f>'Rest Universe'!B367</f>
        <v/>
      </c>
      <c r="C366" s="16">
        <f>'Rest Buybacks'!F366</f>
        <v/>
      </c>
      <c r="D366" s="16">
        <f>'Rest Buybacks'!J366</f>
        <v/>
      </c>
      <c r="E366" s="16">
        <f>'Rest Dividends'!H366</f>
        <v/>
      </c>
      <c r="F366" s="16">
        <f>'Rest Offerings'!J366</f>
        <v/>
      </c>
    </row>
    <row r="367">
      <c r="A367" s="16">
        <f>'Rest Universe'!A368</f>
        <v/>
      </c>
      <c r="B367" s="16">
        <f>'Rest Universe'!B368</f>
        <v/>
      </c>
      <c r="C367" s="16">
        <f>'Rest Buybacks'!F367</f>
        <v/>
      </c>
      <c r="D367" s="16">
        <f>'Rest Buybacks'!J367</f>
        <v/>
      </c>
      <c r="E367" s="16">
        <f>'Rest Dividends'!H367</f>
        <v/>
      </c>
      <c r="F367" s="16">
        <f>'Rest Offerings'!J367</f>
        <v/>
      </c>
    </row>
    <row r="368">
      <c r="A368" s="16">
        <f>'Rest Universe'!A369</f>
        <v/>
      </c>
      <c r="B368" s="16">
        <f>'Rest Universe'!B369</f>
        <v/>
      </c>
      <c r="C368" s="16">
        <f>'Rest Buybacks'!F368</f>
        <v/>
      </c>
      <c r="D368" s="16">
        <f>'Rest Buybacks'!J368</f>
        <v/>
      </c>
      <c r="E368" s="16">
        <f>'Rest Dividends'!H368</f>
        <v/>
      </c>
      <c r="F368" s="16">
        <f>'Rest Offerings'!J368</f>
        <v/>
      </c>
    </row>
    <row r="369">
      <c r="A369" s="16">
        <f>'Rest Universe'!A370</f>
        <v/>
      </c>
      <c r="B369" s="16">
        <f>'Rest Universe'!B370</f>
        <v/>
      </c>
      <c r="C369" s="16">
        <f>'Rest Buybacks'!F369</f>
        <v/>
      </c>
      <c r="D369" s="16">
        <f>'Rest Buybacks'!J369</f>
        <v/>
      </c>
      <c r="E369" s="16">
        <f>'Rest Dividends'!H369</f>
        <v/>
      </c>
      <c r="F369" s="16">
        <f>'Rest Offerings'!J369</f>
        <v/>
      </c>
    </row>
    <row r="370">
      <c r="A370" s="16">
        <f>'Rest Universe'!A371</f>
        <v/>
      </c>
      <c r="B370" s="16">
        <f>'Rest Universe'!B371</f>
        <v/>
      </c>
      <c r="C370" s="16">
        <f>'Rest Buybacks'!F370</f>
        <v/>
      </c>
      <c r="D370" s="16">
        <f>'Rest Buybacks'!J370</f>
        <v/>
      </c>
      <c r="E370" s="16">
        <f>'Rest Dividends'!H370</f>
        <v/>
      </c>
      <c r="F370" s="16">
        <f>'Rest Offerings'!J370</f>
        <v/>
      </c>
    </row>
    <row r="371">
      <c r="A371" s="16">
        <f>'Rest Universe'!A372</f>
        <v/>
      </c>
      <c r="B371" s="16">
        <f>'Rest Universe'!B372</f>
        <v/>
      </c>
      <c r="C371" s="16">
        <f>'Rest Buybacks'!F371</f>
        <v/>
      </c>
      <c r="D371" s="16">
        <f>'Rest Buybacks'!J371</f>
        <v/>
      </c>
      <c r="E371" s="16">
        <f>'Rest Dividends'!H371</f>
        <v/>
      </c>
      <c r="F371" s="16">
        <f>'Rest Offerings'!J371</f>
        <v/>
      </c>
    </row>
    <row r="372">
      <c r="A372" s="16">
        <f>'Rest Universe'!A373</f>
        <v/>
      </c>
      <c r="B372" s="16">
        <f>'Rest Universe'!B373</f>
        <v/>
      </c>
      <c r="C372" s="16">
        <f>'Rest Buybacks'!F372</f>
        <v/>
      </c>
      <c r="D372" s="16">
        <f>'Rest Buybacks'!J372</f>
        <v/>
      </c>
      <c r="E372" s="16">
        <f>'Rest Dividends'!H372</f>
        <v/>
      </c>
      <c r="F372" s="16">
        <f>'Rest Offerings'!J372</f>
        <v/>
      </c>
    </row>
    <row r="373">
      <c r="A373" s="16">
        <f>'Rest Universe'!A374</f>
        <v/>
      </c>
      <c r="B373" s="16">
        <f>'Rest Universe'!B374</f>
        <v/>
      </c>
      <c r="C373" s="16">
        <f>'Rest Buybacks'!F373</f>
        <v/>
      </c>
      <c r="D373" s="16">
        <f>'Rest Buybacks'!J373</f>
        <v/>
      </c>
      <c r="E373" s="16">
        <f>'Rest Dividends'!H373</f>
        <v/>
      </c>
      <c r="F373" s="16">
        <f>'Rest Offerings'!J373</f>
        <v/>
      </c>
    </row>
    <row r="374">
      <c r="A374" s="16">
        <f>'Rest Universe'!A375</f>
        <v/>
      </c>
      <c r="B374" s="16">
        <f>'Rest Universe'!B375</f>
        <v/>
      </c>
      <c r="C374" s="16">
        <f>'Rest Buybacks'!F374</f>
        <v/>
      </c>
      <c r="D374" s="16">
        <f>'Rest Buybacks'!J374</f>
        <v/>
      </c>
      <c r="E374" s="16">
        <f>'Rest Dividends'!H374</f>
        <v/>
      </c>
      <c r="F374" s="16">
        <f>'Rest Offerings'!J374</f>
        <v/>
      </c>
    </row>
    <row r="375">
      <c r="A375" s="16">
        <f>'Rest Universe'!A376</f>
        <v/>
      </c>
      <c r="B375" s="16">
        <f>'Rest Universe'!B376</f>
        <v/>
      </c>
      <c r="C375" s="16">
        <f>'Rest Buybacks'!F375</f>
        <v/>
      </c>
      <c r="D375" s="16">
        <f>'Rest Buybacks'!J375</f>
        <v/>
      </c>
      <c r="E375" s="16">
        <f>'Rest Dividends'!H375</f>
        <v/>
      </c>
      <c r="F375" s="16">
        <f>'Rest Offerings'!J375</f>
        <v/>
      </c>
    </row>
    <row r="376">
      <c r="A376" s="16">
        <f>'Rest Universe'!A377</f>
        <v/>
      </c>
      <c r="B376" s="16">
        <f>'Rest Universe'!B377</f>
        <v/>
      </c>
      <c r="C376" s="16">
        <f>'Rest Buybacks'!F376</f>
        <v/>
      </c>
      <c r="D376" s="16">
        <f>'Rest Buybacks'!J376</f>
        <v/>
      </c>
      <c r="E376" s="16">
        <f>'Rest Dividends'!H376</f>
        <v/>
      </c>
      <c r="F376" s="16">
        <f>'Rest Offerings'!J376</f>
        <v/>
      </c>
    </row>
    <row r="377">
      <c r="A377" s="16">
        <f>'Rest Universe'!A378</f>
        <v/>
      </c>
      <c r="B377" s="16">
        <f>'Rest Universe'!B378</f>
        <v/>
      </c>
      <c r="C377" s="16">
        <f>'Rest Buybacks'!F377</f>
        <v/>
      </c>
      <c r="D377" s="16">
        <f>'Rest Buybacks'!J377</f>
        <v/>
      </c>
      <c r="E377" s="16">
        <f>'Rest Dividends'!H377</f>
        <v/>
      </c>
      <c r="F377" s="16">
        <f>'Rest Offerings'!J377</f>
        <v/>
      </c>
    </row>
    <row r="378">
      <c r="A378" s="16">
        <f>'Rest Universe'!A379</f>
        <v/>
      </c>
      <c r="B378" s="16">
        <f>'Rest Universe'!B379</f>
        <v/>
      </c>
      <c r="C378" s="16">
        <f>'Rest Buybacks'!F378</f>
        <v/>
      </c>
      <c r="D378" s="16">
        <f>'Rest Buybacks'!J378</f>
        <v/>
      </c>
      <c r="E378" s="16">
        <f>'Rest Dividends'!H378</f>
        <v/>
      </c>
      <c r="F378" s="16">
        <f>'Rest Offerings'!J378</f>
        <v/>
      </c>
    </row>
    <row r="379">
      <c r="A379" s="16">
        <f>'Rest Universe'!A380</f>
        <v/>
      </c>
      <c r="B379" s="16">
        <f>'Rest Universe'!B380</f>
        <v/>
      </c>
      <c r="C379" s="16">
        <f>'Rest Buybacks'!F379</f>
        <v/>
      </c>
      <c r="D379" s="16">
        <f>'Rest Buybacks'!J379</f>
        <v/>
      </c>
      <c r="E379" s="16">
        <f>'Rest Dividends'!H379</f>
        <v/>
      </c>
      <c r="F379" s="16">
        <f>'Rest Offerings'!J379</f>
        <v/>
      </c>
    </row>
    <row r="380">
      <c r="A380" s="16">
        <f>'Rest Universe'!A381</f>
        <v/>
      </c>
      <c r="B380" s="16">
        <f>'Rest Universe'!B381</f>
        <v/>
      </c>
      <c r="C380" s="16">
        <f>'Rest Buybacks'!F380</f>
        <v/>
      </c>
      <c r="D380" s="16">
        <f>'Rest Buybacks'!J380</f>
        <v/>
      </c>
      <c r="E380" s="16">
        <f>'Rest Dividends'!H380</f>
        <v/>
      </c>
      <c r="F380" s="16">
        <f>'Rest Offerings'!J380</f>
        <v/>
      </c>
    </row>
    <row r="381">
      <c r="A381" s="16">
        <f>'Rest Universe'!A382</f>
        <v/>
      </c>
      <c r="B381" s="16">
        <f>'Rest Universe'!B382</f>
        <v/>
      </c>
      <c r="C381" s="16">
        <f>'Rest Buybacks'!F381</f>
        <v/>
      </c>
      <c r="D381" s="16">
        <f>'Rest Buybacks'!J381</f>
        <v/>
      </c>
      <c r="E381" s="16">
        <f>'Rest Dividends'!H381</f>
        <v/>
      </c>
      <c r="F381" s="16">
        <f>'Rest Offerings'!J381</f>
        <v/>
      </c>
    </row>
    <row r="382">
      <c r="A382" s="16">
        <f>'Rest Universe'!A383</f>
        <v/>
      </c>
      <c r="B382" s="16">
        <f>'Rest Universe'!B383</f>
        <v/>
      </c>
      <c r="C382" s="16">
        <f>'Rest Buybacks'!F382</f>
        <v/>
      </c>
      <c r="D382" s="16">
        <f>'Rest Buybacks'!J382</f>
        <v/>
      </c>
      <c r="E382" s="16">
        <f>'Rest Dividends'!H382</f>
        <v/>
      </c>
      <c r="F382" s="16">
        <f>'Rest Offerings'!J382</f>
        <v/>
      </c>
    </row>
    <row r="383">
      <c r="A383" s="16">
        <f>'Rest Universe'!A384</f>
        <v/>
      </c>
      <c r="B383" s="16">
        <f>'Rest Universe'!B384</f>
        <v/>
      </c>
      <c r="C383" s="16">
        <f>'Rest Buybacks'!F383</f>
        <v/>
      </c>
      <c r="D383" s="16">
        <f>'Rest Buybacks'!J383</f>
        <v/>
      </c>
      <c r="E383" s="16">
        <f>'Rest Dividends'!H383</f>
        <v/>
      </c>
      <c r="F383" s="16">
        <f>'Rest Offerings'!J383</f>
        <v/>
      </c>
    </row>
    <row r="384">
      <c r="A384" s="16">
        <f>'Rest Universe'!A385</f>
        <v/>
      </c>
      <c r="B384" s="16">
        <f>'Rest Universe'!B385</f>
        <v/>
      </c>
      <c r="C384" s="16">
        <f>'Rest Buybacks'!F384</f>
        <v/>
      </c>
      <c r="D384" s="16">
        <f>'Rest Buybacks'!J384</f>
        <v/>
      </c>
      <c r="E384" s="16">
        <f>'Rest Dividends'!H384</f>
        <v/>
      </c>
      <c r="F384" s="16">
        <f>'Rest Offerings'!J384</f>
        <v/>
      </c>
    </row>
    <row r="385">
      <c r="A385" s="16">
        <f>'Rest Universe'!A386</f>
        <v/>
      </c>
      <c r="B385" s="16">
        <f>'Rest Universe'!B386</f>
        <v/>
      </c>
      <c r="C385" s="16">
        <f>'Rest Buybacks'!F385</f>
        <v/>
      </c>
      <c r="D385" s="16">
        <f>'Rest Buybacks'!J385</f>
        <v/>
      </c>
      <c r="E385" s="16">
        <f>'Rest Dividends'!H385</f>
        <v/>
      </c>
      <c r="F385" s="16">
        <f>'Rest Offerings'!J385</f>
        <v/>
      </c>
    </row>
    <row r="386">
      <c r="A386" s="16">
        <f>'Rest Universe'!A387</f>
        <v/>
      </c>
      <c r="B386" s="16">
        <f>'Rest Universe'!B387</f>
        <v/>
      </c>
      <c r="C386" s="16">
        <f>'Rest Buybacks'!F386</f>
        <v/>
      </c>
      <c r="D386" s="16">
        <f>'Rest Buybacks'!J386</f>
        <v/>
      </c>
      <c r="E386" s="16">
        <f>'Rest Dividends'!H386</f>
        <v/>
      </c>
      <c r="F386" s="16">
        <f>'Rest Offerings'!J386</f>
        <v/>
      </c>
    </row>
    <row r="387">
      <c r="A387" s="16">
        <f>'Rest Universe'!A388</f>
        <v/>
      </c>
      <c r="B387" s="16">
        <f>'Rest Universe'!B388</f>
        <v/>
      </c>
      <c r="C387" s="16">
        <f>'Rest Buybacks'!F387</f>
        <v/>
      </c>
      <c r="D387" s="16">
        <f>'Rest Buybacks'!J387</f>
        <v/>
      </c>
      <c r="E387" s="16">
        <f>'Rest Dividends'!H387</f>
        <v/>
      </c>
      <c r="F387" s="16">
        <f>'Rest Offerings'!J387</f>
        <v/>
      </c>
    </row>
    <row r="388">
      <c r="A388" s="16">
        <f>'Rest Universe'!A389</f>
        <v/>
      </c>
      <c r="B388" s="16">
        <f>'Rest Universe'!B389</f>
        <v/>
      </c>
      <c r="C388" s="16">
        <f>'Rest Buybacks'!F388</f>
        <v/>
      </c>
      <c r="D388" s="16">
        <f>'Rest Buybacks'!J388</f>
        <v/>
      </c>
      <c r="E388" s="16">
        <f>'Rest Dividends'!H388</f>
        <v/>
      </c>
      <c r="F388" s="16">
        <f>'Rest Offerings'!J388</f>
        <v/>
      </c>
    </row>
    <row r="389">
      <c r="A389" s="16">
        <f>'Rest Universe'!A390</f>
        <v/>
      </c>
      <c r="B389" s="16">
        <f>'Rest Universe'!B390</f>
        <v/>
      </c>
      <c r="C389" s="16">
        <f>'Rest Buybacks'!F389</f>
        <v/>
      </c>
      <c r="D389" s="16">
        <f>'Rest Buybacks'!J389</f>
        <v/>
      </c>
      <c r="E389" s="16">
        <f>'Rest Dividends'!H389</f>
        <v/>
      </c>
      <c r="F389" s="16">
        <f>'Rest Offerings'!J389</f>
        <v/>
      </c>
    </row>
    <row r="390">
      <c r="A390" s="16">
        <f>'Rest Universe'!A391</f>
        <v/>
      </c>
      <c r="B390" s="16">
        <f>'Rest Universe'!B391</f>
        <v/>
      </c>
      <c r="C390" s="16">
        <f>'Rest Buybacks'!F390</f>
        <v/>
      </c>
      <c r="D390" s="16">
        <f>'Rest Buybacks'!J390</f>
        <v/>
      </c>
      <c r="E390" s="16">
        <f>'Rest Dividends'!H390</f>
        <v/>
      </c>
      <c r="F390" s="16">
        <f>'Rest Offerings'!J390</f>
        <v/>
      </c>
    </row>
    <row r="391">
      <c r="A391" s="16">
        <f>'Rest Universe'!A392</f>
        <v/>
      </c>
      <c r="B391" s="16">
        <f>'Rest Universe'!B392</f>
        <v/>
      </c>
      <c r="C391" s="16">
        <f>'Rest Buybacks'!F391</f>
        <v/>
      </c>
      <c r="D391" s="16">
        <f>'Rest Buybacks'!J391</f>
        <v/>
      </c>
      <c r="E391" s="16">
        <f>'Rest Dividends'!H391</f>
        <v/>
      </c>
      <c r="F391" s="16">
        <f>'Rest Offerings'!J391</f>
        <v/>
      </c>
    </row>
    <row r="392">
      <c r="A392" s="16">
        <f>'Rest Universe'!A393</f>
        <v/>
      </c>
      <c r="B392" s="16">
        <f>'Rest Universe'!B393</f>
        <v/>
      </c>
      <c r="C392" s="16">
        <f>'Rest Buybacks'!F392</f>
        <v/>
      </c>
      <c r="D392" s="16">
        <f>'Rest Buybacks'!J392</f>
        <v/>
      </c>
      <c r="E392" s="16">
        <f>'Rest Dividends'!H392</f>
        <v/>
      </c>
      <c r="F392" s="16">
        <f>'Rest Offerings'!J392</f>
        <v/>
      </c>
    </row>
    <row r="393">
      <c r="A393" s="16">
        <f>'Rest Universe'!A394</f>
        <v/>
      </c>
      <c r="B393" s="16">
        <f>'Rest Universe'!B394</f>
        <v/>
      </c>
      <c r="C393" s="16">
        <f>'Rest Buybacks'!F393</f>
        <v/>
      </c>
      <c r="D393" s="16">
        <f>'Rest Buybacks'!J393</f>
        <v/>
      </c>
      <c r="E393" s="16">
        <f>'Rest Dividends'!H393</f>
        <v/>
      </c>
      <c r="F393" s="16">
        <f>'Rest Offerings'!J393</f>
        <v/>
      </c>
    </row>
    <row r="394">
      <c r="A394" s="16">
        <f>'Rest Universe'!A395</f>
        <v/>
      </c>
      <c r="B394" s="16">
        <f>'Rest Universe'!B395</f>
        <v/>
      </c>
      <c r="C394" s="16">
        <f>'Rest Buybacks'!F394</f>
        <v/>
      </c>
      <c r="D394" s="16">
        <f>'Rest Buybacks'!J394</f>
        <v/>
      </c>
      <c r="E394" s="16">
        <f>'Rest Dividends'!H394</f>
        <v/>
      </c>
      <c r="F394" s="16">
        <f>'Rest Offerings'!J394</f>
        <v/>
      </c>
    </row>
    <row r="395">
      <c r="A395" s="16">
        <f>'Rest Universe'!A396</f>
        <v/>
      </c>
      <c r="B395" s="16">
        <f>'Rest Universe'!B396</f>
        <v/>
      </c>
      <c r="C395" s="16">
        <f>'Rest Buybacks'!F395</f>
        <v/>
      </c>
      <c r="D395" s="16">
        <f>'Rest Buybacks'!J395</f>
        <v/>
      </c>
      <c r="E395" s="16">
        <f>'Rest Dividends'!H395</f>
        <v/>
      </c>
      <c r="F395" s="16">
        <f>'Rest Offerings'!J395</f>
        <v/>
      </c>
    </row>
    <row r="396">
      <c r="A396" s="16">
        <f>'Rest Universe'!A397</f>
        <v/>
      </c>
      <c r="B396" s="16">
        <f>'Rest Universe'!B397</f>
        <v/>
      </c>
      <c r="C396" s="16">
        <f>'Rest Buybacks'!F396</f>
        <v/>
      </c>
      <c r="D396" s="16">
        <f>'Rest Buybacks'!J396</f>
        <v/>
      </c>
      <c r="E396" s="16">
        <f>'Rest Dividends'!H396</f>
        <v/>
      </c>
      <c r="F396" s="16">
        <f>'Rest Offerings'!J396</f>
        <v/>
      </c>
    </row>
    <row r="397">
      <c r="A397" s="16">
        <f>'Rest Universe'!A398</f>
        <v/>
      </c>
      <c r="B397" s="16">
        <f>'Rest Universe'!B398</f>
        <v/>
      </c>
      <c r="C397" s="16">
        <f>'Rest Buybacks'!F397</f>
        <v/>
      </c>
      <c r="D397" s="16">
        <f>'Rest Buybacks'!J397</f>
        <v/>
      </c>
      <c r="E397" s="16">
        <f>'Rest Dividends'!H397</f>
        <v/>
      </c>
      <c r="F397" s="16">
        <f>'Rest Offerings'!J397</f>
        <v/>
      </c>
    </row>
    <row r="398">
      <c r="A398" s="16">
        <f>'Rest Universe'!A399</f>
        <v/>
      </c>
      <c r="B398" s="16">
        <f>'Rest Universe'!B399</f>
        <v/>
      </c>
      <c r="C398" s="16">
        <f>'Rest Buybacks'!F398</f>
        <v/>
      </c>
      <c r="D398" s="16">
        <f>'Rest Buybacks'!J398</f>
        <v/>
      </c>
      <c r="E398" s="16">
        <f>'Rest Dividends'!H398</f>
        <v/>
      </c>
      <c r="F398" s="16">
        <f>'Rest Offerings'!J398</f>
        <v/>
      </c>
    </row>
    <row r="399">
      <c r="A399" s="16">
        <f>'Rest Universe'!A400</f>
        <v/>
      </c>
      <c r="B399" s="16">
        <f>'Rest Universe'!B400</f>
        <v/>
      </c>
      <c r="C399" s="16">
        <f>'Rest Buybacks'!F399</f>
        <v/>
      </c>
      <c r="D399" s="16">
        <f>'Rest Buybacks'!J399</f>
        <v/>
      </c>
      <c r="E399" s="16">
        <f>'Rest Dividends'!H399</f>
        <v/>
      </c>
      <c r="F399" s="16">
        <f>'Rest Offerings'!J399</f>
        <v/>
      </c>
    </row>
    <row r="400">
      <c r="A400" s="16">
        <f>'Rest Universe'!A401</f>
        <v/>
      </c>
      <c r="B400" s="16">
        <f>'Rest Universe'!B401</f>
        <v/>
      </c>
      <c r="C400" s="16">
        <f>'Rest Buybacks'!F400</f>
        <v/>
      </c>
      <c r="D400" s="16">
        <f>'Rest Buybacks'!J400</f>
        <v/>
      </c>
      <c r="E400" s="16">
        <f>'Rest Dividends'!H400</f>
        <v/>
      </c>
      <c r="F400" s="16">
        <f>'Rest Offerings'!J400</f>
        <v/>
      </c>
    </row>
    <row r="401">
      <c r="A401" s="16">
        <f>'Rest Universe'!A402</f>
        <v/>
      </c>
      <c r="B401" s="16">
        <f>'Rest Universe'!B402</f>
        <v/>
      </c>
      <c r="C401" s="16">
        <f>'Rest Buybacks'!F401</f>
        <v/>
      </c>
      <c r="D401" s="16">
        <f>'Rest Buybacks'!J401</f>
        <v/>
      </c>
      <c r="E401" s="16">
        <f>'Rest Dividends'!H401</f>
        <v/>
      </c>
      <c r="F401" s="16">
        <f>'Rest Offerings'!J401</f>
        <v/>
      </c>
    </row>
    <row r="402">
      <c r="A402" s="16">
        <f>'Rest Universe'!A403</f>
        <v/>
      </c>
      <c r="B402" s="16">
        <f>'Rest Universe'!B403</f>
        <v/>
      </c>
      <c r="C402" s="16">
        <f>'Rest Buybacks'!F402</f>
        <v/>
      </c>
      <c r="D402" s="16">
        <f>'Rest Buybacks'!J402</f>
        <v/>
      </c>
      <c r="E402" s="16">
        <f>'Rest Dividends'!H402</f>
        <v/>
      </c>
      <c r="F402" s="16">
        <f>'Rest Offerings'!J402</f>
        <v/>
      </c>
    </row>
    <row r="403">
      <c r="A403" s="16">
        <f>'Rest Universe'!A404</f>
        <v/>
      </c>
      <c r="B403" s="16">
        <f>'Rest Universe'!B404</f>
        <v/>
      </c>
      <c r="C403" s="16">
        <f>'Rest Buybacks'!F403</f>
        <v/>
      </c>
      <c r="D403" s="16">
        <f>'Rest Buybacks'!J403</f>
        <v/>
      </c>
      <c r="E403" s="16">
        <f>'Rest Dividends'!H403</f>
        <v/>
      </c>
      <c r="F403" s="16">
        <f>'Rest Offerings'!J403</f>
        <v/>
      </c>
    </row>
    <row r="404">
      <c r="A404" s="16">
        <f>'Rest Universe'!A405</f>
        <v/>
      </c>
      <c r="B404" s="16">
        <f>'Rest Universe'!B405</f>
        <v/>
      </c>
      <c r="C404" s="16">
        <f>'Rest Buybacks'!F404</f>
        <v/>
      </c>
      <c r="D404" s="16">
        <f>'Rest Buybacks'!J404</f>
        <v/>
      </c>
      <c r="E404" s="16">
        <f>'Rest Dividends'!H404</f>
        <v/>
      </c>
      <c r="F404" s="16">
        <f>'Rest Offerings'!J404</f>
        <v/>
      </c>
    </row>
    <row r="405">
      <c r="A405" s="16">
        <f>'Rest Universe'!A406</f>
        <v/>
      </c>
      <c r="B405" s="16">
        <f>'Rest Universe'!B406</f>
        <v/>
      </c>
      <c r="C405" s="16">
        <f>'Rest Buybacks'!F405</f>
        <v/>
      </c>
      <c r="D405" s="16">
        <f>'Rest Buybacks'!J405</f>
        <v/>
      </c>
      <c r="E405" s="16">
        <f>'Rest Dividends'!H405</f>
        <v/>
      </c>
      <c r="F405" s="16">
        <f>'Rest Offerings'!J405</f>
        <v/>
      </c>
    </row>
    <row r="406">
      <c r="A406" s="16">
        <f>'Rest Universe'!A407</f>
        <v/>
      </c>
      <c r="B406" s="16">
        <f>'Rest Universe'!B407</f>
        <v/>
      </c>
      <c r="C406" s="16">
        <f>'Rest Buybacks'!F406</f>
        <v/>
      </c>
      <c r="D406" s="16">
        <f>'Rest Buybacks'!J406</f>
        <v/>
      </c>
      <c r="E406" s="16">
        <f>'Rest Dividends'!H406</f>
        <v/>
      </c>
      <c r="F406" s="16">
        <f>'Rest Offerings'!J406</f>
        <v/>
      </c>
    </row>
    <row r="407">
      <c r="A407" s="16">
        <f>'Rest Universe'!A408</f>
        <v/>
      </c>
      <c r="B407" s="16">
        <f>'Rest Universe'!B408</f>
        <v/>
      </c>
      <c r="C407" s="16">
        <f>'Rest Buybacks'!F407</f>
        <v/>
      </c>
      <c r="D407" s="16">
        <f>'Rest Buybacks'!J407</f>
        <v/>
      </c>
      <c r="E407" s="16">
        <f>'Rest Dividends'!H407</f>
        <v/>
      </c>
      <c r="F407" s="16">
        <f>'Rest Offerings'!J407</f>
        <v/>
      </c>
    </row>
    <row r="408">
      <c r="A408" s="16">
        <f>'Rest Universe'!A409</f>
        <v/>
      </c>
      <c r="B408" s="16">
        <f>'Rest Universe'!B409</f>
        <v/>
      </c>
      <c r="C408" s="16">
        <f>'Rest Buybacks'!F408</f>
        <v/>
      </c>
      <c r="D408" s="16">
        <f>'Rest Buybacks'!J408</f>
        <v/>
      </c>
      <c r="E408" s="16">
        <f>'Rest Dividends'!H408</f>
        <v/>
      </c>
      <c r="F408" s="16">
        <f>'Rest Offerings'!J408</f>
        <v/>
      </c>
    </row>
    <row r="409">
      <c r="A409" s="16">
        <f>'Rest Universe'!A410</f>
        <v/>
      </c>
      <c r="B409" s="16">
        <f>'Rest Universe'!B410</f>
        <v/>
      </c>
      <c r="C409" s="16">
        <f>'Rest Buybacks'!F409</f>
        <v/>
      </c>
      <c r="D409" s="16">
        <f>'Rest Buybacks'!J409</f>
        <v/>
      </c>
      <c r="E409" s="16">
        <f>'Rest Dividends'!H409</f>
        <v/>
      </c>
      <c r="F409" s="16">
        <f>'Rest Offerings'!J409</f>
        <v/>
      </c>
    </row>
    <row r="410">
      <c r="A410" s="16">
        <f>'Rest Universe'!A411</f>
        <v/>
      </c>
      <c r="B410" s="16">
        <f>'Rest Universe'!B411</f>
        <v/>
      </c>
      <c r="C410" s="16">
        <f>'Rest Buybacks'!F410</f>
        <v/>
      </c>
      <c r="D410" s="16">
        <f>'Rest Buybacks'!J410</f>
        <v/>
      </c>
      <c r="E410" s="16">
        <f>'Rest Dividends'!H410</f>
        <v/>
      </c>
      <c r="F410" s="16">
        <f>'Rest Offerings'!J410</f>
        <v/>
      </c>
    </row>
    <row r="411">
      <c r="A411" s="16">
        <f>'Rest Universe'!A412</f>
        <v/>
      </c>
      <c r="B411" s="16">
        <f>'Rest Universe'!B412</f>
        <v/>
      </c>
      <c r="C411" s="16">
        <f>'Rest Buybacks'!F411</f>
        <v/>
      </c>
      <c r="D411" s="16">
        <f>'Rest Buybacks'!J411</f>
        <v/>
      </c>
      <c r="E411" s="16">
        <f>'Rest Dividends'!H411</f>
        <v/>
      </c>
      <c r="F411" s="16">
        <f>'Rest Offerings'!J411</f>
        <v/>
      </c>
    </row>
    <row r="412">
      <c r="A412" s="16">
        <f>'Rest Universe'!A413</f>
        <v/>
      </c>
      <c r="B412" s="16">
        <f>'Rest Universe'!B413</f>
        <v/>
      </c>
      <c r="C412" s="16">
        <f>'Rest Buybacks'!F412</f>
        <v/>
      </c>
      <c r="D412" s="16">
        <f>'Rest Buybacks'!J412</f>
        <v/>
      </c>
      <c r="E412" s="16">
        <f>'Rest Dividends'!H412</f>
        <v/>
      </c>
      <c r="F412" s="16">
        <f>'Rest Offerings'!J412</f>
        <v/>
      </c>
    </row>
    <row r="413">
      <c r="A413" s="16">
        <f>'Rest Universe'!A414</f>
        <v/>
      </c>
      <c r="B413" s="16">
        <f>'Rest Universe'!B414</f>
        <v/>
      </c>
      <c r="C413" s="16">
        <f>'Rest Buybacks'!F413</f>
        <v/>
      </c>
      <c r="D413" s="16">
        <f>'Rest Buybacks'!J413</f>
        <v/>
      </c>
      <c r="E413" s="16">
        <f>'Rest Dividends'!H413</f>
        <v/>
      </c>
      <c r="F413" s="16">
        <f>'Rest Offerings'!J413</f>
        <v/>
      </c>
    </row>
    <row r="414">
      <c r="A414" s="16">
        <f>'Rest Universe'!A415</f>
        <v/>
      </c>
      <c r="B414" s="16">
        <f>'Rest Universe'!B415</f>
        <v/>
      </c>
      <c r="C414" s="16">
        <f>'Rest Buybacks'!F414</f>
        <v/>
      </c>
      <c r="D414" s="16">
        <f>'Rest Buybacks'!J414</f>
        <v/>
      </c>
      <c r="E414" s="16">
        <f>'Rest Dividends'!H414</f>
        <v/>
      </c>
      <c r="F414" s="16">
        <f>'Rest Offerings'!J414</f>
        <v/>
      </c>
    </row>
    <row r="415">
      <c r="A415" s="16">
        <f>'Rest Universe'!A416</f>
        <v/>
      </c>
      <c r="B415" s="16">
        <f>'Rest Universe'!B416</f>
        <v/>
      </c>
      <c r="C415" s="16">
        <f>'Rest Buybacks'!F415</f>
        <v/>
      </c>
      <c r="D415" s="16">
        <f>'Rest Buybacks'!J415</f>
        <v/>
      </c>
      <c r="E415" s="16">
        <f>'Rest Dividends'!H415</f>
        <v/>
      </c>
      <c r="F415" s="16">
        <f>'Rest Offerings'!J415</f>
        <v/>
      </c>
    </row>
    <row r="416">
      <c r="A416" s="16">
        <f>'Rest Universe'!A417</f>
        <v/>
      </c>
      <c r="B416" s="16">
        <f>'Rest Universe'!B417</f>
        <v/>
      </c>
      <c r="C416" s="16">
        <f>'Rest Buybacks'!F416</f>
        <v/>
      </c>
      <c r="D416" s="16">
        <f>'Rest Buybacks'!J416</f>
        <v/>
      </c>
      <c r="E416" s="16">
        <f>'Rest Dividends'!H416</f>
        <v/>
      </c>
      <c r="F416" s="16">
        <f>'Rest Offerings'!J416</f>
        <v/>
      </c>
    </row>
    <row r="417">
      <c r="A417" s="16">
        <f>'Rest Universe'!A418</f>
        <v/>
      </c>
      <c r="B417" s="16">
        <f>'Rest Universe'!B418</f>
        <v/>
      </c>
      <c r="C417" s="16">
        <f>'Rest Buybacks'!F417</f>
        <v/>
      </c>
      <c r="D417" s="16">
        <f>'Rest Buybacks'!J417</f>
        <v/>
      </c>
      <c r="E417" s="16">
        <f>'Rest Dividends'!H417</f>
        <v/>
      </c>
      <c r="F417" s="16">
        <f>'Rest Offerings'!J417</f>
        <v/>
      </c>
    </row>
    <row r="418">
      <c r="A418" s="16">
        <f>'Rest Universe'!A419</f>
        <v/>
      </c>
      <c r="B418" s="16">
        <f>'Rest Universe'!B419</f>
        <v/>
      </c>
      <c r="C418" s="16">
        <f>'Rest Buybacks'!F418</f>
        <v/>
      </c>
      <c r="D418" s="16">
        <f>'Rest Buybacks'!J418</f>
        <v/>
      </c>
      <c r="E418" s="16">
        <f>'Rest Dividends'!H418</f>
        <v/>
      </c>
      <c r="F418" s="16">
        <f>'Rest Offerings'!J418</f>
        <v/>
      </c>
    </row>
    <row r="419">
      <c r="A419" s="16">
        <f>'Rest Universe'!A420</f>
        <v/>
      </c>
      <c r="B419" s="16">
        <f>'Rest Universe'!B420</f>
        <v/>
      </c>
      <c r="C419" s="16">
        <f>'Rest Buybacks'!F419</f>
        <v/>
      </c>
      <c r="D419" s="16">
        <f>'Rest Buybacks'!J419</f>
        <v/>
      </c>
      <c r="E419" s="16">
        <f>'Rest Dividends'!H419</f>
        <v/>
      </c>
      <c r="F419" s="16">
        <f>'Rest Offerings'!J419</f>
        <v/>
      </c>
    </row>
    <row r="420">
      <c r="A420" s="16">
        <f>'Rest Universe'!A421</f>
        <v/>
      </c>
      <c r="B420" s="16">
        <f>'Rest Universe'!B421</f>
        <v/>
      </c>
      <c r="C420" s="16">
        <f>'Rest Buybacks'!F420</f>
        <v/>
      </c>
      <c r="D420" s="16">
        <f>'Rest Buybacks'!J420</f>
        <v/>
      </c>
      <c r="E420" s="16">
        <f>'Rest Dividends'!H420</f>
        <v/>
      </c>
      <c r="F420" s="16">
        <f>'Rest Offerings'!J420</f>
        <v/>
      </c>
    </row>
    <row r="421">
      <c r="A421" s="16">
        <f>'Rest Universe'!A422</f>
        <v/>
      </c>
      <c r="B421" s="16">
        <f>'Rest Universe'!B422</f>
        <v/>
      </c>
      <c r="C421" s="16">
        <f>'Rest Buybacks'!F421</f>
        <v/>
      </c>
      <c r="D421" s="16">
        <f>'Rest Buybacks'!J421</f>
        <v/>
      </c>
      <c r="E421" s="16">
        <f>'Rest Dividends'!H421</f>
        <v/>
      </c>
      <c r="F421" s="16">
        <f>'Rest Offerings'!J421</f>
        <v/>
      </c>
    </row>
    <row r="422">
      <c r="A422" s="16">
        <f>'Rest Universe'!A423</f>
        <v/>
      </c>
      <c r="B422" s="16">
        <f>'Rest Universe'!B423</f>
        <v/>
      </c>
      <c r="C422" s="16">
        <f>'Rest Buybacks'!F422</f>
        <v/>
      </c>
      <c r="D422" s="16">
        <f>'Rest Buybacks'!J422</f>
        <v/>
      </c>
      <c r="E422" s="16">
        <f>'Rest Dividends'!H422</f>
        <v/>
      </c>
      <c r="F422" s="16">
        <f>'Rest Offerings'!J422</f>
        <v/>
      </c>
    </row>
    <row r="423">
      <c r="A423" s="16">
        <f>'Rest Universe'!A424</f>
        <v/>
      </c>
      <c r="B423" s="16">
        <f>'Rest Universe'!B424</f>
        <v/>
      </c>
      <c r="C423" s="16">
        <f>'Rest Buybacks'!F423</f>
        <v/>
      </c>
      <c r="D423" s="16">
        <f>'Rest Buybacks'!J423</f>
        <v/>
      </c>
      <c r="E423" s="16">
        <f>'Rest Dividends'!H423</f>
        <v/>
      </c>
      <c r="F423" s="16">
        <f>'Rest Offerings'!J423</f>
        <v/>
      </c>
    </row>
    <row r="424">
      <c r="A424" s="16">
        <f>'Rest Universe'!A425</f>
        <v/>
      </c>
      <c r="B424" s="16">
        <f>'Rest Universe'!B425</f>
        <v/>
      </c>
      <c r="C424" s="16">
        <f>'Rest Buybacks'!F424</f>
        <v/>
      </c>
      <c r="D424" s="16">
        <f>'Rest Buybacks'!J424</f>
        <v/>
      </c>
      <c r="E424" s="16">
        <f>'Rest Dividends'!H424</f>
        <v/>
      </c>
      <c r="F424" s="16">
        <f>'Rest Offerings'!J424</f>
        <v/>
      </c>
    </row>
    <row r="425">
      <c r="A425" s="16">
        <f>'Rest Universe'!A426</f>
        <v/>
      </c>
      <c r="B425" s="16">
        <f>'Rest Universe'!B426</f>
        <v/>
      </c>
      <c r="C425" s="16">
        <f>'Rest Buybacks'!F425</f>
        <v/>
      </c>
      <c r="D425" s="16">
        <f>'Rest Buybacks'!J425</f>
        <v/>
      </c>
      <c r="E425" s="16">
        <f>'Rest Dividends'!H425</f>
        <v/>
      </c>
      <c r="F425" s="16">
        <f>'Rest Offerings'!J425</f>
        <v/>
      </c>
    </row>
    <row r="426">
      <c r="A426" s="16">
        <f>'Rest Universe'!A427</f>
        <v/>
      </c>
      <c r="B426" s="16">
        <f>'Rest Universe'!B427</f>
        <v/>
      </c>
      <c r="C426" s="16">
        <f>'Rest Buybacks'!F426</f>
        <v/>
      </c>
      <c r="D426" s="16">
        <f>'Rest Buybacks'!J426</f>
        <v/>
      </c>
      <c r="E426" s="16">
        <f>'Rest Dividends'!H426</f>
        <v/>
      </c>
      <c r="F426" s="16">
        <f>'Rest Offerings'!J426</f>
        <v/>
      </c>
    </row>
    <row r="427">
      <c r="A427" s="16">
        <f>'Rest Universe'!A428</f>
        <v/>
      </c>
      <c r="B427" s="16">
        <f>'Rest Universe'!B428</f>
        <v/>
      </c>
      <c r="C427" s="16">
        <f>'Rest Buybacks'!F427</f>
        <v/>
      </c>
      <c r="D427" s="16">
        <f>'Rest Buybacks'!J427</f>
        <v/>
      </c>
      <c r="E427" s="16">
        <f>'Rest Dividends'!H427</f>
        <v/>
      </c>
      <c r="F427" s="16">
        <f>'Rest Offerings'!J427</f>
        <v/>
      </c>
    </row>
    <row r="428">
      <c r="A428" s="16">
        <f>'Rest Universe'!A429</f>
        <v/>
      </c>
      <c r="B428" s="16">
        <f>'Rest Universe'!B429</f>
        <v/>
      </c>
      <c r="C428" s="16">
        <f>'Rest Buybacks'!F428</f>
        <v/>
      </c>
      <c r="D428" s="16">
        <f>'Rest Buybacks'!J428</f>
        <v/>
      </c>
      <c r="E428" s="16">
        <f>'Rest Dividends'!H428</f>
        <v/>
      </c>
      <c r="F428" s="16">
        <f>'Rest Offerings'!J428</f>
        <v/>
      </c>
    </row>
    <row r="429">
      <c r="A429" s="16">
        <f>'Rest Universe'!A430</f>
        <v/>
      </c>
      <c r="B429" s="16">
        <f>'Rest Universe'!B430</f>
        <v/>
      </c>
      <c r="C429" s="16">
        <f>'Rest Buybacks'!F429</f>
        <v/>
      </c>
      <c r="D429" s="16">
        <f>'Rest Buybacks'!J429</f>
        <v/>
      </c>
      <c r="E429" s="16">
        <f>'Rest Dividends'!H429</f>
        <v/>
      </c>
      <c r="F429" s="16">
        <f>'Rest Offerings'!J429</f>
        <v/>
      </c>
    </row>
    <row r="430">
      <c r="A430" s="16">
        <f>'Rest Universe'!A431</f>
        <v/>
      </c>
      <c r="B430" s="16">
        <f>'Rest Universe'!B431</f>
        <v/>
      </c>
      <c r="C430" s="16">
        <f>'Rest Buybacks'!F430</f>
        <v/>
      </c>
      <c r="D430" s="16">
        <f>'Rest Buybacks'!J430</f>
        <v/>
      </c>
      <c r="E430" s="16">
        <f>'Rest Dividends'!H430</f>
        <v/>
      </c>
      <c r="F430" s="16">
        <f>'Rest Offerings'!J430</f>
        <v/>
      </c>
    </row>
    <row r="431">
      <c r="A431" s="16">
        <f>'Rest Universe'!A432</f>
        <v/>
      </c>
      <c r="B431" s="16">
        <f>'Rest Universe'!B432</f>
        <v/>
      </c>
      <c r="C431" s="16">
        <f>'Rest Buybacks'!F431</f>
        <v/>
      </c>
      <c r="D431" s="16">
        <f>'Rest Buybacks'!J431</f>
        <v/>
      </c>
      <c r="E431" s="16">
        <f>'Rest Dividends'!H431</f>
        <v/>
      </c>
      <c r="F431" s="16">
        <f>'Rest Offerings'!J431</f>
        <v/>
      </c>
    </row>
    <row r="432">
      <c r="A432" s="16">
        <f>'Rest Universe'!A433</f>
        <v/>
      </c>
      <c r="B432" s="16">
        <f>'Rest Universe'!B433</f>
        <v/>
      </c>
      <c r="C432" s="16">
        <f>'Rest Buybacks'!F432</f>
        <v/>
      </c>
      <c r="D432" s="16">
        <f>'Rest Buybacks'!J432</f>
        <v/>
      </c>
      <c r="E432" s="16">
        <f>'Rest Dividends'!H432</f>
        <v/>
      </c>
      <c r="F432" s="16">
        <f>'Rest Offerings'!J432</f>
        <v/>
      </c>
    </row>
    <row r="433">
      <c r="A433" s="16">
        <f>'Rest Universe'!A434</f>
        <v/>
      </c>
      <c r="B433" s="16">
        <f>'Rest Universe'!B434</f>
        <v/>
      </c>
      <c r="C433" s="16">
        <f>'Rest Buybacks'!F433</f>
        <v/>
      </c>
      <c r="D433" s="16">
        <f>'Rest Buybacks'!J433</f>
        <v/>
      </c>
      <c r="E433" s="16">
        <f>'Rest Dividends'!H433</f>
        <v/>
      </c>
      <c r="F433" s="16">
        <f>'Rest Offerings'!J433</f>
        <v/>
      </c>
    </row>
    <row r="434">
      <c r="A434" s="16">
        <f>'Rest Universe'!A435</f>
        <v/>
      </c>
      <c r="B434" s="16">
        <f>'Rest Universe'!B435</f>
        <v/>
      </c>
      <c r="C434" s="16">
        <f>'Rest Buybacks'!F434</f>
        <v/>
      </c>
      <c r="D434" s="16">
        <f>'Rest Buybacks'!J434</f>
        <v/>
      </c>
      <c r="E434" s="16">
        <f>'Rest Dividends'!H434</f>
        <v/>
      </c>
      <c r="F434" s="16">
        <f>'Rest Offerings'!J434</f>
        <v/>
      </c>
    </row>
    <row r="435">
      <c r="A435" s="16">
        <f>'Rest Universe'!A436</f>
        <v/>
      </c>
      <c r="B435" s="16">
        <f>'Rest Universe'!B436</f>
        <v/>
      </c>
      <c r="C435" s="16">
        <f>'Rest Buybacks'!F435</f>
        <v/>
      </c>
      <c r="D435" s="16">
        <f>'Rest Buybacks'!J435</f>
        <v/>
      </c>
      <c r="E435" s="16">
        <f>'Rest Dividends'!H435</f>
        <v/>
      </c>
      <c r="F435" s="16">
        <f>'Rest Offerings'!J435</f>
        <v/>
      </c>
    </row>
    <row r="436">
      <c r="A436" s="16">
        <f>'Rest Universe'!A437</f>
        <v/>
      </c>
      <c r="B436" s="16">
        <f>'Rest Universe'!B437</f>
        <v/>
      </c>
      <c r="C436" s="16">
        <f>'Rest Buybacks'!F436</f>
        <v/>
      </c>
      <c r="D436" s="16">
        <f>'Rest Buybacks'!J436</f>
        <v/>
      </c>
      <c r="E436" s="16">
        <f>'Rest Dividends'!H436</f>
        <v/>
      </c>
      <c r="F436" s="16">
        <f>'Rest Offerings'!J436</f>
        <v/>
      </c>
    </row>
    <row r="437">
      <c r="A437" s="16">
        <f>'Rest Universe'!A438</f>
        <v/>
      </c>
      <c r="B437" s="16">
        <f>'Rest Universe'!B438</f>
        <v/>
      </c>
      <c r="C437" s="16">
        <f>'Rest Buybacks'!F437</f>
        <v/>
      </c>
      <c r="D437" s="16">
        <f>'Rest Buybacks'!J437</f>
        <v/>
      </c>
      <c r="E437" s="16">
        <f>'Rest Dividends'!H437</f>
        <v/>
      </c>
      <c r="F437" s="16">
        <f>'Rest Offerings'!J437</f>
        <v/>
      </c>
    </row>
    <row r="438">
      <c r="A438" s="16">
        <f>'Rest Universe'!A439</f>
        <v/>
      </c>
      <c r="B438" s="16">
        <f>'Rest Universe'!B439</f>
        <v/>
      </c>
      <c r="C438" s="16">
        <f>'Rest Buybacks'!F438</f>
        <v/>
      </c>
      <c r="D438" s="16">
        <f>'Rest Buybacks'!J438</f>
        <v/>
      </c>
      <c r="E438" s="16">
        <f>'Rest Dividends'!H438</f>
        <v/>
      </c>
      <c r="F438" s="16">
        <f>'Rest Offerings'!J438</f>
        <v/>
      </c>
    </row>
    <row r="439">
      <c r="A439" s="16">
        <f>'Rest Universe'!A440</f>
        <v/>
      </c>
      <c r="B439" s="16">
        <f>'Rest Universe'!B440</f>
        <v/>
      </c>
      <c r="C439" s="16">
        <f>'Rest Buybacks'!F439</f>
        <v/>
      </c>
      <c r="D439" s="16">
        <f>'Rest Buybacks'!J439</f>
        <v/>
      </c>
      <c r="E439" s="16">
        <f>'Rest Dividends'!H439</f>
        <v/>
      </c>
      <c r="F439" s="16">
        <f>'Rest Offerings'!J439</f>
        <v/>
      </c>
    </row>
    <row r="440">
      <c r="A440" s="16">
        <f>'Rest Universe'!A441</f>
        <v/>
      </c>
      <c r="B440" s="16">
        <f>'Rest Universe'!B441</f>
        <v/>
      </c>
      <c r="C440" s="16">
        <f>'Rest Buybacks'!F440</f>
        <v/>
      </c>
      <c r="D440" s="16">
        <f>'Rest Buybacks'!J440</f>
        <v/>
      </c>
      <c r="E440" s="16">
        <f>'Rest Dividends'!H440</f>
        <v/>
      </c>
      <c r="F440" s="16">
        <f>'Rest Offerings'!J440</f>
        <v/>
      </c>
    </row>
    <row r="441">
      <c r="A441" s="16">
        <f>'Rest Universe'!A442</f>
        <v/>
      </c>
      <c r="B441" s="16">
        <f>'Rest Universe'!B442</f>
        <v/>
      </c>
      <c r="C441" s="16">
        <f>'Rest Buybacks'!F441</f>
        <v/>
      </c>
      <c r="D441" s="16">
        <f>'Rest Buybacks'!J441</f>
        <v/>
      </c>
      <c r="E441" s="16">
        <f>'Rest Dividends'!H441</f>
        <v/>
      </c>
      <c r="F441" s="16">
        <f>'Rest Offerings'!J441</f>
        <v/>
      </c>
    </row>
    <row r="442">
      <c r="A442" s="16">
        <f>'Rest Universe'!A443</f>
        <v/>
      </c>
      <c r="B442" s="16">
        <f>'Rest Universe'!B443</f>
        <v/>
      </c>
      <c r="C442" s="16">
        <f>'Rest Buybacks'!F442</f>
        <v/>
      </c>
      <c r="D442" s="16">
        <f>'Rest Buybacks'!J442</f>
        <v/>
      </c>
      <c r="E442" s="16">
        <f>'Rest Dividends'!H442</f>
        <v/>
      </c>
      <c r="F442" s="16">
        <f>'Rest Offerings'!J442</f>
        <v/>
      </c>
    </row>
    <row r="443">
      <c r="A443" s="16">
        <f>'Rest Universe'!A444</f>
        <v/>
      </c>
      <c r="B443" s="16">
        <f>'Rest Universe'!B444</f>
        <v/>
      </c>
      <c r="C443" s="16">
        <f>'Rest Buybacks'!F443</f>
        <v/>
      </c>
      <c r="D443" s="16">
        <f>'Rest Buybacks'!J443</f>
        <v/>
      </c>
      <c r="E443" s="16">
        <f>'Rest Dividends'!H443</f>
        <v/>
      </c>
      <c r="F443" s="16">
        <f>'Rest Offerings'!J443</f>
        <v/>
      </c>
    </row>
    <row r="444">
      <c r="A444" s="16">
        <f>'Rest Universe'!A445</f>
        <v/>
      </c>
      <c r="B444" s="16">
        <f>'Rest Universe'!B445</f>
        <v/>
      </c>
      <c r="C444" s="16">
        <f>'Rest Buybacks'!F444</f>
        <v/>
      </c>
      <c r="D444" s="16">
        <f>'Rest Buybacks'!J444</f>
        <v/>
      </c>
      <c r="E444" s="16">
        <f>'Rest Dividends'!H444</f>
        <v/>
      </c>
      <c r="F444" s="16">
        <f>'Rest Offerings'!J444</f>
        <v/>
      </c>
    </row>
    <row r="445">
      <c r="A445" s="16">
        <f>'Rest Universe'!A446</f>
        <v/>
      </c>
      <c r="B445" s="16">
        <f>'Rest Universe'!B446</f>
        <v/>
      </c>
      <c r="C445" s="16">
        <f>'Rest Buybacks'!F445</f>
        <v/>
      </c>
      <c r="D445" s="16">
        <f>'Rest Buybacks'!J445</f>
        <v/>
      </c>
      <c r="E445" s="16">
        <f>'Rest Dividends'!H445</f>
        <v/>
      </c>
      <c r="F445" s="16">
        <f>'Rest Offerings'!J445</f>
        <v/>
      </c>
    </row>
    <row r="446">
      <c r="A446" s="16">
        <f>'Rest Universe'!A447</f>
        <v/>
      </c>
      <c r="B446" s="16">
        <f>'Rest Universe'!B447</f>
        <v/>
      </c>
      <c r="C446" s="16">
        <f>'Rest Buybacks'!F446</f>
        <v/>
      </c>
      <c r="D446" s="16">
        <f>'Rest Buybacks'!J446</f>
        <v/>
      </c>
      <c r="E446" s="16">
        <f>'Rest Dividends'!H446</f>
        <v/>
      </c>
      <c r="F446" s="16">
        <f>'Rest Offerings'!J446</f>
        <v/>
      </c>
    </row>
    <row r="447">
      <c r="A447" s="16">
        <f>'Rest Universe'!A448</f>
        <v/>
      </c>
      <c r="B447" s="16">
        <f>'Rest Universe'!B448</f>
        <v/>
      </c>
      <c r="C447" s="16">
        <f>'Rest Buybacks'!F447</f>
        <v/>
      </c>
      <c r="D447" s="16">
        <f>'Rest Buybacks'!J447</f>
        <v/>
      </c>
      <c r="E447" s="16">
        <f>'Rest Dividends'!H447</f>
        <v/>
      </c>
      <c r="F447" s="16">
        <f>'Rest Offerings'!J447</f>
        <v/>
      </c>
    </row>
    <row r="448">
      <c r="A448" s="16">
        <f>'Rest Universe'!A449</f>
        <v/>
      </c>
      <c r="B448" s="16">
        <f>'Rest Universe'!B449</f>
        <v/>
      </c>
      <c r="C448" s="16">
        <f>'Rest Buybacks'!F448</f>
        <v/>
      </c>
      <c r="D448" s="16">
        <f>'Rest Buybacks'!J448</f>
        <v/>
      </c>
      <c r="E448" s="16">
        <f>'Rest Dividends'!H448</f>
        <v/>
      </c>
      <c r="F448" s="16">
        <f>'Rest Offerings'!J448</f>
        <v/>
      </c>
    </row>
    <row r="449">
      <c r="A449" s="16">
        <f>'Rest Universe'!A450</f>
        <v/>
      </c>
      <c r="B449" s="16">
        <f>'Rest Universe'!B450</f>
        <v/>
      </c>
      <c r="C449" s="16">
        <f>'Rest Buybacks'!F449</f>
        <v/>
      </c>
      <c r="D449" s="16">
        <f>'Rest Buybacks'!J449</f>
        <v/>
      </c>
      <c r="E449" s="16">
        <f>'Rest Dividends'!H449</f>
        <v/>
      </c>
      <c r="F449" s="16">
        <f>'Rest Offerings'!J449</f>
        <v/>
      </c>
    </row>
    <row r="450">
      <c r="A450" s="16">
        <f>'Rest Universe'!A451</f>
        <v/>
      </c>
      <c r="B450" s="16">
        <f>'Rest Universe'!B451</f>
        <v/>
      </c>
      <c r="C450" s="16">
        <f>'Rest Buybacks'!F450</f>
        <v/>
      </c>
      <c r="D450" s="16">
        <f>'Rest Buybacks'!J450</f>
        <v/>
      </c>
      <c r="E450" s="16">
        <f>'Rest Dividends'!H450</f>
        <v/>
      </c>
      <c r="F450" s="16">
        <f>'Rest Offerings'!J450</f>
        <v/>
      </c>
    </row>
    <row r="451">
      <c r="A451" s="16">
        <f>'Rest Universe'!A452</f>
        <v/>
      </c>
      <c r="B451" s="16">
        <f>'Rest Universe'!B452</f>
        <v/>
      </c>
      <c r="C451" s="16">
        <f>'Rest Buybacks'!F451</f>
        <v/>
      </c>
      <c r="D451" s="16">
        <f>'Rest Buybacks'!J451</f>
        <v/>
      </c>
      <c r="E451" s="16">
        <f>'Rest Dividends'!H451</f>
        <v/>
      </c>
      <c r="F451" s="16">
        <f>'Rest Offerings'!J451</f>
        <v/>
      </c>
    </row>
    <row r="452">
      <c r="A452" s="16">
        <f>'Rest Universe'!A453</f>
        <v/>
      </c>
      <c r="B452" s="16">
        <f>'Rest Universe'!B453</f>
        <v/>
      </c>
      <c r="C452" s="16">
        <f>'Rest Buybacks'!F452</f>
        <v/>
      </c>
      <c r="D452" s="16">
        <f>'Rest Buybacks'!J452</f>
        <v/>
      </c>
      <c r="E452" s="16">
        <f>'Rest Dividends'!H452</f>
        <v/>
      </c>
      <c r="F452" s="16">
        <f>'Rest Offerings'!J452</f>
        <v/>
      </c>
    </row>
    <row r="453">
      <c r="A453" s="16">
        <f>'Rest Universe'!A454</f>
        <v/>
      </c>
      <c r="B453" s="16">
        <f>'Rest Universe'!B454</f>
        <v/>
      </c>
      <c r="C453" s="16">
        <f>'Rest Buybacks'!F453</f>
        <v/>
      </c>
      <c r="D453" s="16">
        <f>'Rest Buybacks'!J453</f>
        <v/>
      </c>
      <c r="E453" s="16">
        <f>'Rest Dividends'!H453</f>
        <v/>
      </c>
      <c r="F453" s="16">
        <f>'Rest Offerings'!J453</f>
        <v/>
      </c>
    </row>
    <row r="454">
      <c r="A454" s="16">
        <f>'Rest Universe'!A455</f>
        <v/>
      </c>
      <c r="B454" s="16">
        <f>'Rest Universe'!B455</f>
        <v/>
      </c>
      <c r="C454" s="16">
        <f>'Rest Buybacks'!F454</f>
        <v/>
      </c>
      <c r="D454" s="16">
        <f>'Rest Buybacks'!J454</f>
        <v/>
      </c>
      <c r="E454" s="16">
        <f>'Rest Dividends'!H454</f>
        <v/>
      </c>
      <c r="F454" s="16">
        <f>'Rest Offerings'!J454</f>
        <v/>
      </c>
    </row>
    <row r="455">
      <c r="A455" s="16">
        <f>'Rest Universe'!A456</f>
        <v/>
      </c>
      <c r="B455" s="16">
        <f>'Rest Universe'!B456</f>
        <v/>
      </c>
      <c r="C455" s="16">
        <f>'Rest Buybacks'!F455</f>
        <v/>
      </c>
      <c r="D455" s="16">
        <f>'Rest Buybacks'!J455</f>
        <v/>
      </c>
      <c r="E455" s="16">
        <f>'Rest Dividends'!H455</f>
        <v/>
      </c>
      <c r="F455" s="16">
        <f>'Rest Offerings'!J455</f>
        <v/>
      </c>
    </row>
    <row r="456">
      <c r="A456" s="16">
        <f>'Rest Universe'!A457</f>
        <v/>
      </c>
      <c r="B456" s="16">
        <f>'Rest Universe'!B457</f>
        <v/>
      </c>
      <c r="C456" s="16">
        <f>'Rest Buybacks'!F456</f>
        <v/>
      </c>
      <c r="D456" s="16">
        <f>'Rest Buybacks'!J456</f>
        <v/>
      </c>
      <c r="E456" s="16">
        <f>'Rest Dividends'!H456</f>
        <v/>
      </c>
      <c r="F456" s="16">
        <f>'Rest Offerings'!J456</f>
        <v/>
      </c>
    </row>
    <row r="457">
      <c r="A457" s="16">
        <f>'Rest Universe'!A458</f>
        <v/>
      </c>
      <c r="B457" s="16">
        <f>'Rest Universe'!B458</f>
        <v/>
      </c>
      <c r="C457" s="16">
        <f>'Rest Buybacks'!F457</f>
        <v/>
      </c>
      <c r="D457" s="16">
        <f>'Rest Buybacks'!J457</f>
        <v/>
      </c>
      <c r="E457" s="16">
        <f>'Rest Dividends'!H457</f>
        <v/>
      </c>
      <c r="F457" s="16">
        <f>'Rest Offerings'!J457</f>
        <v/>
      </c>
    </row>
    <row r="458">
      <c r="A458" s="16">
        <f>'Rest Universe'!A459</f>
        <v/>
      </c>
      <c r="B458" s="16">
        <f>'Rest Universe'!B459</f>
        <v/>
      </c>
      <c r="C458" s="16">
        <f>'Rest Buybacks'!F458</f>
        <v/>
      </c>
      <c r="D458" s="16">
        <f>'Rest Buybacks'!J458</f>
        <v/>
      </c>
      <c r="E458" s="16">
        <f>'Rest Dividends'!H458</f>
        <v/>
      </c>
      <c r="F458" s="16">
        <f>'Rest Offerings'!J458</f>
        <v/>
      </c>
    </row>
    <row r="459">
      <c r="A459" s="16">
        <f>'Rest Universe'!A460</f>
        <v/>
      </c>
      <c r="B459" s="16">
        <f>'Rest Universe'!B460</f>
        <v/>
      </c>
      <c r="C459" s="16">
        <f>'Rest Buybacks'!F459</f>
        <v/>
      </c>
      <c r="D459" s="16">
        <f>'Rest Buybacks'!J459</f>
        <v/>
      </c>
      <c r="E459" s="16">
        <f>'Rest Dividends'!H459</f>
        <v/>
      </c>
      <c r="F459" s="16">
        <f>'Rest Offerings'!J459</f>
        <v/>
      </c>
    </row>
    <row r="460">
      <c r="A460" s="16">
        <f>'Rest Universe'!A461</f>
        <v/>
      </c>
      <c r="B460" s="16">
        <f>'Rest Universe'!B461</f>
        <v/>
      </c>
      <c r="C460" s="16">
        <f>'Rest Buybacks'!F460</f>
        <v/>
      </c>
      <c r="D460" s="16">
        <f>'Rest Buybacks'!J460</f>
        <v/>
      </c>
      <c r="E460" s="16">
        <f>'Rest Dividends'!H460</f>
        <v/>
      </c>
      <c r="F460" s="16">
        <f>'Rest Offerings'!J460</f>
        <v/>
      </c>
    </row>
    <row r="461">
      <c r="A461" s="16">
        <f>'Rest Universe'!A462</f>
        <v/>
      </c>
      <c r="B461" s="16">
        <f>'Rest Universe'!B462</f>
        <v/>
      </c>
      <c r="C461" s="16">
        <f>'Rest Buybacks'!F461</f>
        <v/>
      </c>
      <c r="D461" s="16">
        <f>'Rest Buybacks'!J461</f>
        <v/>
      </c>
      <c r="E461" s="16">
        <f>'Rest Dividends'!H461</f>
        <v/>
      </c>
      <c r="F461" s="16">
        <f>'Rest Offerings'!J461</f>
        <v/>
      </c>
    </row>
    <row r="462">
      <c r="A462" s="16">
        <f>'Rest Universe'!A463</f>
        <v/>
      </c>
      <c r="B462" s="16">
        <f>'Rest Universe'!B463</f>
        <v/>
      </c>
      <c r="C462" s="16">
        <f>'Rest Buybacks'!F462</f>
        <v/>
      </c>
      <c r="D462" s="16">
        <f>'Rest Buybacks'!J462</f>
        <v/>
      </c>
      <c r="E462" s="16">
        <f>'Rest Dividends'!H462</f>
        <v/>
      </c>
      <c r="F462" s="16">
        <f>'Rest Offerings'!J462</f>
        <v/>
      </c>
    </row>
    <row r="463">
      <c r="A463" s="16">
        <f>'Rest Universe'!A464</f>
        <v/>
      </c>
      <c r="B463" s="16">
        <f>'Rest Universe'!B464</f>
        <v/>
      </c>
      <c r="C463" s="16">
        <f>'Rest Buybacks'!F463</f>
        <v/>
      </c>
      <c r="D463" s="16">
        <f>'Rest Buybacks'!J463</f>
        <v/>
      </c>
      <c r="E463" s="16">
        <f>'Rest Dividends'!H463</f>
        <v/>
      </c>
      <c r="F463" s="16">
        <f>'Rest Offerings'!J463</f>
        <v/>
      </c>
    </row>
    <row r="464">
      <c r="A464" s="16">
        <f>'Rest Universe'!A465</f>
        <v/>
      </c>
      <c r="B464" s="16">
        <f>'Rest Universe'!B465</f>
        <v/>
      </c>
      <c r="C464" s="16">
        <f>'Rest Buybacks'!F464</f>
        <v/>
      </c>
      <c r="D464" s="16">
        <f>'Rest Buybacks'!J464</f>
        <v/>
      </c>
      <c r="E464" s="16">
        <f>'Rest Dividends'!H464</f>
        <v/>
      </c>
      <c r="F464" s="16">
        <f>'Rest Offerings'!J464</f>
        <v/>
      </c>
    </row>
    <row r="465">
      <c r="A465" s="16">
        <f>'Rest Universe'!A466</f>
        <v/>
      </c>
      <c r="B465" s="16">
        <f>'Rest Universe'!B466</f>
        <v/>
      </c>
      <c r="C465" s="16">
        <f>'Rest Buybacks'!F465</f>
        <v/>
      </c>
      <c r="D465" s="16">
        <f>'Rest Buybacks'!J465</f>
        <v/>
      </c>
      <c r="E465" s="16">
        <f>'Rest Dividends'!H465</f>
        <v/>
      </c>
      <c r="F465" s="16">
        <f>'Rest Offerings'!J465</f>
        <v/>
      </c>
    </row>
    <row r="466">
      <c r="A466" s="16">
        <f>'Rest Universe'!A467</f>
        <v/>
      </c>
      <c r="B466" s="16">
        <f>'Rest Universe'!B467</f>
        <v/>
      </c>
      <c r="C466" s="16">
        <f>'Rest Buybacks'!F466</f>
        <v/>
      </c>
      <c r="D466" s="16">
        <f>'Rest Buybacks'!J466</f>
        <v/>
      </c>
      <c r="E466" s="16">
        <f>'Rest Dividends'!H466</f>
        <v/>
      </c>
      <c r="F466" s="16">
        <f>'Rest Offerings'!J466</f>
        <v/>
      </c>
    </row>
    <row r="467">
      <c r="A467" s="16">
        <f>'Rest Universe'!A468</f>
        <v/>
      </c>
      <c r="B467" s="16">
        <f>'Rest Universe'!B468</f>
        <v/>
      </c>
      <c r="C467" s="16">
        <f>'Rest Buybacks'!F467</f>
        <v/>
      </c>
      <c r="D467" s="16">
        <f>'Rest Buybacks'!J467</f>
        <v/>
      </c>
      <c r="E467" s="16">
        <f>'Rest Dividends'!H467</f>
        <v/>
      </c>
      <c r="F467" s="16">
        <f>'Rest Offerings'!J467</f>
        <v/>
      </c>
    </row>
    <row r="468">
      <c r="A468" s="16">
        <f>'Rest Universe'!A469</f>
        <v/>
      </c>
      <c r="B468" s="16">
        <f>'Rest Universe'!B469</f>
        <v/>
      </c>
      <c r="C468" s="16">
        <f>'Rest Buybacks'!F468</f>
        <v/>
      </c>
      <c r="D468" s="16">
        <f>'Rest Buybacks'!J468</f>
        <v/>
      </c>
      <c r="E468" s="16">
        <f>'Rest Dividends'!H468</f>
        <v/>
      </c>
      <c r="F468" s="16">
        <f>'Rest Offerings'!J468</f>
        <v/>
      </c>
    </row>
    <row r="469">
      <c r="A469" s="16">
        <f>'Rest Universe'!A470</f>
        <v/>
      </c>
      <c r="B469" s="16">
        <f>'Rest Universe'!B470</f>
        <v/>
      </c>
      <c r="C469" s="16">
        <f>'Rest Buybacks'!F469</f>
        <v/>
      </c>
      <c r="D469" s="16">
        <f>'Rest Buybacks'!J469</f>
        <v/>
      </c>
      <c r="E469" s="16">
        <f>'Rest Dividends'!H469</f>
        <v/>
      </c>
      <c r="F469" s="16">
        <f>'Rest Offerings'!J469</f>
        <v/>
      </c>
    </row>
    <row r="470">
      <c r="A470" s="16">
        <f>'Rest Universe'!A471</f>
        <v/>
      </c>
      <c r="B470" s="16">
        <f>'Rest Universe'!B471</f>
        <v/>
      </c>
      <c r="C470" s="16">
        <f>'Rest Buybacks'!F470</f>
        <v/>
      </c>
      <c r="D470" s="16">
        <f>'Rest Buybacks'!J470</f>
        <v/>
      </c>
      <c r="E470" s="16">
        <f>'Rest Dividends'!H470</f>
        <v/>
      </c>
      <c r="F470" s="16">
        <f>'Rest Offerings'!J470</f>
        <v/>
      </c>
    </row>
    <row r="471">
      <c r="A471" s="16">
        <f>'Rest Universe'!A472</f>
        <v/>
      </c>
      <c r="B471" s="16">
        <f>'Rest Universe'!B472</f>
        <v/>
      </c>
      <c r="C471" s="16">
        <f>'Rest Buybacks'!F471</f>
        <v/>
      </c>
      <c r="D471" s="16">
        <f>'Rest Buybacks'!J471</f>
        <v/>
      </c>
      <c r="E471" s="16">
        <f>'Rest Dividends'!H471</f>
        <v/>
      </c>
      <c r="F471" s="16">
        <f>'Rest Offerings'!J471</f>
        <v/>
      </c>
    </row>
    <row r="472">
      <c r="A472" s="16">
        <f>'Rest Universe'!A473</f>
        <v/>
      </c>
      <c r="B472" s="16">
        <f>'Rest Universe'!B473</f>
        <v/>
      </c>
      <c r="C472" s="16">
        <f>'Rest Buybacks'!F472</f>
        <v/>
      </c>
      <c r="D472" s="16">
        <f>'Rest Buybacks'!J472</f>
        <v/>
      </c>
      <c r="E472" s="16">
        <f>'Rest Dividends'!H472</f>
        <v/>
      </c>
      <c r="F472" s="16">
        <f>'Rest Offerings'!J472</f>
        <v/>
      </c>
    </row>
    <row r="473">
      <c r="A473" s="16">
        <f>'Rest Universe'!A474</f>
        <v/>
      </c>
      <c r="B473" s="16">
        <f>'Rest Universe'!B474</f>
        <v/>
      </c>
      <c r="C473" s="16">
        <f>'Rest Buybacks'!F473</f>
        <v/>
      </c>
      <c r="D473" s="16">
        <f>'Rest Buybacks'!J473</f>
        <v/>
      </c>
      <c r="E473" s="16">
        <f>'Rest Dividends'!H473</f>
        <v/>
      </c>
      <c r="F473" s="16">
        <f>'Rest Offerings'!J473</f>
        <v/>
      </c>
    </row>
    <row r="474">
      <c r="A474" s="16">
        <f>'Rest Universe'!A475</f>
        <v/>
      </c>
      <c r="B474" s="16">
        <f>'Rest Universe'!B475</f>
        <v/>
      </c>
      <c r="C474" s="16">
        <f>'Rest Buybacks'!F474</f>
        <v/>
      </c>
      <c r="D474" s="16">
        <f>'Rest Buybacks'!J474</f>
        <v/>
      </c>
      <c r="E474" s="16">
        <f>'Rest Dividends'!H474</f>
        <v/>
      </c>
      <c r="F474" s="16">
        <f>'Rest Offerings'!J474</f>
        <v/>
      </c>
    </row>
    <row r="475">
      <c r="A475" s="16">
        <f>'Rest Universe'!A476</f>
        <v/>
      </c>
      <c r="B475" s="16">
        <f>'Rest Universe'!B476</f>
        <v/>
      </c>
      <c r="C475" s="16">
        <f>'Rest Buybacks'!F475</f>
        <v/>
      </c>
      <c r="D475" s="16">
        <f>'Rest Buybacks'!J475</f>
        <v/>
      </c>
      <c r="E475" s="16">
        <f>'Rest Dividends'!H475</f>
        <v/>
      </c>
      <c r="F475" s="16">
        <f>'Rest Offerings'!J475</f>
        <v/>
      </c>
    </row>
    <row r="476">
      <c r="A476" s="16">
        <f>'Rest Universe'!A477</f>
        <v/>
      </c>
      <c r="B476" s="16">
        <f>'Rest Universe'!B477</f>
        <v/>
      </c>
      <c r="C476" s="16">
        <f>'Rest Buybacks'!F476</f>
        <v/>
      </c>
      <c r="D476" s="16">
        <f>'Rest Buybacks'!J476</f>
        <v/>
      </c>
      <c r="E476" s="16">
        <f>'Rest Dividends'!H476</f>
        <v/>
      </c>
      <c r="F476" s="16">
        <f>'Rest Offerings'!J476</f>
        <v/>
      </c>
    </row>
    <row r="477">
      <c r="A477" s="16">
        <f>'Rest Universe'!A478</f>
        <v/>
      </c>
      <c r="B477" s="16">
        <f>'Rest Universe'!B478</f>
        <v/>
      </c>
      <c r="C477" s="16">
        <f>'Rest Buybacks'!F477</f>
        <v/>
      </c>
      <c r="D477" s="16">
        <f>'Rest Buybacks'!J477</f>
        <v/>
      </c>
      <c r="E477" s="16">
        <f>'Rest Dividends'!H477</f>
        <v/>
      </c>
      <c r="F477" s="16">
        <f>'Rest Offerings'!J477</f>
        <v/>
      </c>
    </row>
    <row r="478">
      <c r="A478" s="16">
        <f>'Rest Universe'!A479</f>
        <v/>
      </c>
      <c r="B478" s="16">
        <f>'Rest Universe'!B479</f>
        <v/>
      </c>
      <c r="C478" s="16">
        <f>'Rest Buybacks'!F478</f>
        <v/>
      </c>
      <c r="D478" s="16">
        <f>'Rest Buybacks'!J478</f>
        <v/>
      </c>
      <c r="E478" s="16">
        <f>'Rest Dividends'!H478</f>
        <v/>
      </c>
      <c r="F478" s="16">
        <f>'Rest Offerings'!J478</f>
        <v/>
      </c>
    </row>
    <row r="479">
      <c r="A479" s="16">
        <f>'Rest Universe'!A480</f>
        <v/>
      </c>
      <c r="B479" s="16">
        <f>'Rest Universe'!B480</f>
        <v/>
      </c>
      <c r="C479" s="16">
        <f>'Rest Buybacks'!F479</f>
        <v/>
      </c>
      <c r="D479" s="16">
        <f>'Rest Buybacks'!J479</f>
        <v/>
      </c>
      <c r="E479" s="16">
        <f>'Rest Dividends'!H479</f>
        <v/>
      </c>
      <c r="F479" s="16">
        <f>'Rest Offerings'!J479</f>
        <v/>
      </c>
    </row>
    <row r="480">
      <c r="A480" s="16">
        <f>'Rest Universe'!A481</f>
        <v/>
      </c>
      <c r="B480" s="16">
        <f>'Rest Universe'!B481</f>
        <v/>
      </c>
      <c r="C480" s="16">
        <f>'Rest Buybacks'!F480</f>
        <v/>
      </c>
      <c r="D480" s="16">
        <f>'Rest Buybacks'!J480</f>
        <v/>
      </c>
      <c r="E480" s="16">
        <f>'Rest Dividends'!H480</f>
        <v/>
      </c>
      <c r="F480" s="16">
        <f>'Rest Offerings'!J480</f>
        <v/>
      </c>
    </row>
    <row r="481">
      <c r="A481" s="16">
        <f>'Rest Universe'!A482</f>
        <v/>
      </c>
      <c r="B481" s="16">
        <f>'Rest Universe'!B482</f>
        <v/>
      </c>
      <c r="C481" s="16">
        <f>'Rest Buybacks'!F481</f>
        <v/>
      </c>
      <c r="D481" s="16">
        <f>'Rest Buybacks'!J481</f>
        <v/>
      </c>
      <c r="E481" s="16">
        <f>'Rest Dividends'!H481</f>
        <v/>
      </c>
      <c r="F481" s="16">
        <f>'Rest Offerings'!J481</f>
        <v/>
      </c>
    </row>
    <row r="482">
      <c r="A482" s="16">
        <f>'Rest Universe'!A483</f>
        <v/>
      </c>
      <c r="B482" s="16">
        <f>'Rest Universe'!B483</f>
        <v/>
      </c>
      <c r="C482" s="16">
        <f>'Rest Buybacks'!F482</f>
        <v/>
      </c>
      <c r="D482" s="16">
        <f>'Rest Buybacks'!J482</f>
        <v/>
      </c>
      <c r="E482" s="16">
        <f>'Rest Dividends'!H482</f>
        <v/>
      </c>
      <c r="F482" s="16">
        <f>'Rest Offerings'!J482</f>
        <v/>
      </c>
    </row>
    <row r="483">
      <c r="A483" s="16">
        <f>'Rest Universe'!A484</f>
        <v/>
      </c>
      <c r="B483" s="16">
        <f>'Rest Universe'!B484</f>
        <v/>
      </c>
      <c r="C483" s="16">
        <f>'Rest Buybacks'!F483</f>
        <v/>
      </c>
      <c r="D483" s="16">
        <f>'Rest Buybacks'!J483</f>
        <v/>
      </c>
      <c r="E483" s="16">
        <f>'Rest Dividends'!H483</f>
        <v/>
      </c>
      <c r="F483" s="16">
        <f>'Rest Offerings'!J483</f>
        <v/>
      </c>
    </row>
    <row r="484">
      <c r="A484" s="16">
        <f>'Rest Universe'!A485</f>
        <v/>
      </c>
      <c r="B484" s="16">
        <f>'Rest Universe'!B485</f>
        <v/>
      </c>
      <c r="C484" s="16">
        <f>'Rest Buybacks'!F484</f>
        <v/>
      </c>
      <c r="D484" s="16">
        <f>'Rest Buybacks'!J484</f>
        <v/>
      </c>
      <c r="E484" s="16">
        <f>'Rest Dividends'!H484</f>
        <v/>
      </c>
      <c r="F484" s="16">
        <f>'Rest Offerings'!J484</f>
        <v/>
      </c>
    </row>
    <row r="485">
      <c r="A485" s="16">
        <f>'Rest Universe'!A486</f>
        <v/>
      </c>
      <c r="B485" s="16">
        <f>'Rest Universe'!B486</f>
        <v/>
      </c>
      <c r="C485" s="16">
        <f>'Rest Buybacks'!F485</f>
        <v/>
      </c>
      <c r="D485" s="16">
        <f>'Rest Buybacks'!J485</f>
        <v/>
      </c>
      <c r="E485" s="16">
        <f>'Rest Dividends'!H485</f>
        <v/>
      </c>
      <c r="F485" s="16">
        <f>'Rest Offerings'!J485</f>
        <v/>
      </c>
    </row>
    <row r="486">
      <c r="A486" s="16">
        <f>'Rest Universe'!A487</f>
        <v/>
      </c>
      <c r="B486" s="16">
        <f>'Rest Universe'!B487</f>
        <v/>
      </c>
      <c r="C486" s="16">
        <f>'Rest Buybacks'!F486</f>
        <v/>
      </c>
      <c r="D486" s="16">
        <f>'Rest Buybacks'!J486</f>
        <v/>
      </c>
      <c r="E486" s="16">
        <f>'Rest Dividends'!H486</f>
        <v/>
      </c>
      <c r="F486" s="16">
        <f>'Rest Offerings'!J486</f>
        <v/>
      </c>
    </row>
    <row r="487">
      <c r="A487" s="16">
        <f>'Rest Universe'!A488</f>
        <v/>
      </c>
      <c r="B487" s="16">
        <f>'Rest Universe'!B488</f>
        <v/>
      </c>
      <c r="C487" s="16">
        <f>'Rest Buybacks'!F487</f>
        <v/>
      </c>
      <c r="D487" s="16">
        <f>'Rest Buybacks'!J487</f>
        <v/>
      </c>
      <c r="E487" s="16">
        <f>'Rest Dividends'!H487</f>
        <v/>
      </c>
      <c r="F487" s="16">
        <f>'Rest Offerings'!J487</f>
        <v/>
      </c>
    </row>
    <row r="488">
      <c r="A488" s="16">
        <f>'Rest Universe'!A489</f>
        <v/>
      </c>
      <c r="B488" s="16">
        <f>'Rest Universe'!B489</f>
        <v/>
      </c>
      <c r="C488" s="16">
        <f>'Rest Buybacks'!F488</f>
        <v/>
      </c>
      <c r="D488" s="16">
        <f>'Rest Buybacks'!J488</f>
        <v/>
      </c>
      <c r="E488" s="16">
        <f>'Rest Dividends'!H488</f>
        <v/>
      </c>
      <c r="F488" s="16">
        <f>'Rest Offerings'!J488</f>
        <v/>
      </c>
    </row>
    <row r="489">
      <c r="A489" s="16">
        <f>'Rest Universe'!A490</f>
        <v/>
      </c>
      <c r="B489" s="16">
        <f>'Rest Universe'!B490</f>
        <v/>
      </c>
      <c r="C489" s="16">
        <f>'Rest Buybacks'!F489</f>
        <v/>
      </c>
      <c r="D489" s="16">
        <f>'Rest Buybacks'!J489</f>
        <v/>
      </c>
      <c r="E489" s="16">
        <f>'Rest Dividends'!H489</f>
        <v/>
      </c>
      <c r="F489" s="16">
        <f>'Rest Offerings'!J489</f>
        <v/>
      </c>
    </row>
    <row r="490">
      <c r="A490" s="16">
        <f>'Rest Universe'!A491</f>
        <v/>
      </c>
      <c r="B490" s="16">
        <f>'Rest Universe'!B491</f>
        <v/>
      </c>
      <c r="C490" s="16">
        <f>'Rest Buybacks'!F490</f>
        <v/>
      </c>
      <c r="D490" s="16">
        <f>'Rest Buybacks'!J490</f>
        <v/>
      </c>
      <c r="E490" s="16">
        <f>'Rest Dividends'!H490</f>
        <v/>
      </c>
      <c r="F490" s="16">
        <f>'Rest Offerings'!J490</f>
        <v/>
      </c>
    </row>
    <row r="491">
      <c r="A491" s="16">
        <f>'Rest Universe'!A492</f>
        <v/>
      </c>
      <c r="B491" s="16">
        <f>'Rest Universe'!B492</f>
        <v/>
      </c>
      <c r="C491" s="16">
        <f>'Rest Buybacks'!F491</f>
        <v/>
      </c>
      <c r="D491" s="16">
        <f>'Rest Buybacks'!J491</f>
        <v/>
      </c>
      <c r="E491" s="16">
        <f>'Rest Dividends'!H491</f>
        <v/>
      </c>
      <c r="F491" s="16">
        <f>'Rest Offerings'!J491</f>
        <v/>
      </c>
    </row>
    <row r="492">
      <c r="A492" s="16">
        <f>'Rest Universe'!A493</f>
        <v/>
      </c>
      <c r="B492" s="16">
        <f>'Rest Universe'!B493</f>
        <v/>
      </c>
      <c r="C492" s="16">
        <f>'Rest Buybacks'!F492</f>
        <v/>
      </c>
      <c r="D492" s="16">
        <f>'Rest Buybacks'!J492</f>
        <v/>
      </c>
      <c r="E492" s="16">
        <f>'Rest Dividends'!H492</f>
        <v/>
      </c>
      <c r="F492" s="16">
        <f>'Rest Offerings'!J492</f>
        <v/>
      </c>
    </row>
    <row r="493">
      <c r="A493" s="16">
        <f>'Rest Universe'!A494</f>
        <v/>
      </c>
      <c r="B493" s="16">
        <f>'Rest Universe'!B494</f>
        <v/>
      </c>
      <c r="C493" s="16">
        <f>'Rest Buybacks'!F493</f>
        <v/>
      </c>
      <c r="D493" s="16">
        <f>'Rest Buybacks'!J493</f>
        <v/>
      </c>
      <c r="E493" s="16">
        <f>'Rest Dividends'!H493</f>
        <v/>
      </c>
      <c r="F493" s="16">
        <f>'Rest Offerings'!J493</f>
        <v/>
      </c>
    </row>
    <row r="494">
      <c r="A494" s="16">
        <f>'Rest Universe'!A495</f>
        <v/>
      </c>
      <c r="B494" s="16">
        <f>'Rest Universe'!B495</f>
        <v/>
      </c>
      <c r="C494" s="16">
        <f>'Rest Buybacks'!F494</f>
        <v/>
      </c>
      <c r="D494" s="16">
        <f>'Rest Buybacks'!J494</f>
        <v/>
      </c>
      <c r="E494" s="16">
        <f>'Rest Dividends'!H494</f>
        <v/>
      </c>
      <c r="F494" s="16">
        <f>'Rest Offerings'!J494</f>
        <v/>
      </c>
    </row>
    <row r="495">
      <c r="A495" s="16">
        <f>'Rest Universe'!A496</f>
        <v/>
      </c>
      <c r="B495" s="16">
        <f>'Rest Universe'!B496</f>
        <v/>
      </c>
      <c r="C495" s="16">
        <f>'Rest Buybacks'!F495</f>
        <v/>
      </c>
      <c r="D495" s="16">
        <f>'Rest Buybacks'!J495</f>
        <v/>
      </c>
      <c r="E495" s="16">
        <f>'Rest Dividends'!H495</f>
        <v/>
      </c>
      <c r="F495" s="16">
        <f>'Rest Offerings'!J495</f>
        <v/>
      </c>
    </row>
    <row r="496">
      <c r="A496" s="16">
        <f>'Rest Universe'!A497</f>
        <v/>
      </c>
      <c r="B496" s="16">
        <f>'Rest Universe'!B497</f>
        <v/>
      </c>
      <c r="C496" s="16">
        <f>'Rest Buybacks'!F496</f>
        <v/>
      </c>
      <c r="D496" s="16">
        <f>'Rest Buybacks'!J496</f>
        <v/>
      </c>
      <c r="E496" s="16">
        <f>'Rest Dividends'!H496</f>
        <v/>
      </c>
      <c r="F496" s="16">
        <f>'Rest Offerings'!J496</f>
        <v/>
      </c>
    </row>
    <row r="497">
      <c r="A497" s="16">
        <f>'Rest Universe'!A498</f>
        <v/>
      </c>
      <c r="B497" s="16">
        <f>'Rest Universe'!B498</f>
        <v/>
      </c>
      <c r="C497" s="16">
        <f>'Rest Buybacks'!F497</f>
        <v/>
      </c>
      <c r="D497" s="16">
        <f>'Rest Buybacks'!J497</f>
        <v/>
      </c>
      <c r="E497" s="16">
        <f>'Rest Dividends'!H497</f>
        <v/>
      </c>
      <c r="F497" s="16">
        <f>'Rest Offerings'!J497</f>
        <v/>
      </c>
    </row>
    <row r="498">
      <c r="A498" s="16">
        <f>'Rest Universe'!A499</f>
        <v/>
      </c>
      <c r="B498" s="16">
        <f>'Rest Universe'!B499</f>
        <v/>
      </c>
      <c r="C498" s="16">
        <f>'Rest Buybacks'!F498</f>
        <v/>
      </c>
      <c r="D498" s="16">
        <f>'Rest Buybacks'!J498</f>
        <v/>
      </c>
      <c r="E498" s="16">
        <f>'Rest Dividends'!H498</f>
        <v/>
      </c>
      <c r="F498" s="16">
        <f>'Rest Offerings'!J498</f>
        <v/>
      </c>
    </row>
    <row r="499">
      <c r="A499" s="16">
        <f>'Rest Universe'!A500</f>
        <v/>
      </c>
      <c r="B499" s="16">
        <f>'Rest Universe'!B500</f>
        <v/>
      </c>
      <c r="C499" s="16">
        <f>'Rest Buybacks'!F499</f>
        <v/>
      </c>
      <c r="D499" s="16">
        <f>'Rest Buybacks'!J499</f>
        <v/>
      </c>
      <c r="E499" s="16">
        <f>'Rest Dividends'!H499</f>
        <v/>
      </c>
      <c r="F499" s="16">
        <f>'Rest Offerings'!J499</f>
        <v/>
      </c>
    </row>
    <row r="500">
      <c r="A500" s="16">
        <f>'Rest Universe'!A501</f>
        <v/>
      </c>
      <c r="B500" s="16">
        <f>'Rest Universe'!B501</f>
        <v/>
      </c>
      <c r="C500" s="16">
        <f>'Rest Buybacks'!F500</f>
        <v/>
      </c>
      <c r="D500" s="16">
        <f>'Rest Buybacks'!J500</f>
        <v/>
      </c>
      <c r="E500" s="16">
        <f>'Rest Dividends'!H500</f>
        <v/>
      </c>
      <c r="F500" s="16">
        <f>'Rest Offerings'!J500</f>
        <v/>
      </c>
    </row>
    <row r="501">
      <c r="A501" s="16">
        <f>'Rest Universe'!A502</f>
        <v/>
      </c>
      <c r="B501" s="16">
        <f>'Rest Universe'!B502</f>
        <v/>
      </c>
      <c r="C501" s="16">
        <f>'Rest Buybacks'!F501</f>
        <v/>
      </c>
      <c r="D501" s="16">
        <f>'Rest Buybacks'!J501</f>
        <v/>
      </c>
      <c r="E501" s="16">
        <f>'Rest Dividends'!H501</f>
        <v/>
      </c>
      <c r="F501" s="16">
        <f>'Rest Offerings'!J501</f>
        <v/>
      </c>
    </row>
    <row r="502">
      <c r="A502" s="16">
        <f>'Rest Universe'!A503</f>
        <v/>
      </c>
      <c r="B502" s="16">
        <f>'Rest Universe'!B503</f>
        <v/>
      </c>
      <c r="C502" s="16">
        <f>'Rest Buybacks'!F502</f>
        <v/>
      </c>
      <c r="D502" s="16">
        <f>'Rest Buybacks'!J502</f>
        <v/>
      </c>
      <c r="E502" s="16">
        <f>'Rest Dividends'!H502</f>
        <v/>
      </c>
      <c r="F502" s="16">
        <f>'Rest Offerings'!J502</f>
        <v/>
      </c>
    </row>
    <row r="503">
      <c r="A503" s="16">
        <f>'Rest Universe'!A504</f>
        <v/>
      </c>
      <c r="B503" s="16">
        <f>'Rest Universe'!B504</f>
        <v/>
      </c>
      <c r="C503" s="16">
        <f>'Rest Buybacks'!F503</f>
        <v/>
      </c>
      <c r="D503" s="16">
        <f>'Rest Buybacks'!J503</f>
        <v/>
      </c>
      <c r="E503" s="16">
        <f>'Rest Dividends'!H503</f>
        <v/>
      </c>
      <c r="F503" s="16">
        <f>'Rest Offerings'!J503</f>
        <v/>
      </c>
    </row>
    <row r="504">
      <c r="A504" s="16">
        <f>'Rest Universe'!A505</f>
        <v/>
      </c>
      <c r="B504" s="16">
        <f>'Rest Universe'!B505</f>
        <v/>
      </c>
      <c r="C504" s="16">
        <f>'Rest Buybacks'!F504</f>
        <v/>
      </c>
      <c r="D504" s="16">
        <f>'Rest Buybacks'!J504</f>
        <v/>
      </c>
      <c r="E504" s="16">
        <f>'Rest Dividends'!H504</f>
        <v/>
      </c>
      <c r="F504" s="16">
        <f>'Rest Offerings'!J504</f>
        <v/>
      </c>
    </row>
    <row r="505">
      <c r="A505" s="16">
        <f>'Rest Universe'!A506</f>
        <v/>
      </c>
      <c r="B505" s="16">
        <f>'Rest Universe'!B506</f>
        <v/>
      </c>
      <c r="C505" s="16">
        <f>'Rest Buybacks'!F505</f>
        <v/>
      </c>
      <c r="D505" s="16">
        <f>'Rest Buybacks'!J505</f>
        <v/>
      </c>
      <c r="E505" s="16">
        <f>'Rest Dividends'!H505</f>
        <v/>
      </c>
      <c r="F505" s="16">
        <f>'Rest Offerings'!J505</f>
        <v/>
      </c>
    </row>
    <row r="506">
      <c r="A506" s="16">
        <f>'Rest Universe'!A507</f>
        <v/>
      </c>
      <c r="B506" s="16">
        <f>'Rest Universe'!B507</f>
        <v/>
      </c>
      <c r="C506" s="16">
        <f>'Rest Buybacks'!F506</f>
        <v/>
      </c>
      <c r="D506" s="16">
        <f>'Rest Buybacks'!J506</f>
        <v/>
      </c>
      <c r="E506" s="16">
        <f>'Rest Dividends'!H506</f>
        <v/>
      </c>
      <c r="F506" s="16">
        <f>'Rest Offerings'!J506</f>
        <v/>
      </c>
    </row>
    <row r="507">
      <c r="A507" s="16">
        <f>'Rest Universe'!A508</f>
        <v/>
      </c>
      <c r="B507" s="16">
        <f>'Rest Universe'!B508</f>
        <v/>
      </c>
      <c r="C507" s="16">
        <f>'Rest Buybacks'!F507</f>
        <v/>
      </c>
      <c r="D507" s="16">
        <f>'Rest Buybacks'!J507</f>
        <v/>
      </c>
      <c r="E507" s="16">
        <f>'Rest Dividends'!H507</f>
        <v/>
      </c>
      <c r="F507" s="16">
        <f>'Rest Offerings'!J507</f>
        <v/>
      </c>
    </row>
    <row r="508">
      <c r="A508" s="16">
        <f>'Rest Universe'!A509</f>
        <v/>
      </c>
      <c r="B508" s="16">
        <f>'Rest Universe'!B509</f>
        <v/>
      </c>
      <c r="C508" s="16">
        <f>'Rest Buybacks'!F508</f>
        <v/>
      </c>
      <c r="D508" s="16">
        <f>'Rest Buybacks'!J508</f>
        <v/>
      </c>
      <c r="E508" s="16">
        <f>'Rest Dividends'!H508</f>
        <v/>
      </c>
      <c r="F508" s="16">
        <f>'Rest Offerings'!J508</f>
        <v/>
      </c>
    </row>
    <row r="509">
      <c r="A509" s="16">
        <f>'Rest Universe'!A510</f>
        <v/>
      </c>
      <c r="B509" s="16">
        <f>'Rest Universe'!B510</f>
        <v/>
      </c>
      <c r="C509" s="16">
        <f>'Rest Buybacks'!F509</f>
        <v/>
      </c>
      <c r="D509" s="16">
        <f>'Rest Buybacks'!J509</f>
        <v/>
      </c>
      <c r="E509" s="16">
        <f>'Rest Dividends'!H509</f>
        <v/>
      </c>
      <c r="F509" s="16">
        <f>'Rest Offerings'!J509</f>
        <v/>
      </c>
    </row>
    <row r="510">
      <c r="A510" s="16">
        <f>'Rest Universe'!A511</f>
        <v/>
      </c>
      <c r="B510" s="16">
        <f>'Rest Universe'!B511</f>
        <v/>
      </c>
      <c r="C510" s="16">
        <f>'Rest Buybacks'!F510</f>
        <v/>
      </c>
      <c r="D510" s="16">
        <f>'Rest Buybacks'!J510</f>
        <v/>
      </c>
      <c r="E510" s="16">
        <f>'Rest Dividends'!H510</f>
        <v/>
      </c>
      <c r="F510" s="16">
        <f>'Rest Offerings'!J510</f>
        <v/>
      </c>
    </row>
    <row r="511">
      <c r="A511" s="16">
        <f>'Rest Universe'!A512</f>
        <v/>
      </c>
      <c r="B511" s="16">
        <f>'Rest Universe'!B512</f>
        <v/>
      </c>
      <c r="C511" s="16">
        <f>'Rest Buybacks'!F511</f>
        <v/>
      </c>
      <c r="D511" s="16">
        <f>'Rest Buybacks'!J511</f>
        <v/>
      </c>
      <c r="E511" s="16">
        <f>'Rest Dividends'!H511</f>
        <v/>
      </c>
      <c r="F511" s="16">
        <f>'Rest Offerings'!J511</f>
        <v/>
      </c>
    </row>
    <row r="512">
      <c r="A512" s="16">
        <f>'Rest Universe'!A513</f>
        <v/>
      </c>
      <c r="B512" s="16">
        <f>'Rest Universe'!B513</f>
        <v/>
      </c>
      <c r="C512" s="16">
        <f>'Rest Buybacks'!F512</f>
        <v/>
      </c>
      <c r="D512" s="16">
        <f>'Rest Buybacks'!J512</f>
        <v/>
      </c>
      <c r="E512" s="16">
        <f>'Rest Dividends'!H512</f>
        <v/>
      </c>
      <c r="F512" s="16">
        <f>'Rest Offerings'!J512</f>
        <v/>
      </c>
    </row>
    <row r="513">
      <c r="A513" s="16">
        <f>'Rest Universe'!A514</f>
        <v/>
      </c>
      <c r="B513" s="16">
        <f>'Rest Universe'!B514</f>
        <v/>
      </c>
      <c r="C513" s="16">
        <f>'Rest Buybacks'!F513</f>
        <v/>
      </c>
      <c r="D513" s="16">
        <f>'Rest Buybacks'!J513</f>
        <v/>
      </c>
      <c r="E513" s="16">
        <f>'Rest Dividends'!H513</f>
        <v/>
      </c>
      <c r="F513" s="16">
        <f>'Rest Offerings'!J513</f>
        <v/>
      </c>
    </row>
    <row r="514">
      <c r="A514" s="16">
        <f>'Rest Universe'!A515</f>
        <v/>
      </c>
      <c r="B514" s="16">
        <f>'Rest Universe'!B515</f>
        <v/>
      </c>
      <c r="C514" s="16">
        <f>'Rest Buybacks'!F514</f>
        <v/>
      </c>
      <c r="D514" s="16">
        <f>'Rest Buybacks'!J514</f>
        <v/>
      </c>
      <c r="E514" s="16">
        <f>'Rest Dividends'!H514</f>
        <v/>
      </c>
      <c r="F514" s="16">
        <f>'Rest Offerings'!J514</f>
        <v/>
      </c>
    </row>
    <row r="515">
      <c r="A515" s="16">
        <f>'Rest Universe'!A516</f>
        <v/>
      </c>
      <c r="B515" s="16">
        <f>'Rest Universe'!B516</f>
        <v/>
      </c>
      <c r="C515" s="16">
        <f>'Rest Buybacks'!F515</f>
        <v/>
      </c>
      <c r="D515" s="16">
        <f>'Rest Buybacks'!J515</f>
        <v/>
      </c>
      <c r="E515" s="16">
        <f>'Rest Dividends'!H515</f>
        <v/>
      </c>
      <c r="F515" s="16">
        <f>'Rest Offerings'!J515</f>
        <v/>
      </c>
    </row>
    <row r="516">
      <c r="A516" s="16">
        <f>'Rest Universe'!A517</f>
        <v/>
      </c>
      <c r="B516" s="16">
        <f>'Rest Universe'!B517</f>
        <v/>
      </c>
      <c r="C516" s="16">
        <f>'Rest Buybacks'!F516</f>
        <v/>
      </c>
      <c r="D516" s="16">
        <f>'Rest Buybacks'!J516</f>
        <v/>
      </c>
      <c r="E516" s="16">
        <f>'Rest Dividends'!H516</f>
        <v/>
      </c>
      <c r="F516" s="16">
        <f>'Rest Offerings'!J516</f>
        <v/>
      </c>
    </row>
    <row r="517">
      <c r="A517" s="16">
        <f>'Rest Universe'!A518</f>
        <v/>
      </c>
      <c r="B517" s="16">
        <f>'Rest Universe'!B518</f>
        <v/>
      </c>
      <c r="C517" s="16">
        <f>'Rest Buybacks'!F517</f>
        <v/>
      </c>
      <c r="D517" s="16">
        <f>'Rest Buybacks'!J517</f>
        <v/>
      </c>
      <c r="E517" s="16">
        <f>'Rest Dividends'!H517</f>
        <v/>
      </c>
      <c r="F517" s="16">
        <f>'Rest Offerings'!J517</f>
        <v/>
      </c>
    </row>
    <row r="518">
      <c r="A518" s="16">
        <f>'Rest Universe'!A519</f>
        <v/>
      </c>
      <c r="B518" s="16">
        <f>'Rest Universe'!B519</f>
        <v/>
      </c>
      <c r="C518" s="16">
        <f>'Rest Buybacks'!F518</f>
        <v/>
      </c>
      <c r="D518" s="16">
        <f>'Rest Buybacks'!J518</f>
        <v/>
      </c>
      <c r="E518" s="16">
        <f>'Rest Dividends'!H518</f>
        <v/>
      </c>
      <c r="F518" s="16">
        <f>'Rest Offerings'!J518</f>
        <v/>
      </c>
    </row>
    <row r="519">
      <c r="A519" s="16">
        <f>'Rest Universe'!A520</f>
        <v/>
      </c>
      <c r="B519" s="16">
        <f>'Rest Universe'!B520</f>
        <v/>
      </c>
      <c r="C519" s="16">
        <f>'Rest Buybacks'!F519</f>
        <v/>
      </c>
      <c r="D519" s="16">
        <f>'Rest Buybacks'!J519</f>
        <v/>
      </c>
      <c r="E519" s="16">
        <f>'Rest Dividends'!H519</f>
        <v/>
      </c>
      <c r="F519" s="16">
        <f>'Rest Offerings'!J519</f>
        <v/>
      </c>
    </row>
    <row r="520">
      <c r="A520" s="16">
        <f>'Rest Universe'!A521</f>
        <v/>
      </c>
      <c r="B520" s="16">
        <f>'Rest Universe'!B521</f>
        <v/>
      </c>
      <c r="C520" s="16">
        <f>'Rest Buybacks'!F520</f>
        <v/>
      </c>
      <c r="D520" s="16">
        <f>'Rest Buybacks'!J520</f>
        <v/>
      </c>
      <c r="E520" s="16">
        <f>'Rest Dividends'!H520</f>
        <v/>
      </c>
      <c r="F520" s="16">
        <f>'Rest Offerings'!J520</f>
        <v/>
      </c>
    </row>
    <row r="521">
      <c r="A521" s="16">
        <f>'Rest Universe'!A522</f>
        <v/>
      </c>
      <c r="B521" s="16">
        <f>'Rest Universe'!B522</f>
        <v/>
      </c>
      <c r="C521" s="16">
        <f>'Rest Buybacks'!F521</f>
        <v/>
      </c>
      <c r="D521" s="16">
        <f>'Rest Buybacks'!J521</f>
        <v/>
      </c>
      <c r="E521" s="16">
        <f>'Rest Dividends'!H521</f>
        <v/>
      </c>
      <c r="F521" s="16">
        <f>'Rest Offerings'!J521</f>
        <v/>
      </c>
    </row>
    <row r="522">
      <c r="A522" s="16">
        <f>'Rest Universe'!A523</f>
        <v/>
      </c>
      <c r="B522" s="16">
        <f>'Rest Universe'!B523</f>
        <v/>
      </c>
      <c r="C522" s="16">
        <f>'Rest Buybacks'!F522</f>
        <v/>
      </c>
      <c r="D522" s="16">
        <f>'Rest Buybacks'!J522</f>
        <v/>
      </c>
      <c r="E522" s="16">
        <f>'Rest Dividends'!H522</f>
        <v/>
      </c>
      <c r="F522" s="16">
        <f>'Rest Offerings'!J522</f>
        <v/>
      </c>
    </row>
    <row r="523">
      <c r="A523" s="16">
        <f>'Rest Universe'!A524</f>
        <v/>
      </c>
      <c r="B523" s="16">
        <f>'Rest Universe'!B524</f>
        <v/>
      </c>
      <c r="C523" s="16">
        <f>'Rest Buybacks'!F523</f>
        <v/>
      </c>
      <c r="D523" s="16">
        <f>'Rest Buybacks'!J523</f>
        <v/>
      </c>
      <c r="E523" s="16">
        <f>'Rest Dividends'!H523</f>
        <v/>
      </c>
      <c r="F523" s="16">
        <f>'Rest Offerings'!J523</f>
        <v/>
      </c>
    </row>
    <row r="524">
      <c r="A524" s="16">
        <f>'Rest Universe'!A525</f>
        <v/>
      </c>
      <c r="B524" s="16">
        <f>'Rest Universe'!B525</f>
        <v/>
      </c>
      <c r="C524" s="16">
        <f>'Rest Buybacks'!F524</f>
        <v/>
      </c>
      <c r="D524" s="16">
        <f>'Rest Buybacks'!J524</f>
        <v/>
      </c>
      <c r="E524" s="16">
        <f>'Rest Dividends'!H524</f>
        <v/>
      </c>
      <c r="F524" s="16">
        <f>'Rest Offerings'!J524</f>
        <v/>
      </c>
    </row>
    <row r="525">
      <c r="A525" s="16">
        <f>'Rest Universe'!A526</f>
        <v/>
      </c>
      <c r="B525" s="16">
        <f>'Rest Universe'!B526</f>
        <v/>
      </c>
      <c r="C525" s="16">
        <f>'Rest Buybacks'!F525</f>
        <v/>
      </c>
      <c r="D525" s="16">
        <f>'Rest Buybacks'!J525</f>
        <v/>
      </c>
      <c r="E525" s="16">
        <f>'Rest Dividends'!H525</f>
        <v/>
      </c>
      <c r="F525" s="16">
        <f>'Rest Offerings'!J525</f>
        <v/>
      </c>
    </row>
    <row r="526">
      <c r="A526" s="16">
        <f>'Rest Universe'!A527</f>
        <v/>
      </c>
      <c r="B526" s="16">
        <f>'Rest Universe'!B527</f>
        <v/>
      </c>
      <c r="C526" s="16">
        <f>'Rest Buybacks'!F526</f>
        <v/>
      </c>
      <c r="D526" s="16">
        <f>'Rest Buybacks'!J526</f>
        <v/>
      </c>
      <c r="E526" s="16">
        <f>'Rest Dividends'!H526</f>
        <v/>
      </c>
      <c r="F526" s="16">
        <f>'Rest Offerings'!J526</f>
        <v/>
      </c>
    </row>
    <row r="527">
      <c r="A527" s="16">
        <f>'Rest Universe'!A528</f>
        <v/>
      </c>
      <c r="B527" s="16">
        <f>'Rest Universe'!B528</f>
        <v/>
      </c>
      <c r="C527" s="16">
        <f>'Rest Buybacks'!F527</f>
        <v/>
      </c>
      <c r="D527" s="16">
        <f>'Rest Buybacks'!J527</f>
        <v/>
      </c>
      <c r="E527" s="16">
        <f>'Rest Dividends'!H527</f>
        <v/>
      </c>
      <c r="F527" s="16">
        <f>'Rest Offerings'!J527</f>
        <v/>
      </c>
    </row>
    <row r="528">
      <c r="A528" s="16">
        <f>'Rest Universe'!A529</f>
        <v/>
      </c>
      <c r="B528" s="16">
        <f>'Rest Universe'!B529</f>
        <v/>
      </c>
      <c r="C528" s="16">
        <f>'Rest Buybacks'!F528</f>
        <v/>
      </c>
      <c r="D528" s="16">
        <f>'Rest Buybacks'!J528</f>
        <v/>
      </c>
      <c r="E528" s="16">
        <f>'Rest Dividends'!H528</f>
        <v/>
      </c>
      <c r="F528" s="16">
        <f>'Rest Offerings'!J528</f>
        <v/>
      </c>
    </row>
    <row r="529">
      <c r="A529" s="16">
        <f>'Rest Universe'!A530</f>
        <v/>
      </c>
      <c r="B529" s="16">
        <f>'Rest Universe'!B530</f>
        <v/>
      </c>
      <c r="C529" s="16">
        <f>'Rest Buybacks'!F529</f>
        <v/>
      </c>
      <c r="D529" s="16">
        <f>'Rest Buybacks'!J529</f>
        <v/>
      </c>
      <c r="E529" s="16">
        <f>'Rest Dividends'!H529</f>
        <v/>
      </c>
      <c r="F529" s="16">
        <f>'Rest Offerings'!J529</f>
        <v/>
      </c>
    </row>
    <row r="530">
      <c r="A530" s="16">
        <f>'Rest Universe'!A531</f>
        <v/>
      </c>
      <c r="B530" s="16">
        <f>'Rest Universe'!B531</f>
        <v/>
      </c>
      <c r="C530" s="16">
        <f>'Rest Buybacks'!F530</f>
        <v/>
      </c>
      <c r="D530" s="16">
        <f>'Rest Buybacks'!J530</f>
        <v/>
      </c>
      <c r="E530" s="16">
        <f>'Rest Dividends'!H530</f>
        <v/>
      </c>
      <c r="F530" s="16">
        <f>'Rest Offerings'!J530</f>
        <v/>
      </c>
    </row>
    <row r="531">
      <c r="A531" s="16">
        <f>'Rest Universe'!A532</f>
        <v/>
      </c>
      <c r="B531" s="16">
        <f>'Rest Universe'!B532</f>
        <v/>
      </c>
      <c r="C531" s="16">
        <f>'Rest Buybacks'!F531</f>
        <v/>
      </c>
      <c r="D531" s="16">
        <f>'Rest Buybacks'!J531</f>
        <v/>
      </c>
      <c r="E531" s="16">
        <f>'Rest Dividends'!H531</f>
        <v/>
      </c>
      <c r="F531" s="16">
        <f>'Rest Offerings'!J531</f>
        <v/>
      </c>
    </row>
    <row r="532">
      <c r="A532" s="16">
        <f>'Rest Universe'!A533</f>
        <v/>
      </c>
      <c r="B532" s="16">
        <f>'Rest Universe'!B533</f>
        <v/>
      </c>
      <c r="C532" s="16">
        <f>'Rest Buybacks'!F532</f>
        <v/>
      </c>
      <c r="D532" s="16">
        <f>'Rest Buybacks'!J532</f>
        <v/>
      </c>
      <c r="E532" s="16">
        <f>'Rest Dividends'!H532</f>
        <v/>
      </c>
      <c r="F532" s="16">
        <f>'Rest Offerings'!J532</f>
        <v/>
      </c>
    </row>
    <row r="533">
      <c r="A533" s="16">
        <f>'Rest Universe'!A534</f>
        <v/>
      </c>
      <c r="B533" s="16">
        <f>'Rest Universe'!B534</f>
        <v/>
      </c>
      <c r="C533" s="16">
        <f>'Rest Buybacks'!F533</f>
        <v/>
      </c>
      <c r="D533" s="16">
        <f>'Rest Buybacks'!J533</f>
        <v/>
      </c>
      <c r="E533" s="16">
        <f>'Rest Dividends'!H533</f>
        <v/>
      </c>
      <c r="F533" s="16">
        <f>'Rest Offerings'!J533</f>
        <v/>
      </c>
    </row>
    <row r="534">
      <c r="A534" s="16">
        <f>'Rest Universe'!A535</f>
        <v/>
      </c>
      <c r="B534" s="16">
        <f>'Rest Universe'!B535</f>
        <v/>
      </c>
      <c r="C534" s="16">
        <f>'Rest Buybacks'!F534</f>
        <v/>
      </c>
      <c r="D534" s="16">
        <f>'Rest Buybacks'!J534</f>
        <v/>
      </c>
      <c r="E534" s="16">
        <f>'Rest Dividends'!H534</f>
        <v/>
      </c>
      <c r="F534" s="16">
        <f>'Rest Offerings'!J534</f>
        <v/>
      </c>
    </row>
    <row r="535">
      <c r="A535" s="16">
        <f>'Rest Universe'!A536</f>
        <v/>
      </c>
      <c r="B535" s="16">
        <f>'Rest Universe'!B536</f>
        <v/>
      </c>
      <c r="C535" s="16">
        <f>'Rest Buybacks'!F535</f>
        <v/>
      </c>
      <c r="D535" s="16">
        <f>'Rest Buybacks'!J535</f>
        <v/>
      </c>
      <c r="E535" s="16">
        <f>'Rest Dividends'!H535</f>
        <v/>
      </c>
      <c r="F535" s="16">
        <f>'Rest Offerings'!J535</f>
        <v/>
      </c>
    </row>
    <row r="536">
      <c r="A536" s="16">
        <f>'Rest Universe'!A537</f>
        <v/>
      </c>
      <c r="B536" s="16">
        <f>'Rest Universe'!B537</f>
        <v/>
      </c>
      <c r="C536" s="16">
        <f>'Rest Buybacks'!F536</f>
        <v/>
      </c>
      <c r="D536" s="16">
        <f>'Rest Buybacks'!J536</f>
        <v/>
      </c>
      <c r="E536" s="16">
        <f>'Rest Dividends'!H536</f>
        <v/>
      </c>
      <c r="F536" s="16">
        <f>'Rest Offerings'!J536</f>
        <v/>
      </c>
    </row>
    <row r="537">
      <c r="A537" s="16">
        <f>'Rest Universe'!A538</f>
        <v/>
      </c>
      <c r="B537" s="16">
        <f>'Rest Universe'!B538</f>
        <v/>
      </c>
      <c r="C537" s="16">
        <f>'Rest Buybacks'!F537</f>
        <v/>
      </c>
      <c r="D537" s="16">
        <f>'Rest Buybacks'!J537</f>
        <v/>
      </c>
      <c r="E537" s="16">
        <f>'Rest Dividends'!H537</f>
        <v/>
      </c>
      <c r="F537" s="16">
        <f>'Rest Offerings'!J537</f>
        <v/>
      </c>
    </row>
    <row r="538">
      <c r="A538" s="16">
        <f>'Rest Universe'!A539</f>
        <v/>
      </c>
      <c r="B538" s="16">
        <f>'Rest Universe'!B539</f>
        <v/>
      </c>
      <c r="C538" s="16">
        <f>'Rest Buybacks'!F538</f>
        <v/>
      </c>
      <c r="D538" s="16">
        <f>'Rest Buybacks'!J538</f>
        <v/>
      </c>
      <c r="E538" s="16">
        <f>'Rest Dividends'!H538</f>
        <v/>
      </c>
      <c r="F538" s="16">
        <f>'Rest Offerings'!J538</f>
        <v/>
      </c>
    </row>
    <row r="539">
      <c r="A539" s="16">
        <f>'Rest Universe'!A540</f>
        <v/>
      </c>
      <c r="B539" s="16">
        <f>'Rest Universe'!B540</f>
        <v/>
      </c>
      <c r="C539" s="16">
        <f>'Rest Buybacks'!F539</f>
        <v/>
      </c>
      <c r="D539" s="16">
        <f>'Rest Buybacks'!J539</f>
        <v/>
      </c>
      <c r="E539" s="16">
        <f>'Rest Dividends'!H539</f>
        <v/>
      </c>
      <c r="F539" s="16">
        <f>'Rest Offerings'!J539</f>
        <v/>
      </c>
    </row>
    <row r="540">
      <c r="A540" s="16">
        <f>'Rest Universe'!A541</f>
        <v/>
      </c>
      <c r="B540" s="16">
        <f>'Rest Universe'!B541</f>
        <v/>
      </c>
      <c r="C540" s="16">
        <f>'Rest Buybacks'!F540</f>
        <v/>
      </c>
      <c r="D540" s="16">
        <f>'Rest Buybacks'!J540</f>
        <v/>
      </c>
      <c r="E540" s="16">
        <f>'Rest Dividends'!H540</f>
        <v/>
      </c>
      <c r="F540" s="16">
        <f>'Rest Offerings'!J540</f>
        <v/>
      </c>
    </row>
    <row r="541">
      <c r="A541" s="16">
        <f>'Rest Universe'!A542</f>
        <v/>
      </c>
      <c r="B541" s="16">
        <f>'Rest Universe'!B542</f>
        <v/>
      </c>
      <c r="C541" s="16">
        <f>'Rest Buybacks'!F541</f>
        <v/>
      </c>
      <c r="D541" s="16">
        <f>'Rest Buybacks'!J541</f>
        <v/>
      </c>
      <c r="E541" s="16">
        <f>'Rest Dividends'!H541</f>
        <v/>
      </c>
      <c r="F541" s="16">
        <f>'Rest Offerings'!J541</f>
        <v/>
      </c>
    </row>
    <row r="542">
      <c r="A542" s="16">
        <f>'Rest Universe'!A543</f>
        <v/>
      </c>
      <c r="B542" s="16">
        <f>'Rest Universe'!B543</f>
        <v/>
      </c>
      <c r="C542" s="16">
        <f>'Rest Buybacks'!F542</f>
        <v/>
      </c>
      <c r="D542" s="16">
        <f>'Rest Buybacks'!J542</f>
        <v/>
      </c>
      <c r="E542" s="16">
        <f>'Rest Dividends'!H542</f>
        <v/>
      </c>
      <c r="F542" s="16">
        <f>'Rest Offerings'!J542</f>
        <v/>
      </c>
    </row>
    <row r="543">
      <c r="A543" s="16">
        <f>'Rest Universe'!A544</f>
        <v/>
      </c>
      <c r="B543" s="16">
        <f>'Rest Universe'!B544</f>
        <v/>
      </c>
      <c r="C543" s="16">
        <f>'Rest Buybacks'!F543</f>
        <v/>
      </c>
      <c r="D543" s="16">
        <f>'Rest Buybacks'!J543</f>
        <v/>
      </c>
      <c r="E543" s="16">
        <f>'Rest Dividends'!H543</f>
        <v/>
      </c>
      <c r="F543" s="16">
        <f>'Rest Offerings'!J543</f>
        <v/>
      </c>
    </row>
    <row r="544">
      <c r="A544" s="16">
        <f>'Rest Universe'!A545</f>
        <v/>
      </c>
      <c r="B544" s="16">
        <f>'Rest Universe'!B545</f>
        <v/>
      </c>
      <c r="C544" s="16">
        <f>'Rest Buybacks'!F544</f>
        <v/>
      </c>
      <c r="D544" s="16">
        <f>'Rest Buybacks'!J544</f>
        <v/>
      </c>
      <c r="E544" s="16">
        <f>'Rest Dividends'!H544</f>
        <v/>
      </c>
      <c r="F544" s="16">
        <f>'Rest Offerings'!J544</f>
        <v/>
      </c>
    </row>
    <row r="545">
      <c r="A545" s="16">
        <f>'Rest Universe'!A546</f>
        <v/>
      </c>
      <c r="B545" s="16">
        <f>'Rest Universe'!B546</f>
        <v/>
      </c>
      <c r="C545" s="16">
        <f>'Rest Buybacks'!F545</f>
        <v/>
      </c>
      <c r="D545" s="16">
        <f>'Rest Buybacks'!J545</f>
        <v/>
      </c>
      <c r="E545" s="16">
        <f>'Rest Dividends'!H545</f>
        <v/>
      </c>
      <c r="F545" s="16">
        <f>'Rest Offerings'!J545</f>
        <v/>
      </c>
    </row>
    <row r="546">
      <c r="A546" s="16">
        <f>'Rest Universe'!A547</f>
        <v/>
      </c>
      <c r="B546" s="16">
        <f>'Rest Universe'!B547</f>
        <v/>
      </c>
      <c r="C546" s="16">
        <f>'Rest Buybacks'!F546</f>
        <v/>
      </c>
      <c r="D546" s="16">
        <f>'Rest Buybacks'!J546</f>
        <v/>
      </c>
      <c r="E546" s="16">
        <f>'Rest Dividends'!H546</f>
        <v/>
      </c>
      <c r="F546" s="16">
        <f>'Rest Offerings'!J546</f>
        <v/>
      </c>
    </row>
    <row r="547">
      <c r="A547" s="16">
        <f>'Rest Universe'!A548</f>
        <v/>
      </c>
      <c r="B547" s="16">
        <f>'Rest Universe'!B548</f>
        <v/>
      </c>
      <c r="C547" s="16">
        <f>'Rest Buybacks'!F547</f>
        <v/>
      </c>
      <c r="D547" s="16">
        <f>'Rest Buybacks'!J547</f>
        <v/>
      </c>
      <c r="E547" s="16">
        <f>'Rest Dividends'!H547</f>
        <v/>
      </c>
      <c r="F547" s="16">
        <f>'Rest Offerings'!J547</f>
        <v/>
      </c>
    </row>
    <row r="548">
      <c r="A548" s="16">
        <f>'Rest Universe'!A549</f>
        <v/>
      </c>
      <c r="B548" s="16">
        <f>'Rest Universe'!B549</f>
        <v/>
      </c>
      <c r="C548" s="16">
        <f>'Rest Buybacks'!F548</f>
        <v/>
      </c>
      <c r="D548" s="16">
        <f>'Rest Buybacks'!J548</f>
        <v/>
      </c>
      <c r="E548" s="16">
        <f>'Rest Dividends'!H548</f>
        <v/>
      </c>
      <c r="F548" s="16">
        <f>'Rest Offerings'!J548</f>
        <v/>
      </c>
    </row>
    <row r="549">
      <c r="A549" s="16">
        <f>'Rest Universe'!A550</f>
        <v/>
      </c>
      <c r="B549" s="16">
        <f>'Rest Universe'!B550</f>
        <v/>
      </c>
      <c r="C549" s="16">
        <f>'Rest Buybacks'!F549</f>
        <v/>
      </c>
      <c r="D549" s="16">
        <f>'Rest Buybacks'!J549</f>
        <v/>
      </c>
      <c r="E549" s="16">
        <f>'Rest Dividends'!H549</f>
        <v/>
      </c>
      <c r="F549" s="16">
        <f>'Rest Offerings'!J549</f>
        <v/>
      </c>
    </row>
    <row r="550">
      <c r="A550" s="16">
        <f>'Rest Universe'!A551</f>
        <v/>
      </c>
      <c r="B550" s="16">
        <f>'Rest Universe'!B551</f>
        <v/>
      </c>
      <c r="C550" s="16">
        <f>'Rest Buybacks'!F550</f>
        <v/>
      </c>
      <c r="D550" s="16">
        <f>'Rest Buybacks'!J550</f>
        <v/>
      </c>
      <c r="E550" s="16">
        <f>'Rest Dividends'!H550</f>
        <v/>
      </c>
      <c r="F550" s="16">
        <f>'Rest Offerings'!J550</f>
        <v/>
      </c>
    </row>
    <row r="551">
      <c r="A551" s="16">
        <f>'Rest Universe'!A552</f>
        <v/>
      </c>
      <c r="B551" s="16">
        <f>'Rest Universe'!B552</f>
        <v/>
      </c>
      <c r="C551" s="16">
        <f>'Rest Buybacks'!F551</f>
        <v/>
      </c>
      <c r="D551" s="16">
        <f>'Rest Buybacks'!J551</f>
        <v/>
      </c>
      <c r="E551" s="16">
        <f>'Rest Dividends'!H551</f>
        <v/>
      </c>
      <c r="F551" s="16">
        <f>'Rest Offerings'!J551</f>
        <v/>
      </c>
    </row>
    <row r="552">
      <c r="A552" s="16">
        <f>'Rest Universe'!A553</f>
        <v/>
      </c>
      <c r="B552" s="16">
        <f>'Rest Universe'!B553</f>
        <v/>
      </c>
      <c r="C552" s="16">
        <f>'Rest Buybacks'!F552</f>
        <v/>
      </c>
      <c r="D552" s="16">
        <f>'Rest Buybacks'!J552</f>
        <v/>
      </c>
      <c r="E552" s="16">
        <f>'Rest Dividends'!H552</f>
        <v/>
      </c>
      <c r="F552" s="16">
        <f>'Rest Offerings'!J552</f>
        <v/>
      </c>
    </row>
    <row r="553">
      <c r="A553" s="16">
        <f>'Rest Universe'!A554</f>
        <v/>
      </c>
      <c r="B553" s="16">
        <f>'Rest Universe'!B554</f>
        <v/>
      </c>
      <c r="C553" s="16">
        <f>'Rest Buybacks'!F553</f>
        <v/>
      </c>
      <c r="D553" s="16">
        <f>'Rest Buybacks'!J553</f>
        <v/>
      </c>
      <c r="E553" s="16">
        <f>'Rest Dividends'!H553</f>
        <v/>
      </c>
      <c r="F553" s="16">
        <f>'Rest Offerings'!J553</f>
        <v/>
      </c>
    </row>
    <row r="554">
      <c r="A554" s="16">
        <f>'Rest Universe'!A555</f>
        <v/>
      </c>
      <c r="B554" s="16">
        <f>'Rest Universe'!B555</f>
        <v/>
      </c>
      <c r="C554" s="16">
        <f>'Rest Buybacks'!F554</f>
        <v/>
      </c>
      <c r="D554" s="16">
        <f>'Rest Buybacks'!J554</f>
        <v/>
      </c>
      <c r="E554" s="16">
        <f>'Rest Dividends'!H554</f>
        <v/>
      </c>
      <c r="F554" s="16">
        <f>'Rest Offerings'!J554</f>
        <v/>
      </c>
    </row>
    <row r="555">
      <c r="A555" s="16">
        <f>'Rest Universe'!A556</f>
        <v/>
      </c>
      <c r="B555" s="16">
        <f>'Rest Universe'!B556</f>
        <v/>
      </c>
      <c r="C555" s="16">
        <f>'Rest Buybacks'!F555</f>
        <v/>
      </c>
      <c r="D555" s="16">
        <f>'Rest Buybacks'!J555</f>
        <v/>
      </c>
      <c r="E555" s="16">
        <f>'Rest Dividends'!H555</f>
        <v/>
      </c>
      <c r="F555" s="16">
        <f>'Rest Offerings'!J555</f>
        <v/>
      </c>
    </row>
    <row r="556">
      <c r="A556" s="16">
        <f>'Rest Universe'!A557</f>
        <v/>
      </c>
      <c r="B556" s="16">
        <f>'Rest Universe'!B557</f>
        <v/>
      </c>
      <c r="C556" s="16">
        <f>'Rest Buybacks'!F556</f>
        <v/>
      </c>
      <c r="D556" s="16">
        <f>'Rest Buybacks'!J556</f>
        <v/>
      </c>
      <c r="E556" s="16">
        <f>'Rest Dividends'!H556</f>
        <v/>
      </c>
      <c r="F556" s="16">
        <f>'Rest Offerings'!J556</f>
        <v/>
      </c>
    </row>
    <row r="557">
      <c r="A557" s="16">
        <f>'Rest Universe'!A558</f>
        <v/>
      </c>
      <c r="B557" s="16">
        <f>'Rest Universe'!B558</f>
        <v/>
      </c>
      <c r="C557" s="16">
        <f>'Rest Buybacks'!F557</f>
        <v/>
      </c>
      <c r="D557" s="16">
        <f>'Rest Buybacks'!J557</f>
        <v/>
      </c>
      <c r="E557" s="16">
        <f>'Rest Dividends'!H557</f>
        <v/>
      </c>
      <c r="F557" s="16">
        <f>'Rest Offerings'!J557</f>
        <v/>
      </c>
    </row>
    <row r="558">
      <c r="A558" s="16">
        <f>'Rest Universe'!A559</f>
        <v/>
      </c>
      <c r="B558" s="16">
        <f>'Rest Universe'!B559</f>
        <v/>
      </c>
      <c r="C558" s="16">
        <f>'Rest Buybacks'!F558</f>
        <v/>
      </c>
      <c r="D558" s="16">
        <f>'Rest Buybacks'!J558</f>
        <v/>
      </c>
      <c r="E558" s="16">
        <f>'Rest Dividends'!H558</f>
        <v/>
      </c>
      <c r="F558" s="16">
        <f>'Rest Offerings'!J558</f>
        <v/>
      </c>
    </row>
    <row r="559">
      <c r="A559" s="16">
        <f>'Rest Universe'!A560</f>
        <v/>
      </c>
      <c r="B559" s="16">
        <f>'Rest Universe'!B560</f>
        <v/>
      </c>
      <c r="C559" s="16">
        <f>'Rest Buybacks'!F559</f>
        <v/>
      </c>
      <c r="D559" s="16">
        <f>'Rest Buybacks'!J559</f>
        <v/>
      </c>
      <c r="E559" s="16">
        <f>'Rest Dividends'!H559</f>
        <v/>
      </c>
      <c r="F559" s="16">
        <f>'Rest Offerings'!J559</f>
        <v/>
      </c>
    </row>
    <row r="560">
      <c r="A560" s="16">
        <f>'Rest Universe'!A561</f>
        <v/>
      </c>
      <c r="B560" s="16">
        <f>'Rest Universe'!B561</f>
        <v/>
      </c>
      <c r="C560" s="16">
        <f>'Rest Buybacks'!F560</f>
        <v/>
      </c>
      <c r="D560" s="16">
        <f>'Rest Buybacks'!J560</f>
        <v/>
      </c>
      <c r="E560" s="16">
        <f>'Rest Dividends'!H560</f>
        <v/>
      </c>
      <c r="F560" s="16">
        <f>'Rest Offerings'!J560</f>
        <v/>
      </c>
    </row>
    <row r="561">
      <c r="A561" s="16">
        <f>'Rest Universe'!A562</f>
        <v/>
      </c>
      <c r="B561" s="16">
        <f>'Rest Universe'!B562</f>
        <v/>
      </c>
      <c r="C561" s="16">
        <f>'Rest Buybacks'!F561</f>
        <v/>
      </c>
      <c r="D561" s="16">
        <f>'Rest Buybacks'!J561</f>
        <v/>
      </c>
      <c r="E561" s="16">
        <f>'Rest Dividends'!H561</f>
        <v/>
      </c>
      <c r="F561" s="16">
        <f>'Rest Offerings'!J561</f>
        <v/>
      </c>
    </row>
    <row r="562">
      <c r="A562" s="16">
        <f>'Rest Universe'!A563</f>
        <v/>
      </c>
      <c r="B562" s="16">
        <f>'Rest Universe'!B563</f>
        <v/>
      </c>
      <c r="C562" s="16">
        <f>'Rest Buybacks'!F562</f>
        <v/>
      </c>
      <c r="D562" s="16">
        <f>'Rest Buybacks'!J562</f>
        <v/>
      </c>
      <c r="E562" s="16">
        <f>'Rest Dividends'!H562</f>
        <v/>
      </c>
      <c r="F562" s="16">
        <f>'Rest Offerings'!J562</f>
        <v/>
      </c>
    </row>
    <row r="563">
      <c r="A563" s="16">
        <f>'Rest Universe'!A564</f>
        <v/>
      </c>
      <c r="B563" s="16">
        <f>'Rest Universe'!B564</f>
        <v/>
      </c>
      <c r="C563" s="16">
        <f>'Rest Buybacks'!F563</f>
        <v/>
      </c>
      <c r="D563" s="16">
        <f>'Rest Buybacks'!J563</f>
        <v/>
      </c>
      <c r="E563" s="16">
        <f>'Rest Dividends'!H563</f>
        <v/>
      </c>
      <c r="F563" s="16">
        <f>'Rest Offerings'!J563</f>
        <v/>
      </c>
    </row>
    <row r="564">
      <c r="A564" s="16">
        <f>'Rest Universe'!A565</f>
        <v/>
      </c>
      <c r="B564" s="16">
        <f>'Rest Universe'!B565</f>
        <v/>
      </c>
      <c r="C564" s="16">
        <f>'Rest Buybacks'!F564</f>
        <v/>
      </c>
      <c r="D564" s="16">
        <f>'Rest Buybacks'!J564</f>
        <v/>
      </c>
      <c r="E564" s="16">
        <f>'Rest Dividends'!H564</f>
        <v/>
      </c>
      <c r="F564" s="16">
        <f>'Rest Offerings'!J564</f>
        <v/>
      </c>
    </row>
    <row r="565">
      <c r="A565" s="16">
        <f>'Rest Universe'!A566</f>
        <v/>
      </c>
      <c r="B565" s="16">
        <f>'Rest Universe'!B566</f>
        <v/>
      </c>
      <c r="C565" s="16">
        <f>'Rest Buybacks'!F565</f>
        <v/>
      </c>
      <c r="D565" s="16">
        <f>'Rest Buybacks'!J565</f>
        <v/>
      </c>
      <c r="E565" s="16">
        <f>'Rest Dividends'!H565</f>
        <v/>
      </c>
      <c r="F565" s="16">
        <f>'Rest Offerings'!J565</f>
        <v/>
      </c>
    </row>
    <row r="566">
      <c r="A566" s="16">
        <f>'Rest Universe'!A567</f>
        <v/>
      </c>
      <c r="B566" s="16">
        <f>'Rest Universe'!B567</f>
        <v/>
      </c>
      <c r="C566" s="16">
        <f>'Rest Buybacks'!F566</f>
        <v/>
      </c>
      <c r="D566" s="16">
        <f>'Rest Buybacks'!J566</f>
        <v/>
      </c>
      <c r="E566" s="16">
        <f>'Rest Dividends'!H566</f>
        <v/>
      </c>
      <c r="F566" s="16">
        <f>'Rest Offerings'!J566</f>
        <v/>
      </c>
    </row>
    <row r="567">
      <c r="A567" s="16">
        <f>'Rest Universe'!A568</f>
        <v/>
      </c>
      <c r="B567" s="16">
        <f>'Rest Universe'!B568</f>
        <v/>
      </c>
      <c r="C567" s="16">
        <f>'Rest Buybacks'!F567</f>
        <v/>
      </c>
      <c r="D567" s="16">
        <f>'Rest Buybacks'!J567</f>
        <v/>
      </c>
      <c r="E567" s="16">
        <f>'Rest Dividends'!H567</f>
        <v/>
      </c>
      <c r="F567" s="16">
        <f>'Rest Offerings'!J567</f>
        <v/>
      </c>
    </row>
    <row r="568">
      <c r="A568" s="16">
        <f>'Rest Universe'!A569</f>
        <v/>
      </c>
      <c r="B568" s="16">
        <f>'Rest Universe'!B569</f>
        <v/>
      </c>
      <c r="C568" s="16">
        <f>'Rest Buybacks'!F568</f>
        <v/>
      </c>
      <c r="D568" s="16">
        <f>'Rest Buybacks'!J568</f>
        <v/>
      </c>
      <c r="E568" s="16">
        <f>'Rest Dividends'!H568</f>
        <v/>
      </c>
      <c r="F568" s="16">
        <f>'Rest Offerings'!J568</f>
        <v/>
      </c>
    </row>
    <row r="569">
      <c r="A569" s="16">
        <f>'Rest Universe'!A570</f>
        <v/>
      </c>
      <c r="B569" s="16">
        <f>'Rest Universe'!B570</f>
        <v/>
      </c>
      <c r="C569" s="16">
        <f>'Rest Buybacks'!F569</f>
        <v/>
      </c>
      <c r="D569" s="16">
        <f>'Rest Buybacks'!J569</f>
        <v/>
      </c>
      <c r="E569" s="16">
        <f>'Rest Dividends'!H569</f>
        <v/>
      </c>
      <c r="F569" s="16">
        <f>'Rest Offerings'!J569</f>
        <v/>
      </c>
    </row>
    <row r="570">
      <c r="A570" s="16">
        <f>'Rest Universe'!A571</f>
        <v/>
      </c>
      <c r="B570" s="16">
        <f>'Rest Universe'!B571</f>
        <v/>
      </c>
      <c r="C570" s="16">
        <f>'Rest Buybacks'!F570</f>
        <v/>
      </c>
      <c r="D570" s="16">
        <f>'Rest Buybacks'!J570</f>
        <v/>
      </c>
      <c r="E570" s="16">
        <f>'Rest Dividends'!H570</f>
        <v/>
      </c>
      <c r="F570" s="16">
        <f>'Rest Offerings'!J570</f>
        <v/>
      </c>
    </row>
    <row r="571">
      <c r="A571" s="16">
        <f>'Rest Universe'!A572</f>
        <v/>
      </c>
      <c r="B571" s="16">
        <f>'Rest Universe'!B572</f>
        <v/>
      </c>
      <c r="C571" s="16">
        <f>'Rest Buybacks'!F571</f>
        <v/>
      </c>
      <c r="D571" s="16">
        <f>'Rest Buybacks'!J571</f>
        <v/>
      </c>
      <c r="E571" s="16">
        <f>'Rest Dividends'!H571</f>
        <v/>
      </c>
      <c r="F571" s="16">
        <f>'Rest Offerings'!J571</f>
        <v/>
      </c>
    </row>
    <row r="572">
      <c r="A572" s="16">
        <f>'Rest Universe'!A573</f>
        <v/>
      </c>
      <c r="B572" s="16">
        <f>'Rest Universe'!B573</f>
        <v/>
      </c>
      <c r="C572" s="16">
        <f>'Rest Buybacks'!F572</f>
        <v/>
      </c>
      <c r="D572" s="16">
        <f>'Rest Buybacks'!J572</f>
        <v/>
      </c>
      <c r="E572" s="16">
        <f>'Rest Dividends'!H572</f>
        <v/>
      </c>
      <c r="F572" s="16">
        <f>'Rest Offerings'!J572</f>
        <v/>
      </c>
    </row>
    <row r="573">
      <c r="A573" s="16">
        <f>'Rest Universe'!A574</f>
        <v/>
      </c>
      <c r="B573" s="16">
        <f>'Rest Universe'!B574</f>
        <v/>
      </c>
      <c r="C573" s="16">
        <f>'Rest Buybacks'!F573</f>
        <v/>
      </c>
      <c r="D573" s="16">
        <f>'Rest Buybacks'!J573</f>
        <v/>
      </c>
      <c r="E573" s="16">
        <f>'Rest Dividends'!H573</f>
        <v/>
      </c>
      <c r="F573" s="16">
        <f>'Rest Offerings'!J573</f>
        <v/>
      </c>
    </row>
    <row r="574">
      <c r="A574" s="16">
        <f>'Rest Universe'!A575</f>
        <v/>
      </c>
      <c r="B574" s="16">
        <f>'Rest Universe'!B575</f>
        <v/>
      </c>
      <c r="C574" s="16">
        <f>'Rest Buybacks'!F574</f>
        <v/>
      </c>
      <c r="D574" s="16">
        <f>'Rest Buybacks'!J574</f>
        <v/>
      </c>
      <c r="E574" s="16">
        <f>'Rest Dividends'!H574</f>
        <v/>
      </c>
      <c r="F574" s="16">
        <f>'Rest Offerings'!J574</f>
        <v/>
      </c>
    </row>
    <row r="575">
      <c r="A575" s="16">
        <f>'Rest Universe'!A576</f>
        <v/>
      </c>
      <c r="B575" s="16">
        <f>'Rest Universe'!B576</f>
        <v/>
      </c>
      <c r="C575" s="16">
        <f>'Rest Buybacks'!F575</f>
        <v/>
      </c>
      <c r="D575" s="16">
        <f>'Rest Buybacks'!J575</f>
        <v/>
      </c>
      <c r="E575" s="16">
        <f>'Rest Dividends'!H575</f>
        <v/>
      </c>
      <c r="F575" s="16">
        <f>'Rest Offerings'!J575</f>
        <v/>
      </c>
    </row>
    <row r="576">
      <c r="A576" s="16">
        <f>'Rest Universe'!A577</f>
        <v/>
      </c>
      <c r="B576" s="16">
        <f>'Rest Universe'!B577</f>
        <v/>
      </c>
      <c r="C576" s="16">
        <f>'Rest Buybacks'!F576</f>
        <v/>
      </c>
      <c r="D576" s="16">
        <f>'Rest Buybacks'!J576</f>
        <v/>
      </c>
      <c r="E576" s="16">
        <f>'Rest Dividends'!H576</f>
        <v/>
      </c>
      <c r="F576" s="16">
        <f>'Rest Offerings'!J576</f>
        <v/>
      </c>
    </row>
    <row r="577">
      <c r="A577" s="16">
        <f>'Rest Universe'!A578</f>
        <v/>
      </c>
      <c r="B577" s="16">
        <f>'Rest Universe'!B578</f>
        <v/>
      </c>
      <c r="C577" s="16">
        <f>'Rest Buybacks'!F577</f>
        <v/>
      </c>
      <c r="D577" s="16">
        <f>'Rest Buybacks'!J577</f>
        <v/>
      </c>
      <c r="E577" s="16">
        <f>'Rest Dividends'!H577</f>
        <v/>
      </c>
      <c r="F577" s="16">
        <f>'Rest Offerings'!J577</f>
        <v/>
      </c>
    </row>
    <row r="578">
      <c r="A578" s="16">
        <f>'Rest Universe'!A579</f>
        <v/>
      </c>
      <c r="B578" s="16">
        <f>'Rest Universe'!B579</f>
        <v/>
      </c>
      <c r="C578" s="16">
        <f>'Rest Buybacks'!F578</f>
        <v/>
      </c>
      <c r="D578" s="16">
        <f>'Rest Buybacks'!J578</f>
        <v/>
      </c>
      <c r="E578" s="16">
        <f>'Rest Dividends'!H578</f>
        <v/>
      </c>
      <c r="F578" s="16">
        <f>'Rest Offerings'!J578</f>
        <v/>
      </c>
    </row>
    <row r="579">
      <c r="A579" s="16">
        <f>'Rest Universe'!A580</f>
        <v/>
      </c>
      <c r="B579" s="16">
        <f>'Rest Universe'!B580</f>
        <v/>
      </c>
      <c r="C579" s="16">
        <f>'Rest Buybacks'!F579</f>
        <v/>
      </c>
      <c r="D579" s="16">
        <f>'Rest Buybacks'!J579</f>
        <v/>
      </c>
      <c r="E579" s="16">
        <f>'Rest Dividends'!H579</f>
        <v/>
      </c>
      <c r="F579" s="16">
        <f>'Rest Offerings'!J579</f>
        <v/>
      </c>
    </row>
    <row r="580">
      <c r="A580" s="16">
        <f>'Rest Universe'!A581</f>
        <v/>
      </c>
      <c r="B580" s="16">
        <f>'Rest Universe'!B581</f>
        <v/>
      </c>
      <c r="C580" s="16">
        <f>'Rest Buybacks'!F580</f>
        <v/>
      </c>
      <c r="D580" s="16">
        <f>'Rest Buybacks'!J580</f>
        <v/>
      </c>
      <c r="E580" s="16">
        <f>'Rest Dividends'!H580</f>
        <v/>
      </c>
      <c r="F580" s="16">
        <f>'Rest Offerings'!J580</f>
        <v/>
      </c>
    </row>
    <row r="581">
      <c r="A581" s="16">
        <f>'Rest Universe'!A582</f>
        <v/>
      </c>
      <c r="B581" s="16">
        <f>'Rest Universe'!B582</f>
        <v/>
      </c>
      <c r="C581" s="16">
        <f>'Rest Buybacks'!F581</f>
        <v/>
      </c>
      <c r="D581" s="16">
        <f>'Rest Buybacks'!J581</f>
        <v/>
      </c>
      <c r="E581" s="16">
        <f>'Rest Dividends'!H581</f>
        <v/>
      </c>
      <c r="F581" s="16">
        <f>'Rest Offerings'!J581</f>
        <v/>
      </c>
    </row>
    <row r="582">
      <c r="A582" s="16">
        <f>'Rest Universe'!A583</f>
        <v/>
      </c>
      <c r="B582" s="16">
        <f>'Rest Universe'!B583</f>
        <v/>
      </c>
      <c r="C582" s="16">
        <f>'Rest Buybacks'!F582</f>
        <v/>
      </c>
      <c r="D582" s="16">
        <f>'Rest Buybacks'!J582</f>
        <v/>
      </c>
      <c r="E582" s="16">
        <f>'Rest Dividends'!H582</f>
        <v/>
      </c>
      <c r="F582" s="16">
        <f>'Rest Offerings'!J582</f>
        <v/>
      </c>
    </row>
    <row r="583">
      <c r="A583" s="16">
        <f>'Rest Universe'!A584</f>
        <v/>
      </c>
      <c r="B583" s="16">
        <f>'Rest Universe'!B584</f>
        <v/>
      </c>
      <c r="C583" s="16">
        <f>'Rest Buybacks'!F583</f>
        <v/>
      </c>
      <c r="D583" s="16">
        <f>'Rest Buybacks'!J583</f>
        <v/>
      </c>
      <c r="E583" s="16">
        <f>'Rest Dividends'!H583</f>
        <v/>
      </c>
      <c r="F583" s="16">
        <f>'Rest Offerings'!J583</f>
        <v/>
      </c>
    </row>
    <row r="584">
      <c r="A584" s="16">
        <f>'Rest Universe'!A585</f>
        <v/>
      </c>
      <c r="B584" s="16">
        <f>'Rest Universe'!B585</f>
        <v/>
      </c>
      <c r="C584" s="16">
        <f>'Rest Buybacks'!F584</f>
        <v/>
      </c>
      <c r="D584" s="16">
        <f>'Rest Buybacks'!J584</f>
        <v/>
      </c>
      <c r="E584" s="16">
        <f>'Rest Dividends'!H584</f>
        <v/>
      </c>
      <c r="F584" s="16">
        <f>'Rest Offerings'!J584</f>
        <v/>
      </c>
    </row>
    <row r="585">
      <c r="A585" s="16">
        <f>'Rest Universe'!A586</f>
        <v/>
      </c>
      <c r="B585" s="16">
        <f>'Rest Universe'!B586</f>
        <v/>
      </c>
      <c r="C585" s="16">
        <f>'Rest Buybacks'!F585</f>
        <v/>
      </c>
      <c r="D585" s="16">
        <f>'Rest Buybacks'!J585</f>
        <v/>
      </c>
      <c r="E585" s="16">
        <f>'Rest Dividends'!H585</f>
        <v/>
      </c>
      <c r="F585" s="16">
        <f>'Rest Offerings'!J585</f>
        <v/>
      </c>
    </row>
    <row r="586">
      <c r="A586" s="16">
        <f>'Rest Universe'!A587</f>
        <v/>
      </c>
      <c r="B586" s="16">
        <f>'Rest Universe'!B587</f>
        <v/>
      </c>
      <c r="C586" s="16">
        <f>'Rest Buybacks'!F586</f>
        <v/>
      </c>
      <c r="D586" s="16">
        <f>'Rest Buybacks'!J586</f>
        <v/>
      </c>
      <c r="E586" s="16">
        <f>'Rest Dividends'!H586</f>
        <v/>
      </c>
      <c r="F586" s="16">
        <f>'Rest Offerings'!J586</f>
        <v/>
      </c>
    </row>
    <row r="587">
      <c r="A587" s="16">
        <f>'Rest Universe'!A588</f>
        <v/>
      </c>
      <c r="B587" s="16">
        <f>'Rest Universe'!B588</f>
        <v/>
      </c>
      <c r="C587" s="16">
        <f>'Rest Buybacks'!F587</f>
        <v/>
      </c>
      <c r="D587" s="16">
        <f>'Rest Buybacks'!J587</f>
        <v/>
      </c>
      <c r="E587" s="16">
        <f>'Rest Dividends'!H587</f>
        <v/>
      </c>
      <c r="F587" s="16">
        <f>'Rest Offerings'!J587</f>
        <v/>
      </c>
    </row>
    <row r="588">
      <c r="A588" s="16">
        <f>'Rest Universe'!A589</f>
        <v/>
      </c>
      <c r="B588" s="16">
        <f>'Rest Universe'!B589</f>
        <v/>
      </c>
      <c r="C588" s="16">
        <f>'Rest Buybacks'!F588</f>
        <v/>
      </c>
      <c r="D588" s="16">
        <f>'Rest Buybacks'!J588</f>
        <v/>
      </c>
      <c r="E588" s="16">
        <f>'Rest Dividends'!H588</f>
        <v/>
      </c>
      <c r="F588" s="16">
        <f>'Rest Offerings'!J588</f>
        <v/>
      </c>
    </row>
    <row r="589">
      <c r="A589" s="16">
        <f>'Rest Universe'!A590</f>
        <v/>
      </c>
      <c r="B589" s="16">
        <f>'Rest Universe'!B590</f>
        <v/>
      </c>
      <c r="C589" s="16">
        <f>'Rest Buybacks'!F589</f>
        <v/>
      </c>
      <c r="D589" s="16">
        <f>'Rest Buybacks'!J589</f>
        <v/>
      </c>
      <c r="E589" s="16">
        <f>'Rest Dividends'!H589</f>
        <v/>
      </c>
      <c r="F589" s="16">
        <f>'Rest Offerings'!J589</f>
        <v/>
      </c>
    </row>
    <row r="590">
      <c r="A590" s="16">
        <f>'Rest Universe'!A591</f>
        <v/>
      </c>
      <c r="B590" s="16">
        <f>'Rest Universe'!B591</f>
        <v/>
      </c>
      <c r="C590" s="16">
        <f>'Rest Buybacks'!F590</f>
        <v/>
      </c>
      <c r="D590" s="16">
        <f>'Rest Buybacks'!J590</f>
        <v/>
      </c>
      <c r="E590" s="16">
        <f>'Rest Dividends'!H590</f>
        <v/>
      </c>
      <c r="F590" s="16">
        <f>'Rest Offerings'!J590</f>
        <v/>
      </c>
    </row>
  </sheetData>
  <mergeCells count="2">
    <mergeCell ref="A1:F1"/>
    <mergeCell ref="H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22" customWidth="1" min="4" max="4"/>
    <col width="18" customWidth="1" min="5" max="5"/>
  </cols>
  <sheetData>
    <row r="1" ht="22" customHeight="1">
      <c r="A1" s="13" t="inlineStr">
        <is>
          <t>Universe — SGX Ex-STI30</t>
        </is>
      </c>
    </row>
    <row r="3">
      <c r="A3" s="14" t="inlineStr">
        <is>
          <t>Ticker (Bloomberg)</t>
        </is>
      </c>
      <c r="B3" s="14" t="inlineStr">
        <is>
          <t>Company Name</t>
        </is>
      </c>
      <c r="C3" s="14" t="inlineStr">
        <is>
          <t>Market Cap</t>
        </is>
      </c>
      <c r="D3" s="14" t="inlineStr">
        <is>
          <t>GICS Sector</t>
        </is>
      </c>
      <c r="E3" s="14" t="inlineStr">
        <is>
          <t>Primary Exchange</t>
        </is>
      </c>
    </row>
    <row r="4">
      <c r="A4" s="15" t="inlineStr">
        <is>
          <t>(static snapshot from source Universe tab — re-run your BQL universe pull to refresh tickers/names/sectors)</t>
        </is>
      </c>
    </row>
    <row r="5">
      <c r="A5" s="16" t="inlineStr">
        <is>
          <t>GE SP Equity</t>
        </is>
      </c>
      <c r="B5" s="16" t="inlineStr">
        <is>
          <t>Great Eastern Holdings Ltd</t>
        </is>
      </c>
      <c r="C5" s="17" t="n">
        <v>19673435584.40234</v>
      </c>
      <c r="D5" s="16" t="inlineStr">
        <is>
          <t>Financials</t>
        </is>
      </c>
      <c r="E5" s="16" t="inlineStr">
        <is>
          <t>Singapore</t>
        </is>
      </c>
    </row>
    <row r="6">
      <c r="A6" s="16" t="inlineStr">
        <is>
          <t>JCNC SP Equity</t>
        </is>
      </c>
      <c r="B6" s="16" t="inlineStr">
        <is>
          <t>Jardine Cycle &amp; Carriage Ltd</t>
        </is>
      </c>
      <c r="C6" s="17" t="n">
        <v>10762283941.31519</v>
      </c>
      <c r="D6" s="16" t="inlineStr">
        <is>
          <t>Industrials</t>
        </is>
      </c>
      <c r="E6" s="16" t="inlineStr">
        <is>
          <t>Singapore</t>
        </is>
      </c>
    </row>
    <row r="7">
      <c r="A7" s="16" t="inlineStr">
        <is>
          <t>FR SP Equity</t>
        </is>
      </c>
      <c r="B7" s="16" t="inlineStr">
        <is>
          <t>First Resources Ltd</t>
        </is>
      </c>
      <c r="C7" s="17" t="n">
        <v>7105966365.937533</v>
      </c>
      <c r="D7" s="16" t="inlineStr">
        <is>
          <t>Consumer Staples</t>
        </is>
      </c>
      <c r="E7" s="16" t="inlineStr">
        <is>
          <t>Singapore</t>
        </is>
      </c>
    </row>
    <row r="8">
      <c r="A8" s="16" t="inlineStr">
        <is>
          <t>SSG SP Equity</t>
        </is>
      </c>
      <c r="B8" s="16" t="inlineStr">
        <is>
          <t>Sheng Siong Group Ltd</t>
        </is>
      </c>
      <c r="C8" s="17" t="n">
        <v>4886495250</v>
      </c>
      <c r="D8" s="16" t="inlineStr">
        <is>
          <t>Consumer Staples</t>
        </is>
      </c>
      <c r="E8" s="16" t="inlineStr">
        <is>
          <t>Singapore</t>
        </is>
      </c>
    </row>
    <row r="9">
      <c r="A9" s="16" t="inlineStr">
        <is>
          <t>SPLG SP Equity</t>
        </is>
      </c>
      <c r="B9" s="16" t="inlineStr">
        <is>
          <t>Singapore Land Group Ltd</t>
        </is>
      </c>
      <c r="C9" s="17" t="n">
        <v>4614355385.199306</v>
      </c>
      <c r="D9" s="16" t="inlineStr">
        <is>
          <t>Real Estate</t>
        </is>
      </c>
      <c r="E9" s="16" t="inlineStr">
        <is>
          <t>Singapore</t>
        </is>
      </c>
    </row>
    <row r="10">
      <c r="A10" s="16" t="inlineStr">
        <is>
          <t>KREIT SP Equity</t>
        </is>
      </c>
      <c r="B10" s="16" t="inlineStr">
        <is>
          <t>Keppel REIT</t>
        </is>
      </c>
      <c r="C10" s="17" t="n">
        <v>4183160092.875544</v>
      </c>
      <c r="D10" s="16" t="inlineStr">
        <is>
          <t>Real Estate</t>
        </is>
      </c>
      <c r="E10" s="16" t="inlineStr">
        <is>
          <t>Singapore</t>
        </is>
      </c>
    </row>
    <row r="11">
      <c r="A11" s="16" t="inlineStr">
        <is>
          <t>GGR SP Equity</t>
        </is>
      </c>
      <c r="B11" s="16" t="inlineStr">
        <is>
          <t>Golden Agri-Resources Ltd</t>
        </is>
      </c>
      <c r="C11" s="17" t="n">
        <v>4121543592.022676</v>
      </c>
      <c r="D11" s="16" t="inlineStr">
        <is>
          <t>Consumer Staples</t>
        </is>
      </c>
      <c r="E11" s="16" t="inlineStr">
        <is>
          <t>Singapore</t>
        </is>
      </c>
    </row>
    <row r="12">
      <c r="A12" s="16" t="inlineStr">
        <is>
          <t>SUN SP Equity</t>
        </is>
      </c>
      <c r="B12" s="16" t="inlineStr">
        <is>
          <t>Suntec Real Estate Investment</t>
        </is>
      </c>
      <c r="C12" s="17" t="n">
        <v>4087216955.137268</v>
      </c>
      <c r="D12" s="16" t="inlineStr">
        <is>
          <t>Real Estate</t>
        </is>
      </c>
      <c r="E12" s="16" t="inlineStr">
        <is>
          <t>Singapore</t>
        </is>
      </c>
    </row>
    <row r="13">
      <c r="A13" s="16" t="inlineStr">
        <is>
          <t>STTF SP Equity</t>
        </is>
      </c>
      <c r="B13" s="16" t="inlineStr">
        <is>
          <t>State Street SPDR Straits Time</t>
        </is>
      </c>
      <c r="C13" s="17" t="n">
        <v>4057457652.166748</v>
      </c>
      <c r="D13" s="16" t="e">
        <v>#N/A</v>
      </c>
      <c r="E13" s="16" t="inlineStr">
        <is>
          <t>Singapore</t>
        </is>
      </c>
    </row>
    <row r="14">
      <c r="A14" s="16" t="inlineStr">
        <is>
          <t>UOBK SP Equity</t>
        </is>
      </c>
      <c r="B14" s="16" t="inlineStr">
        <is>
          <t>UOB-Kay Hian Holdings Ltd</t>
        </is>
      </c>
      <c r="C14" s="17" t="n">
        <v>3946595063.652811</v>
      </c>
      <c r="D14" s="16" t="inlineStr">
        <is>
          <t>Financials</t>
        </is>
      </c>
      <c r="E14" s="16" t="inlineStr">
        <is>
          <t>Singapore</t>
        </is>
      </c>
    </row>
    <row r="15">
      <c r="A15" s="16" t="inlineStr">
        <is>
          <t>FPL SP Equity</t>
        </is>
      </c>
      <c r="B15" s="16" t="inlineStr">
        <is>
          <t>Frasers Property Ltd</t>
        </is>
      </c>
      <c r="C15" s="17" t="n">
        <v>3906411383.855825</v>
      </c>
      <c r="D15" s="16" t="inlineStr">
        <is>
          <t>Real Estate</t>
        </is>
      </c>
      <c r="E15" s="16" t="inlineStr">
        <is>
          <t>Singapore</t>
        </is>
      </c>
    </row>
    <row r="16">
      <c r="A16" s="16" t="inlineStr">
        <is>
          <t>OLG SP Equity</t>
        </is>
      </c>
      <c r="B16" s="16" t="inlineStr">
        <is>
          <t>Olam Group Ltd</t>
        </is>
      </c>
      <c r="C16" s="17" t="n">
        <v>3884283552.656556</v>
      </c>
      <c r="D16" s="16" t="inlineStr">
        <is>
          <t>Consumer Staples</t>
        </is>
      </c>
      <c r="E16" s="16" t="inlineStr">
        <is>
          <t>Singapore</t>
        </is>
      </c>
    </row>
    <row r="17">
      <c r="A17" s="16" t="inlineStr">
        <is>
          <t>BAL SP Equity</t>
        </is>
      </c>
      <c r="B17" s="16" t="inlineStr">
        <is>
          <t>Bumitama Agri Ltd</t>
        </is>
      </c>
      <c r="C17" s="17" t="n">
        <v>3763092707.78469</v>
      </c>
      <c r="D17" s="16" t="inlineStr">
        <is>
          <t>Consumer Staples</t>
        </is>
      </c>
      <c r="E17" s="16" t="inlineStr">
        <is>
          <t>Singapore</t>
        </is>
      </c>
    </row>
    <row r="18">
      <c r="A18" s="16" t="inlineStr">
        <is>
          <t>NETLINK SP Equity</t>
        </is>
      </c>
      <c r="B18" s="16" t="inlineStr">
        <is>
          <t>NETLINK NBN TRUST</t>
        </is>
      </c>
      <c r="C18" s="17" t="n">
        <v>3741092172.380072</v>
      </c>
      <c r="D18" s="16" t="inlineStr">
        <is>
          <t>Communication Services</t>
        </is>
      </c>
      <c r="E18" s="16" t="inlineStr">
        <is>
          <t>Singapore</t>
        </is>
      </c>
    </row>
    <row r="19">
      <c r="A19" s="16" t="inlineStr">
        <is>
          <t>SIE SP Equity</t>
        </is>
      </c>
      <c r="B19" s="16" t="inlineStr">
        <is>
          <t>SIA Engineering Co Ltd</t>
        </is>
      </c>
      <c r="C19" s="17" t="n">
        <v>3472159323.083571</v>
      </c>
      <c r="D19" s="16" t="inlineStr">
        <is>
          <t>Industrials</t>
        </is>
      </c>
      <c r="E19" s="16" t="inlineStr">
        <is>
          <t>Singapore</t>
        </is>
      </c>
    </row>
    <row r="20">
      <c r="A20" s="16" t="inlineStr">
        <is>
          <t>CLAS SP Equity</t>
        </is>
      </c>
      <c r="B20" s="16" t="inlineStr">
        <is>
          <t>CapitaLand Ascott Trust</t>
        </is>
      </c>
      <c r="C20" s="17" t="n">
        <v>3200980568.39599</v>
      </c>
      <c r="D20" s="16" t="inlineStr">
        <is>
          <t>Real Estate</t>
        </is>
      </c>
      <c r="E20" s="16" t="inlineStr">
        <is>
          <t>Singapore</t>
        </is>
      </c>
    </row>
    <row r="21">
      <c r="A21" s="16" t="inlineStr">
        <is>
          <t>KIT SP Equity</t>
        </is>
      </c>
      <c r="B21" s="16" t="inlineStr">
        <is>
          <t>Keppel Infrastructure Trust</t>
        </is>
      </c>
      <c r="C21" s="17" t="n">
        <v>3164900388.392141</v>
      </c>
      <c r="D21" s="16" t="inlineStr">
        <is>
          <t>Materials</t>
        </is>
      </c>
      <c r="E21" s="16" t="inlineStr">
        <is>
          <t>Singapore</t>
        </is>
      </c>
    </row>
    <row r="22">
      <c r="A22" s="16" t="inlineStr">
        <is>
          <t>HPAR SP Equity</t>
        </is>
      </c>
      <c r="B22" s="16" t="inlineStr">
        <is>
          <t>Haw Par Corp Ltd</t>
        </is>
      </c>
      <c r="C22" s="17" t="n">
        <v>2992897800.294308</v>
      </c>
      <c r="D22" s="16" t="inlineStr">
        <is>
          <t>Health Care</t>
        </is>
      </c>
      <c r="E22" s="16" t="inlineStr">
        <is>
          <t>Singapore</t>
        </is>
      </c>
    </row>
    <row r="23">
      <c r="A23" s="16" t="inlineStr">
        <is>
          <t>AEM SP Equity</t>
        </is>
      </c>
      <c r="B23" s="16" t="inlineStr">
        <is>
          <t>AEM Holdings Ltd</t>
        </is>
      </c>
      <c r="C23" s="17" t="n">
        <v>2961636867.989159</v>
      </c>
      <c r="D23" s="16" t="inlineStr">
        <is>
          <t>Information Technology</t>
        </is>
      </c>
      <c r="E23" s="16" t="inlineStr">
        <is>
          <t>Singapore</t>
        </is>
      </c>
    </row>
    <row r="24">
      <c r="A24" s="16" t="inlineStr">
        <is>
          <t>CD SP Equity</t>
        </is>
      </c>
      <c r="B24" s="16" t="inlineStr">
        <is>
          <t>ComfortDelGro Corp Ltd</t>
        </is>
      </c>
      <c r="C24" s="17" t="n">
        <v>2750792661.307239</v>
      </c>
      <c r="D24" s="16" t="inlineStr">
        <is>
          <t>Industrials</t>
        </is>
      </c>
      <c r="E24" s="16" t="inlineStr">
        <is>
          <t>Singapore</t>
        </is>
      </c>
    </row>
    <row r="25">
      <c r="A25" s="16" t="inlineStr">
        <is>
          <t>IFAST SP Equity</t>
        </is>
      </c>
      <c r="B25" s="16" t="inlineStr">
        <is>
          <t>iFAST Corp Ltd</t>
        </is>
      </c>
      <c r="C25" s="17" t="n">
        <v>2746844175.534619</v>
      </c>
      <c r="D25" s="16" t="inlineStr">
        <is>
          <t>Financials</t>
        </is>
      </c>
      <c r="E25" s="16" t="inlineStr">
        <is>
          <t>Singapore</t>
        </is>
      </c>
    </row>
    <row r="26">
      <c r="A26" s="16" t="inlineStr">
        <is>
          <t>PREIT SP Equity</t>
        </is>
      </c>
      <c r="B26" s="16" t="inlineStr">
        <is>
          <t>Parkway Life Real Estate Inves</t>
        </is>
      </c>
      <c r="C26" s="17" t="n">
        <v>2623936268.910345</v>
      </c>
      <c r="D26" s="16" t="inlineStr">
        <is>
          <t>Real Estate</t>
        </is>
      </c>
      <c r="E26" s="16" t="inlineStr">
        <is>
          <t>Singapore</t>
        </is>
      </c>
    </row>
    <row r="27">
      <c r="A27" s="16" t="inlineStr">
        <is>
          <t>GUOL SP Equity</t>
        </is>
      </c>
      <c r="B27" s="16" t="inlineStr">
        <is>
          <t>GuocoLand Ltd</t>
        </is>
      </c>
      <c r="C27" s="17" t="n">
        <v>2482177341.230393</v>
      </c>
      <c r="D27" s="16" t="inlineStr">
        <is>
          <t>Real Estate</t>
        </is>
      </c>
      <c r="E27" s="16" t="inlineStr">
        <is>
          <t>Singapore</t>
        </is>
      </c>
    </row>
    <row r="28">
      <c r="A28" s="16" t="inlineStr">
        <is>
          <t>HPL SP Equity</t>
        </is>
      </c>
      <c r="B28" s="16" t="inlineStr">
        <is>
          <t>Hotel Properties Ltd</t>
        </is>
      </c>
      <c r="C28" s="17" t="n">
        <v>2442024723.97182</v>
      </c>
      <c r="D28" s="16" t="inlineStr">
        <is>
          <t>Consumer Discretionary</t>
        </is>
      </c>
      <c r="E28" s="16" t="inlineStr">
        <is>
          <t>Singapore</t>
        </is>
      </c>
    </row>
    <row r="29">
      <c r="A29" s="16" t="inlineStr">
        <is>
          <t>HLA SP Equity</t>
        </is>
      </c>
      <c r="B29" s="16" t="inlineStr">
        <is>
          <t>Hong Leong Asia Ltd</t>
        </is>
      </c>
      <c r="C29" s="17" t="n">
        <v>2322605708.385444</v>
      </c>
      <c r="D29" s="16" t="inlineStr">
        <is>
          <t>Industrials</t>
        </is>
      </c>
      <c r="E29" s="16" t="inlineStr">
        <is>
          <t>Singapore</t>
        </is>
      </c>
    </row>
    <row r="30">
      <c r="A30" s="16" t="inlineStr">
        <is>
          <t>HPHT SP Equity</t>
        </is>
      </c>
      <c r="B30" s="16" t="inlineStr">
        <is>
          <t>Hutchison Port Holdings Trust</t>
        </is>
      </c>
      <c r="C30" s="17" t="n">
        <v>2269185134.770369</v>
      </c>
      <c r="D30" s="16" t="inlineStr">
        <is>
          <t>Industrials</t>
        </is>
      </c>
      <c r="E30" s="16" t="inlineStr">
        <is>
          <t>Singapore</t>
        </is>
      </c>
    </row>
    <row r="31">
      <c r="A31" s="16" t="inlineStr">
        <is>
          <t>UMSH SP Equity</t>
        </is>
      </c>
      <c r="B31" s="16" t="inlineStr">
        <is>
          <t>UMS Integration Ltd</t>
        </is>
      </c>
      <c r="C31" s="17" t="n">
        <v>2238182980.179543</v>
      </c>
      <c r="D31" s="16" t="inlineStr">
        <is>
          <t>Information Technology</t>
        </is>
      </c>
      <c r="E31" s="16" t="inlineStr">
        <is>
          <t>Singapore</t>
        </is>
      </c>
    </row>
    <row r="32">
      <c r="A32" s="16" t="inlineStr">
        <is>
          <t>FNN SP Equity</t>
        </is>
      </c>
      <c r="B32" s="16" t="inlineStr">
        <is>
          <t>Fraser and Neave Ltd</t>
        </is>
      </c>
      <c r="C32" s="17" t="n">
        <v>2035779432.730882</v>
      </c>
      <c r="D32" s="16" t="inlineStr">
        <is>
          <t>Consumer Staples</t>
        </is>
      </c>
      <c r="E32" s="16" t="inlineStr">
        <is>
          <t>Singapore</t>
        </is>
      </c>
    </row>
    <row r="33">
      <c r="A33" s="16" t="inlineStr">
        <is>
          <t>8YZ SP Equity</t>
        </is>
      </c>
      <c r="B33" s="16" t="inlineStr">
        <is>
          <t>Yangzijiang Maritime Developme</t>
        </is>
      </c>
      <c r="C33" s="17" t="n">
        <v>1970529145.984765</v>
      </c>
      <c r="D33" s="16" t="inlineStr">
        <is>
          <t>Industrials</t>
        </is>
      </c>
      <c r="E33" s="16" t="inlineStr">
        <is>
          <t>Singapore</t>
        </is>
      </c>
    </row>
    <row r="34">
      <c r="A34" s="16" t="inlineStr">
        <is>
          <t>OUEREIT SP Equity</t>
        </is>
      </c>
      <c r="B34" s="16" t="inlineStr">
        <is>
          <t>OUE Real Estate Investment Tru</t>
        </is>
      </c>
      <c r="C34" s="17" t="n">
        <v>1937416022.056001</v>
      </c>
      <c r="D34" s="16" t="inlineStr">
        <is>
          <t>Real Estate</t>
        </is>
      </c>
      <c r="E34" s="16" t="inlineStr">
        <is>
          <t>Singapore</t>
        </is>
      </c>
    </row>
    <row r="35">
      <c r="A35" s="16" t="inlineStr">
        <is>
          <t>CAREIT SP Equity</t>
        </is>
      </c>
      <c r="B35" s="16" t="inlineStr">
        <is>
          <t>Centurion Accommodation Reit</t>
        </is>
      </c>
      <c r="C35" s="17" t="n">
        <v>1935338448.239655</v>
      </c>
      <c r="D35" s="16" t="inlineStr">
        <is>
          <t>Real Estate</t>
        </is>
      </c>
      <c r="E35" s="16" t="inlineStr">
        <is>
          <t>Singapore</t>
        </is>
      </c>
    </row>
    <row r="36">
      <c r="A36" s="16" t="inlineStr">
        <is>
          <t>STH SP Equity</t>
        </is>
      </c>
      <c r="B36" s="16" t="inlineStr">
        <is>
          <t>StarHub Ltd</t>
        </is>
      </c>
      <c r="C36" s="17" t="n">
        <v>1899141991.362793</v>
      </c>
      <c r="D36" s="16" t="inlineStr">
        <is>
          <t>Communication Services</t>
        </is>
      </c>
      <c r="E36" s="16" t="inlineStr">
        <is>
          <t>Singapore</t>
        </is>
      </c>
    </row>
    <row r="37">
      <c r="A37" s="16" t="inlineStr">
        <is>
          <t>DBSSTI SP Equity</t>
        </is>
      </c>
      <c r="B37" s="16" t="inlineStr">
        <is>
          <t>Amova Singapore STI ETF</t>
        </is>
      </c>
      <c r="C37" s="17" t="n">
        <v>1859139222.157522</v>
      </c>
      <c r="D37" s="16" t="e">
        <v>#N/A</v>
      </c>
      <c r="E37" s="16" t="inlineStr">
        <is>
          <t>Singapore</t>
        </is>
      </c>
    </row>
    <row r="38">
      <c r="A38" s="16" t="inlineStr">
        <is>
          <t>LREIT SP Equity</t>
        </is>
      </c>
      <c r="B38" s="16" t="inlineStr">
        <is>
          <t>Lendlease Global Commercial RE</t>
        </is>
      </c>
      <c r="C38" s="17" t="n">
        <v>1796595891.770304</v>
      </c>
      <c r="D38" s="16" t="inlineStr">
        <is>
          <t>Real Estate</t>
        </is>
      </c>
      <c r="E38" s="16" t="inlineStr">
        <is>
          <t>Singapore</t>
        </is>
      </c>
    </row>
    <row r="39">
      <c r="A39" s="16" t="inlineStr">
        <is>
          <t>EREIT SP Equity</t>
        </is>
      </c>
      <c r="B39" s="16" t="inlineStr">
        <is>
          <t>ESR-REIT</t>
        </is>
      </c>
      <c r="C39" s="17" t="n">
        <v>1772970277.444279</v>
      </c>
      <c r="D39" s="16" t="inlineStr">
        <is>
          <t>Real Estate</t>
        </is>
      </c>
      <c r="E39" s="16" t="inlineStr">
        <is>
          <t>Singapore</t>
        </is>
      </c>
    </row>
    <row r="40">
      <c r="A40" s="16" t="inlineStr">
        <is>
          <t>HG SP Equity</t>
        </is>
      </c>
      <c r="B40" s="16" t="inlineStr">
        <is>
          <t>Hour Glass Ltd/The</t>
        </is>
      </c>
      <c r="C40" s="17" t="n">
        <v>1770266079.995594</v>
      </c>
      <c r="D40" s="16" t="inlineStr">
        <is>
          <t>Consumer Discretionary</t>
        </is>
      </c>
      <c r="E40" s="16" t="inlineStr">
        <is>
          <t>Singapore</t>
        </is>
      </c>
    </row>
    <row r="41">
      <c r="A41" s="16" t="inlineStr">
        <is>
          <t>RFMD SP Equity</t>
        </is>
      </c>
      <c r="B41" s="16" t="inlineStr">
        <is>
          <t>Raffles Medical Group Ltd</t>
        </is>
      </c>
      <c r="C41" s="17" t="n">
        <v>1550627801.626557</v>
      </c>
      <c r="D41" s="16" t="inlineStr">
        <is>
          <t>Health Care</t>
        </is>
      </c>
      <c r="E41" s="16" t="inlineStr">
        <is>
          <t>Singapore</t>
        </is>
      </c>
    </row>
    <row r="42">
      <c r="A42" s="16" t="inlineStr">
        <is>
          <t>TMG SP Equity</t>
        </is>
      </c>
      <c r="B42" s="16" t="inlineStr">
        <is>
          <t>Thomson Medical Group Ltd</t>
        </is>
      </c>
      <c r="C42" s="17" t="n">
        <v>1427955312.217815</v>
      </c>
      <c r="D42" s="16" t="inlineStr">
        <is>
          <t>Health Care</t>
        </is>
      </c>
      <c r="E42" s="16" t="inlineStr">
        <is>
          <t>Singapore</t>
        </is>
      </c>
    </row>
    <row r="43">
      <c r="A43" s="16" t="inlineStr">
        <is>
          <t>FEH SP Equity</t>
        </is>
      </c>
      <c r="B43" s="16" t="inlineStr">
        <is>
          <t>Food Empire Holdings Ltd</t>
        </is>
      </c>
      <c r="C43" s="17" t="n">
        <v>1407859583.934178</v>
      </c>
      <c r="D43" s="16" t="inlineStr">
        <is>
          <t>Consumer Staples</t>
        </is>
      </c>
      <c r="E43" s="16" t="inlineStr">
        <is>
          <t>Singapore</t>
        </is>
      </c>
    </row>
    <row r="44">
      <c r="A44" s="16" t="inlineStr">
        <is>
          <t>CLINT SP Equity</t>
        </is>
      </c>
      <c r="B44" s="16" t="inlineStr">
        <is>
          <t>Capitaland India Trust</t>
        </is>
      </c>
      <c r="C44" s="17" t="n">
        <v>1392170885.57494</v>
      </c>
      <c r="D44" s="16" t="inlineStr">
        <is>
          <t>Real Estate</t>
        </is>
      </c>
      <c r="E44" s="16" t="inlineStr">
        <is>
          <t>Singapore</t>
        </is>
      </c>
    </row>
    <row r="45">
      <c r="A45" s="16" t="inlineStr">
        <is>
          <t>HOBEE SP Equity</t>
        </is>
      </c>
      <c r="B45" s="16" t="inlineStr">
        <is>
          <t>Ho Bee Land Ltd</t>
        </is>
      </c>
      <c r="C45" s="17" t="n">
        <v>1354593430.669785</v>
      </c>
      <c r="D45" s="16" t="inlineStr">
        <is>
          <t>Real Estate</t>
        </is>
      </c>
      <c r="E45" s="16" t="inlineStr">
        <is>
          <t>Singapore</t>
        </is>
      </c>
    </row>
    <row r="46">
      <c r="A46" s="16" t="inlineStr">
        <is>
          <t>PROP SP Equity</t>
        </is>
      </c>
      <c r="B46" s="16" t="inlineStr">
        <is>
          <t>Propnex Ltd</t>
        </is>
      </c>
      <c r="C46" s="17" t="n">
        <v>1317199978.82843</v>
      </c>
      <c r="D46" s="16" t="inlineStr">
        <is>
          <t>Real Estate</t>
        </is>
      </c>
      <c r="E46" s="16" t="inlineStr">
        <is>
          <t>Singapore</t>
        </is>
      </c>
    </row>
    <row r="47">
      <c r="A47" s="16" t="inlineStr">
        <is>
          <t>PAC SP Equity</t>
        </is>
      </c>
      <c r="B47" s="16" t="inlineStr">
        <is>
          <t>Pacific Century Regional Devel</t>
        </is>
      </c>
      <c r="C47" s="17" t="n">
        <v>1296735143.23802</v>
      </c>
      <c r="D47" s="16" t="inlineStr">
        <is>
          <t>Financials</t>
        </is>
      </c>
      <c r="E47" s="16" t="inlineStr">
        <is>
          <t>Singapore</t>
        </is>
      </c>
    </row>
    <row r="48">
      <c r="A48" s="16" t="inlineStr">
        <is>
          <t>CENT SP Equity</t>
        </is>
      </c>
      <c r="B48" s="16" t="inlineStr">
        <is>
          <t>Centurion Corp Ltd</t>
        </is>
      </c>
      <c r="C48" s="17" t="n">
        <v>1277983492.44342</v>
      </c>
      <c r="D48" s="16" t="inlineStr">
        <is>
          <t>Real Estate</t>
        </is>
      </c>
      <c r="E48" s="16" t="inlineStr">
        <is>
          <t>Singapore</t>
        </is>
      </c>
    </row>
    <row r="49">
      <c r="A49" s="16" t="inlineStr">
        <is>
          <t>SERT SP Equity</t>
        </is>
      </c>
      <c r="B49" s="16" t="inlineStr">
        <is>
          <t>Stoneweg Europe Stapled Trust</t>
        </is>
      </c>
      <c r="C49" s="17" t="n">
        <v>1221070705.108605</v>
      </c>
      <c r="D49" s="16" t="inlineStr">
        <is>
          <t>Real Estate</t>
        </is>
      </c>
      <c r="E49" s="16" t="inlineStr">
        <is>
          <t>Singapore</t>
        </is>
      </c>
    </row>
    <row r="50">
      <c r="A50" s="16" t="inlineStr">
        <is>
          <t>SGREIT SP Equity</t>
        </is>
      </c>
      <c r="B50" s="16" t="inlineStr">
        <is>
          <t>Starhill Global REIT</t>
        </is>
      </c>
      <c r="C50" s="17" t="n">
        <v>1219266927.129352</v>
      </c>
      <c r="D50" s="16" t="inlineStr">
        <is>
          <t>Real Estate</t>
        </is>
      </c>
      <c r="E50" s="16" t="inlineStr">
        <is>
          <t>Singapore</t>
        </is>
      </c>
    </row>
    <row r="51">
      <c r="A51" s="16" t="inlineStr">
        <is>
          <t>NTTDCR SP Equity</t>
        </is>
      </c>
      <c r="B51" s="16" t="inlineStr">
        <is>
          <t>NTT DC REIT</t>
        </is>
      </c>
      <c r="C51" s="17" t="n">
        <v>1215303116.473061</v>
      </c>
      <c r="D51" s="16" t="inlineStr">
        <is>
          <t>Real Estate</t>
        </is>
      </c>
      <c r="E51" s="16" t="inlineStr">
        <is>
          <t>Singapore</t>
        </is>
      </c>
    </row>
    <row r="52">
      <c r="A52" s="16" t="inlineStr">
        <is>
          <t>CAO SP Equity</t>
        </is>
      </c>
      <c r="B52" s="16" t="inlineStr">
        <is>
          <t>China Aviation Oil Singapore C</t>
        </is>
      </c>
      <c r="C52" s="17" t="n">
        <v>1204257058.691624</v>
      </c>
      <c r="D52" s="16" t="inlineStr">
        <is>
          <t>Energy</t>
        </is>
      </c>
      <c r="E52" s="16" t="inlineStr">
        <is>
          <t>Singapore</t>
        </is>
      </c>
    </row>
    <row r="53">
      <c r="A53" s="16" t="inlineStr">
        <is>
          <t>PAN SP Equity</t>
        </is>
      </c>
      <c r="B53" s="16" t="inlineStr">
        <is>
          <t>Pan-United Corp Ltd</t>
        </is>
      </c>
      <c r="C53" s="17" t="n">
        <v>1203245671.014613</v>
      </c>
      <c r="D53" s="16" t="inlineStr">
        <is>
          <t>Industrials</t>
        </is>
      </c>
      <c r="E53" s="16" t="inlineStr">
        <is>
          <t>Singapore</t>
        </is>
      </c>
    </row>
    <row r="54">
      <c r="A54" s="16" t="inlineStr">
        <is>
          <t>PCPG SP Equity</t>
        </is>
      </c>
      <c r="B54" s="16" t="inlineStr">
        <is>
          <t>PC Partner Group Ltd</t>
        </is>
      </c>
      <c r="C54" s="17" t="n">
        <v>1202439333.808531</v>
      </c>
      <c r="D54" s="16" t="inlineStr">
        <is>
          <t>Information Technology</t>
        </is>
      </c>
      <c r="E54" s="16" t="inlineStr">
        <is>
          <t>Singapore</t>
        </is>
      </c>
    </row>
    <row r="55">
      <c r="A55" s="16" t="inlineStr">
        <is>
          <t>FSG SP Equity</t>
        </is>
      </c>
      <c r="B55" s="16" t="inlineStr">
        <is>
          <t>First Sponsor Group Ltd</t>
        </is>
      </c>
      <c r="C55" s="17" t="n">
        <v>1201515798</v>
      </c>
      <c r="D55" s="16" t="inlineStr">
        <is>
          <t>Real Estate</t>
        </is>
      </c>
      <c r="E55" s="16" t="inlineStr">
        <is>
          <t>Singapore</t>
        </is>
      </c>
    </row>
    <row r="56">
      <c r="A56" s="16" t="inlineStr">
        <is>
          <t>RSTON SP Equity</t>
        </is>
      </c>
      <c r="B56" s="16" t="inlineStr">
        <is>
          <t>Riverstone Holdings Ltd</t>
        </is>
      </c>
      <c r="C56" s="17" t="n">
        <v>1200556164.533764</v>
      </c>
      <c r="D56" s="16" t="inlineStr">
        <is>
          <t>Health Care</t>
        </is>
      </c>
      <c r="E56" s="16" t="inlineStr">
        <is>
          <t>Singapore</t>
        </is>
      </c>
    </row>
    <row r="57">
      <c r="A57" s="16" t="inlineStr">
        <is>
          <t>AAREIT SP Equity</t>
        </is>
      </c>
      <c r="B57" s="16" t="inlineStr">
        <is>
          <t>AIMS APAC REIT</t>
        </is>
      </c>
      <c r="C57" s="17" t="n">
        <v>1178277285.581045</v>
      </c>
      <c r="D57" s="16" t="inlineStr">
        <is>
          <t>Real Estate</t>
        </is>
      </c>
      <c r="E57" s="16" t="inlineStr">
        <is>
          <t>Singapore</t>
        </is>
      </c>
    </row>
    <row r="58">
      <c r="A58" s="16" t="inlineStr">
        <is>
          <t>WINGT SP Equity</t>
        </is>
      </c>
      <c r="B58" s="16" t="inlineStr">
        <is>
          <t>Wing Tai Holdings Ltd</t>
        </is>
      </c>
      <c r="C58" s="17" t="n">
        <v>1176391356.25989</v>
      </c>
      <c r="D58" s="16" t="inlineStr">
        <is>
          <t>Real Estate</t>
        </is>
      </c>
      <c r="E58" s="16" t="inlineStr">
        <is>
          <t>Singapore</t>
        </is>
      </c>
    </row>
    <row r="59">
      <c r="A59" s="16" t="inlineStr">
        <is>
          <t>SBUS SP Equity</t>
        </is>
      </c>
      <c r="B59" s="16" t="inlineStr">
        <is>
          <t>SBS Transit Ltd</t>
        </is>
      </c>
      <c r="C59" s="17" t="n">
        <v>1158597724.131417</v>
      </c>
      <c r="D59" s="16" t="inlineStr">
        <is>
          <t>Industrials</t>
        </is>
      </c>
      <c r="E59" s="16" t="inlineStr">
        <is>
          <t>Singapore</t>
        </is>
      </c>
    </row>
    <row r="60">
      <c r="A60" s="16" t="inlineStr">
        <is>
          <t>BRC SP Equity</t>
        </is>
      </c>
      <c r="B60" s="16" t="inlineStr">
        <is>
          <t>BRC Asia Ltd</t>
        </is>
      </c>
      <c r="C60" s="17" t="n">
        <v>1149526888.608438</v>
      </c>
      <c r="D60" s="16" t="inlineStr">
        <is>
          <t>Industrials</t>
        </is>
      </c>
      <c r="E60" s="16" t="inlineStr">
        <is>
          <t>Singapore</t>
        </is>
      </c>
    </row>
    <row r="61">
      <c r="A61" s="16" t="inlineStr">
        <is>
          <t>SBIF SP Equity</t>
        </is>
      </c>
      <c r="B61" s="16" t="inlineStr">
        <is>
          <t>ABF Singapore Bond Index Fund</t>
        </is>
      </c>
      <c r="C61" s="17" t="n">
        <v>1138483530.073339</v>
      </c>
      <c r="D61" s="16" t="e">
        <v>#N/A</v>
      </c>
      <c r="E61" s="16" t="inlineStr">
        <is>
          <t>Singapore</t>
        </is>
      </c>
    </row>
    <row r="62">
      <c r="A62" s="16" t="inlineStr">
        <is>
          <t>FRKN SP Equity</t>
        </is>
      </c>
      <c r="B62" s="16" t="inlineStr">
        <is>
          <t>Frencken Group Ltd</t>
        </is>
      </c>
      <c r="C62" s="17" t="n">
        <v>1136544045.162201</v>
      </c>
      <c r="D62" s="16" t="inlineStr">
        <is>
          <t>Industrials</t>
        </is>
      </c>
      <c r="E62" s="16" t="inlineStr">
        <is>
          <t>Singapore</t>
        </is>
      </c>
    </row>
    <row r="63">
      <c r="A63" s="16" t="inlineStr">
        <is>
          <t>BS SP Equity</t>
        </is>
      </c>
      <c r="B63" s="16" t="inlineStr">
        <is>
          <t>Bukit Sembawang Estates Ltd</t>
        </is>
      </c>
      <c r="C63" s="17" t="n">
        <v>1131442464.98995</v>
      </c>
      <c r="D63" s="16" t="inlineStr">
        <is>
          <t>Real Estate</t>
        </is>
      </c>
      <c r="E63" s="16" t="inlineStr">
        <is>
          <t>Singapore</t>
        </is>
      </c>
    </row>
    <row r="64">
      <c r="A64" s="16" t="inlineStr">
        <is>
          <t>HLF SP Equity</t>
        </is>
      </c>
      <c r="B64" s="16" t="inlineStr">
        <is>
          <t>Hong Leong Finance Ltd</t>
        </is>
      </c>
      <c r="C64" s="17" t="n">
        <v>1111478543.634355</v>
      </c>
      <c r="D64" s="16" t="inlineStr">
        <is>
          <t>Financials</t>
        </is>
      </c>
      <c r="E64" s="16" t="inlineStr">
        <is>
          <t>Singapore</t>
        </is>
      </c>
    </row>
    <row r="65">
      <c r="A65" s="16" t="inlineStr">
        <is>
          <t>CLCT SP Equity</t>
        </is>
      </c>
      <c r="B65" s="16" t="inlineStr">
        <is>
          <t>CapitaLand China Trust</t>
        </is>
      </c>
      <c r="C65" s="17" t="n">
        <v>1107004611.951255</v>
      </c>
      <c r="D65" s="16" t="inlineStr">
        <is>
          <t>Real Estate</t>
        </is>
      </c>
      <c r="E65" s="16" t="inlineStr">
        <is>
          <t>Singapore</t>
        </is>
      </c>
    </row>
    <row r="66">
      <c r="A66" s="16" t="inlineStr">
        <is>
          <t>ICU SP Equity</t>
        </is>
      </c>
      <c r="B66" s="16" t="inlineStr">
        <is>
          <t>iShares MSCI Asia ex Japan Cli</t>
        </is>
      </c>
      <c r="C66" s="17" t="n">
        <v>1095622921.174916</v>
      </c>
      <c r="D66" s="16" t="e">
        <v>#N/A</v>
      </c>
      <c r="E66" s="16" t="inlineStr">
        <is>
          <t>Singapore</t>
        </is>
      </c>
    </row>
    <row r="67">
      <c r="A67" s="16" t="inlineStr">
        <is>
          <t>UIBREIT SP Equity</t>
        </is>
      </c>
      <c r="B67" s="16" t="inlineStr">
        <is>
          <t>UI Boustead REIT</t>
        </is>
      </c>
      <c r="C67" s="17" t="n">
        <v>1094039929.102465</v>
      </c>
      <c r="D67" s="16" t="inlineStr">
        <is>
          <t>Real Estate</t>
        </is>
      </c>
      <c r="E67" s="16" t="inlineStr">
        <is>
          <t>Singapore</t>
        </is>
      </c>
    </row>
    <row r="68">
      <c r="A68" s="16" t="inlineStr">
        <is>
          <t>FEHT SP Equity</t>
        </is>
      </c>
      <c r="B68" s="16" t="inlineStr">
        <is>
          <t>Far East Hospitality Trust</t>
        </is>
      </c>
      <c r="C68" s="17" t="n">
        <v>1091855282.06994</v>
      </c>
      <c r="D68" s="16" t="inlineStr">
        <is>
          <t>Real Estate</t>
        </is>
      </c>
      <c r="E68" s="16" t="inlineStr">
        <is>
          <t>Singapore</t>
        </is>
      </c>
    </row>
    <row r="69">
      <c r="A69" s="16" t="inlineStr">
        <is>
          <t>YLLG SP Equity</t>
        </is>
      </c>
      <c r="B69" s="16" t="inlineStr">
        <is>
          <t>Yanlord Land Group Ltd</t>
        </is>
      </c>
      <c r="C69" s="17" t="n">
        <v>985083023.3394431</v>
      </c>
      <c r="D69" s="16" t="inlineStr">
        <is>
          <t>Real Estate</t>
        </is>
      </c>
      <c r="E69" s="16" t="inlineStr">
        <is>
          <t>Singapore</t>
        </is>
      </c>
    </row>
    <row r="70">
      <c r="A70" s="16" t="inlineStr">
        <is>
          <t>CDREIT SP Equity</t>
        </is>
      </c>
      <c r="B70" s="16" t="inlineStr">
        <is>
          <t>CDL Hospitality Trusts</t>
        </is>
      </c>
      <c r="C70" s="17" t="n">
        <v>955913006.87332</v>
      </c>
      <c r="D70" s="16" t="inlineStr">
        <is>
          <t>Real Estate</t>
        </is>
      </c>
      <c r="E70" s="16" t="inlineStr">
        <is>
          <t>Singapore</t>
        </is>
      </c>
    </row>
    <row r="71">
      <c r="A71" s="16" t="inlineStr">
        <is>
          <t>GERL SP Equity</t>
        </is>
      </c>
      <c r="B71" s="16" t="inlineStr">
        <is>
          <t>Geo Energy Resources Ltd</t>
        </is>
      </c>
      <c r="C71" s="17" t="n">
        <v>950550610.5065992</v>
      </c>
      <c r="D71" s="16" t="inlineStr">
        <is>
          <t>Energy</t>
        </is>
      </c>
      <c r="E71" s="16" t="inlineStr">
        <is>
          <t>Singapore</t>
        </is>
      </c>
    </row>
    <row r="72">
      <c r="A72" s="16" t="inlineStr">
        <is>
          <t>VMAX SP Equity</t>
        </is>
      </c>
      <c r="B72" s="16" t="inlineStr">
        <is>
          <t>Valuemax Group Ltd</t>
        </is>
      </c>
      <c r="C72" s="17" t="n">
        <v>933158398.7672211</v>
      </c>
      <c r="D72" s="16" t="inlineStr">
        <is>
          <t>Consumer Discretionary</t>
        </is>
      </c>
      <c r="E72" s="16" t="inlineStr">
        <is>
          <t>Singapore</t>
        </is>
      </c>
    </row>
    <row r="73">
      <c r="A73" s="16" t="inlineStr">
        <is>
          <t>BOCS SP Equity</t>
        </is>
      </c>
      <c r="B73" s="16" t="inlineStr">
        <is>
          <t>Boustead Singapore Ltd</t>
        </is>
      </c>
      <c r="C73" s="17" t="n">
        <v>888313876.1465788</v>
      </c>
      <c r="D73" s="16" t="inlineStr">
        <is>
          <t>Industrials</t>
        </is>
      </c>
      <c r="E73" s="16" t="inlineStr">
        <is>
          <t>Singapore</t>
        </is>
      </c>
    </row>
    <row r="74">
      <c r="A74" s="16" t="inlineStr">
        <is>
          <t>CSE SP Equity</t>
        </is>
      </c>
      <c r="B74" s="16" t="inlineStr">
        <is>
          <t>CSE Global Ltd</t>
        </is>
      </c>
      <c r="C74" s="17" t="n">
        <v>882383559.2983971</v>
      </c>
      <c r="D74" s="16" t="inlineStr">
        <is>
          <t>Information Technology</t>
        </is>
      </c>
      <c r="E74" s="16" t="inlineStr">
        <is>
          <t>Singapore</t>
        </is>
      </c>
    </row>
    <row r="75">
      <c r="A75" s="16" t="inlineStr">
        <is>
          <t>SREITS SP Equity</t>
        </is>
      </c>
      <c r="B75" s="16" t="inlineStr">
        <is>
          <t>Lion-Phillip S-REIT ETF</t>
        </is>
      </c>
      <c r="C75" s="17" t="n">
        <v>871261035.4635398</v>
      </c>
      <c r="D75" s="16" t="e">
        <v>#N/A</v>
      </c>
      <c r="E75" s="16" t="inlineStr">
        <is>
          <t>Singapore</t>
        </is>
      </c>
    </row>
    <row r="76">
      <c r="A76" s="16" t="inlineStr">
        <is>
          <t>ZJE SP Equity</t>
        </is>
      </c>
      <c r="B76" s="16" t="inlineStr">
        <is>
          <t>Zheneng Jinjiang Environment H</t>
        </is>
      </c>
      <c r="C76" s="17" t="n">
        <v>831789866.065532</v>
      </c>
      <c r="D76" s="16" t="inlineStr">
        <is>
          <t>Utilities</t>
        </is>
      </c>
      <c r="E76" s="16" t="inlineStr">
        <is>
          <t>Singapore</t>
        </is>
      </c>
    </row>
    <row r="77">
      <c r="A77" s="16" t="inlineStr">
        <is>
          <t>UGAI SP Equity</t>
        </is>
      </c>
      <c r="B77" s="16" t="inlineStr">
        <is>
          <t>UltraGreen.ai Ltd</t>
        </is>
      </c>
      <c r="C77" s="17" t="n">
        <v>831141811.9570491</v>
      </c>
      <c r="D77" s="16" t="inlineStr">
        <is>
          <t>Health Care</t>
        </is>
      </c>
      <c r="E77" s="16" t="inlineStr">
        <is>
          <t>Singapore</t>
        </is>
      </c>
    </row>
    <row r="78">
      <c r="A78" s="16" t="inlineStr">
        <is>
          <t>SASSR SP Equity</t>
        </is>
      </c>
      <c r="B78" s="16" t="inlineStr">
        <is>
          <t>Sasseur Real Estate Investment</t>
        </is>
      </c>
      <c r="C78" s="17" t="n">
        <v>803088971.0388137</v>
      </c>
      <c r="D78" s="16" t="inlineStr">
        <is>
          <t>Real Estate</t>
        </is>
      </c>
      <c r="E78" s="16" t="inlineStr">
        <is>
          <t>Singapore</t>
        </is>
      </c>
    </row>
    <row r="79">
      <c r="A79" s="16" t="inlineStr">
        <is>
          <t>DCREIT SP Equity</t>
        </is>
      </c>
      <c r="B79" s="16" t="inlineStr">
        <is>
          <t>Digital Core REIT Management P</t>
        </is>
      </c>
      <c r="C79" s="17" t="n">
        <v>786751372.8396479</v>
      </c>
      <c r="D79" s="16" t="inlineStr">
        <is>
          <t>Real Estate</t>
        </is>
      </c>
      <c r="E79" s="16" t="inlineStr">
        <is>
          <t>Singapore</t>
        </is>
      </c>
    </row>
    <row r="80">
      <c r="A80" s="16" t="inlineStr">
        <is>
          <t>FHH SP Equity</t>
        </is>
      </c>
      <c r="B80" s="16" t="inlineStr">
        <is>
          <t>Foundation Healthcare Holdings</t>
        </is>
      </c>
      <c r="C80" s="17" t="n">
        <v>783903101.7147832</v>
      </c>
      <c r="D80" s="16" t="inlineStr">
        <is>
          <t>Health Care</t>
        </is>
      </c>
      <c r="E80" s="16" t="inlineStr">
        <is>
          <t>Singapore</t>
        </is>
      </c>
    </row>
    <row r="81">
      <c r="A81" s="16" t="inlineStr">
        <is>
          <t>STRTR SP Equity</t>
        </is>
      </c>
      <c r="B81" s="16" t="inlineStr">
        <is>
          <t>Straits Trading Co Ltd/Singapo</t>
        </is>
      </c>
      <c r="C81" s="17" t="n">
        <v>770868309.5227076</v>
      </c>
      <c r="D81" s="16" t="inlineStr">
        <is>
          <t>Materials</t>
        </is>
      </c>
      <c r="E81" s="16" t="inlineStr">
        <is>
          <t>Singapore</t>
        </is>
      </c>
    </row>
    <row r="82">
      <c r="A82" s="16" t="inlineStr">
        <is>
          <t>NIKIGCB SP Equity</t>
        </is>
      </c>
      <c r="B82" s="16" t="inlineStr">
        <is>
          <t>Amova SGD Investment Grade Cor</t>
        </is>
      </c>
      <c r="C82" s="17" t="n">
        <v>768295631.9748337</v>
      </c>
      <c r="D82" s="16" t="e">
        <v>#N/A</v>
      </c>
      <c r="E82" s="16" t="inlineStr">
        <is>
          <t>Singapore</t>
        </is>
      </c>
    </row>
    <row r="83">
      <c r="A83" s="16" t="inlineStr">
        <is>
          <t>MMFS SP Equity</t>
        </is>
      </c>
      <c r="B83" s="16" t="inlineStr">
        <is>
          <t>MoneyMax Financial Services Lt</t>
        </is>
      </c>
      <c r="C83" s="17" t="n">
        <v>745237438.1048527</v>
      </c>
      <c r="D83" s="16" t="inlineStr">
        <is>
          <t>Consumer Discretionary</t>
        </is>
      </c>
      <c r="E83" s="16" t="inlineStr">
        <is>
          <t>Singapore</t>
        </is>
      </c>
    </row>
    <row r="84">
      <c r="A84" s="16" t="inlineStr">
        <is>
          <t>ASPL SP Equity</t>
        </is>
      </c>
      <c r="B84" s="16" t="inlineStr">
        <is>
          <t>Aspial Lifestyle Ltd</t>
        </is>
      </c>
      <c r="C84" s="17" t="n">
        <v>742409374.6606969</v>
      </c>
      <c r="D84" s="16" t="inlineStr">
        <is>
          <t>Consumer Discretionary</t>
        </is>
      </c>
      <c r="E84" s="16" t="inlineStr">
        <is>
          <t>Singapore</t>
        </is>
      </c>
    </row>
    <row r="85">
      <c r="A85" s="16" t="inlineStr">
        <is>
          <t>OUE SP Equity</t>
        </is>
      </c>
      <c r="B85" s="16" t="inlineStr">
        <is>
          <t>OUE Ltd</t>
        </is>
      </c>
      <c r="C85" s="17" t="n">
        <v>724800791.9619091</v>
      </c>
      <c r="D85" s="16" t="inlineStr">
        <is>
          <t>Real Estate</t>
        </is>
      </c>
      <c r="E85" s="16" t="inlineStr">
        <is>
          <t>Singapore</t>
        </is>
      </c>
    </row>
    <row r="86">
      <c r="A86" s="16" t="inlineStr">
        <is>
          <t>SPOST SP Equity</t>
        </is>
      </c>
      <c r="B86" s="16" t="inlineStr">
        <is>
          <t>Singapore Post Ltd</t>
        </is>
      </c>
      <c r="C86" s="17" t="n">
        <v>720775421.6494135</v>
      </c>
      <c r="D86" s="16" t="inlineStr">
        <is>
          <t>Industrials</t>
        </is>
      </c>
      <c r="E86" s="16" t="inlineStr">
        <is>
          <t>Singapore</t>
        </is>
      </c>
    </row>
    <row r="87">
      <c r="A87" s="16" t="inlineStr">
        <is>
          <t>HFC SP Equity</t>
        </is>
      </c>
      <c r="B87" s="16" t="inlineStr">
        <is>
          <t>Hong Fok Corp Ltd</t>
        </is>
      </c>
      <c r="C87" s="17" t="n">
        <v>719674203.9485693</v>
      </c>
      <c r="D87" s="16" t="inlineStr">
        <is>
          <t>Real Estate</t>
        </is>
      </c>
      <c r="E87" s="16" t="inlineStr">
        <is>
          <t>Singapore</t>
        </is>
      </c>
    </row>
    <row r="88">
      <c r="A88" s="16" t="inlineStr">
        <is>
          <t>AXJREIT SP Equity</t>
        </is>
      </c>
      <c r="B88" s="16" t="inlineStr">
        <is>
          <t>Amova-StraitsTrading Asia ex J</t>
        </is>
      </c>
      <c r="C88" s="17" t="n">
        <v>715912261.6923596</v>
      </c>
      <c r="D88" s="16" t="e">
        <v>#N/A</v>
      </c>
      <c r="E88" s="16" t="inlineStr">
        <is>
          <t>Singapore</t>
        </is>
      </c>
    </row>
    <row r="89">
      <c r="A89" s="16" t="inlineStr">
        <is>
          <t>HRNET SP Equity</t>
        </is>
      </c>
      <c r="B89" s="16" t="inlineStr">
        <is>
          <t>HRnetgroup Ltd</t>
        </is>
      </c>
      <c r="C89" s="17" t="n">
        <v>709000155.8840282</v>
      </c>
      <c r="D89" s="16" t="inlineStr">
        <is>
          <t>Industrials</t>
        </is>
      </c>
      <c r="E89" s="16" t="inlineStr">
        <is>
          <t>Singapore</t>
        </is>
      </c>
    </row>
    <row r="90">
      <c r="A90" s="16" t="inlineStr">
        <is>
          <t>YZJFH SP Equity</t>
        </is>
      </c>
      <c r="B90" s="16" t="inlineStr">
        <is>
          <t>Yangzijiang Financial Holding</t>
        </is>
      </c>
      <c r="C90" s="17" t="n">
        <v>695290114.36063</v>
      </c>
      <c r="D90" s="16" t="inlineStr">
        <is>
          <t>Financials</t>
        </is>
      </c>
      <c r="E90" s="16" t="inlineStr">
        <is>
          <t>Singapore</t>
        </is>
      </c>
    </row>
    <row r="91">
      <c r="A91" s="16" t="inlineStr">
        <is>
          <t>STL SP Equity</t>
        </is>
      </c>
      <c r="B91" s="16" t="inlineStr">
        <is>
          <t>Stamford Land Corp Ltd</t>
        </is>
      </c>
      <c r="C91" s="17" t="n">
        <v>689241290.0309008</v>
      </c>
      <c r="D91" s="16" t="inlineStr">
        <is>
          <t>Consumer Discretionary</t>
        </is>
      </c>
      <c r="E91" s="16" t="inlineStr">
        <is>
          <t>Singapore</t>
        </is>
      </c>
    </row>
    <row r="92">
      <c r="A92" s="16" t="inlineStr">
        <is>
          <t>ADDV SP Equity</t>
        </is>
      </c>
      <c r="B92" s="16" t="inlineStr">
        <is>
          <t>Addvalue Technologies Ltd</t>
        </is>
      </c>
      <c r="C92" s="17" t="n">
        <v>676984395.37963</v>
      </c>
      <c r="D92" s="16" t="inlineStr">
        <is>
          <t>Information Technology</t>
        </is>
      </c>
      <c r="E92" s="16" t="inlineStr">
        <is>
          <t>Singapore</t>
        </is>
      </c>
    </row>
    <row r="93">
      <c r="A93" s="16" t="inlineStr">
        <is>
          <t>VCM SP Equity</t>
        </is>
      </c>
      <c r="B93" s="16" t="inlineStr">
        <is>
          <t>Vicom Ltd</t>
        </is>
      </c>
      <c r="C93" s="17" t="n">
        <v>655950808.4535599</v>
      </c>
      <c r="D93" s="16" t="inlineStr">
        <is>
          <t>Industrials</t>
        </is>
      </c>
      <c r="E93" s="16" t="inlineStr">
        <is>
          <t>Singapore</t>
        </is>
      </c>
    </row>
    <row r="94">
      <c r="A94" s="16" t="inlineStr">
        <is>
          <t>CTN SP Equity</t>
        </is>
      </c>
      <c r="B94" s="16" t="inlineStr">
        <is>
          <t>Cortina Holdings</t>
        </is>
      </c>
      <c r="C94" s="17" t="n">
        <v>645755834.2907882</v>
      </c>
      <c r="D94" s="16" t="inlineStr">
        <is>
          <t>Consumer Discretionary</t>
        </is>
      </c>
      <c r="E94" s="16" t="inlineStr">
        <is>
          <t>Singapore</t>
        </is>
      </c>
    </row>
    <row r="95">
      <c r="A95" s="16" t="inlineStr">
        <is>
          <t>CEWL SP Equity</t>
        </is>
      </c>
      <c r="B95" s="16" t="inlineStr">
        <is>
          <t>China Everbright Water Ltd</t>
        </is>
      </c>
      <c r="C95" s="17" t="n">
        <v>615088505.6762924</v>
      </c>
      <c r="D95" s="16" t="inlineStr">
        <is>
          <t>Utilities</t>
        </is>
      </c>
      <c r="E95" s="16" t="inlineStr">
        <is>
          <t>Singapore</t>
        </is>
      </c>
    </row>
    <row r="96">
      <c r="A96" s="16" t="inlineStr">
        <is>
          <t>CSSC SP Equity</t>
        </is>
      </c>
      <c r="B96" s="16" t="inlineStr">
        <is>
          <t>China Sunsine Chemical Holding</t>
        </is>
      </c>
      <c r="C96" s="17" t="n">
        <v>600631159.4539165</v>
      </c>
      <c r="D96" s="16" t="inlineStr">
        <is>
          <t>Materials</t>
        </is>
      </c>
      <c r="E96" s="16" t="inlineStr">
        <is>
          <t>Singapore</t>
        </is>
      </c>
    </row>
    <row r="97">
      <c r="A97" s="16" t="inlineStr">
        <is>
          <t>OTEK SP Equity</t>
        </is>
      </c>
      <c r="B97" s="16" t="inlineStr">
        <is>
          <t>Oiltek International Ltd</t>
        </is>
      </c>
      <c r="C97" s="17" t="n">
        <v>600599989.771843</v>
      </c>
      <c r="D97" s="16" t="inlineStr">
        <is>
          <t>Industrials</t>
        </is>
      </c>
      <c r="E97" s="16" t="inlineStr">
        <is>
          <t>Singapore</t>
        </is>
      </c>
    </row>
    <row r="98">
      <c r="A98" s="16" t="inlineStr">
        <is>
          <t>IXBIO SP Equity</t>
        </is>
      </c>
      <c r="B98" s="16" t="inlineStr">
        <is>
          <t>iX Biopharma Ltd</t>
        </is>
      </c>
      <c r="C98" s="17" t="n">
        <v>590390379.420005</v>
      </c>
      <c r="D98" s="16" t="inlineStr">
        <is>
          <t>Health Care</t>
        </is>
      </c>
      <c r="E98" s="16" t="inlineStr">
        <is>
          <t>Singapore</t>
        </is>
      </c>
    </row>
    <row r="99">
      <c r="A99" s="16" t="inlineStr">
        <is>
          <t>WHUR SP Equity</t>
        </is>
      </c>
      <c r="B99" s="16" t="inlineStr">
        <is>
          <t>Wee Hur Holdings Ltd</t>
        </is>
      </c>
      <c r="C99" s="17" t="n">
        <v>583720620.8433957</v>
      </c>
      <c r="D99" s="16" t="inlineStr">
        <is>
          <t>Industrials</t>
        </is>
      </c>
      <c r="E99" s="16" t="inlineStr">
        <is>
          <t>Singapore</t>
        </is>
      </c>
    </row>
    <row r="100">
      <c r="A100" s="16" t="inlineStr">
        <is>
          <t>AHYG SP Equity</t>
        </is>
      </c>
      <c r="B100" s="16" t="inlineStr">
        <is>
          <t>iShares USD Asia High Yield Bo</t>
        </is>
      </c>
      <c r="C100" s="17" t="n">
        <v>583311246.8367537</v>
      </c>
      <c r="D100" s="16" t="e">
        <v>#N/A</v>
      </c>
      <c r="E100" s="16" t="inlineStr">
        <is>
          <t>Singapore</t>
        </is>
      </c>
    </row>
    <row r="101">
      <c r="A101" s="16" t="inlineStr">
        <is>
          <t>NANO SP Equity</t>
        </is>
      </c>
      <c r="B101" s="16" t="inlineStr">
        <is>
          <t>Nanofilm Technologies Internat</t>
        </is>
      </c>
      <c r="C101" s="17" t="n">
        <v>577521067.2574098</v>
      </c>
      <c r="D101" s="16" t="inlineStr">
        <is>
          <t>Materials</t>
        </is>
      </c>
      <c r="E101" s="16" t="inlineStr">
        <is>
          <t>Singapore</t>
        </is>
      </c>
    </row>
    <row r="102">
      <c r="A102" s="16" t="inlineStr">
        <is>
          <t>LCU SP Equity</t>
        </is>
      </c>
      <c r="B102" s="16" t="inlineStr">
        <is>
          <t>CSOP FTSE Asia Pacific Select</t>
        </is>
      </c>
      <c r="C102" s="17" t="n">
        <v>569762811.2814177</v>
      </c>
      <c r="D102" s="16" t="e">
        <v>#N/A</v>
      </c>
      <c r="E102" s="16" t="inlineStr">
        <is>
          <t>Singapore</t>
        </is>
      </c>
    </row>
    <row r="103">
      <c r="A103" s="16" t="inlineStr">
        <is>
          <t>QAF SP Equity</t>
        </is>
      </c>
      <c r="B103" s="16" t="inlineStr">
        <is>
          <t>QAF Ltd</t>
        </is>
      </c>
      <c r="C103" s="17" t="n">
        <v>555134029.512985</v>
      </c>
      <c r="D103" s="16" t="inlineStr">
        <is>
          <t>Consumer Staples</t>
        </is>
      </c>
      <c r="E103" s="16" t="inlineStr">
        <is>
          <t>Singapore</t>
        </is>
      </c>
    </row>
    <row r="104">
      <c r="A104" s="16" t="inlineStr">
        <is>
          <t>SSREIT SP Equity</t>
        </is>
      </c>
      <c r="B104" s="16" t="inlineStr">
        <is>
          <t>Alpha Integrated Real Estate I</t>
        </is>
      </c>
      <c r="C104" s="17" t="n">
        <v>545651808.4640443</v>
      </c>
      <c r="D104" s="16" t="inlineStr">
        <is>
          <t>Real Estate</t>
        </is>
      </c>
      <c r="E104" s="16" t="inlineStr">
        <is>
          <t>Singapore</t>
        </is>
      </c>
    </row>
    <row r="105">
      <c r="A105" s="16" t="inlineStr">
        <is>
          <t>MPM SP Equity</t>
        </is>
      </c>
      <c r="B105" s="16" t="inlineStr">
        <is>
          <t>Marco Polo Marine Ltd</t>
        </is>
      </c>
      <c r="C105" s="17" t="n">
        <v>536238254.5362712</v>
      </c>
      <c r="D105" s="16" t="inlineStr">
        <is>
          <t>Industrials</t>
        </is>
      </c>
      <c r="E105" s="16" t="inlineStr">
        <is>
          <t>Singapore</t>
        </is>
      </c>
    </row>
    <row r="106">
      <c r="A106" s="16" t="inlineStr">
        <is>
          <t>CNMC SP Equity</t>
        </is>
      </c>
      <c r="B106" s="16" t="inlineStr">
        <is>
          <t>CNMC Goldmine Holdings Ltd</t>
        </is>
      </c>
      <c r="C106" s="17" t="n">
        <v>534981633.2582593</v>
      </c>
      <c r="D106" s="16" t="inlineStr">
        <is>
          <t>Materials</t>
        </is>
      </c>
      <c r="E106" s="16" t="inlineStr">
        <is>
          <t>Singapore</t>
        </is>
      </c>
    </row>
    <row r="107">
      <c r="A107" s="16" t="inlineStr">
        <is>
          <t>FEOR SP Equity</t>
        </is>
      </c>
      <c r="B107" s="16" t="inlineStr">
        <is>
          <t>Far East Orchard Ltd</t>
        </is>
      </c>
      <c r="C107" s="17" t="n">
        <v>526419469.91</v>
      </c>
      <c r="D107" s="16" t="inlineStr">
        <is>
          <t>Real Estate</t>
        </is>
      </c>
      <c r="E107" s="16" t="inlineStr">
        <is>
          <t>Singapore</t>
        </is>
      </c>
    </row>
    <row r="108">
      <c r="A108" s="16" t="inlineStr">
        <is>
          <t>GRAN SP Equity</t>
        </is>
      </c>
      <c r="B108" s="16" t="inlineStr">
        <is>
          <t>Hotel Grand Central Ltd</t>
        </is>
      </c>
      <c r="C108" s="17" t="n">
        <v>521295434.3399999</v>
      </c>
      <c r="D108" s="16" t="inlineStr">
        <is>
          <t>Consumer Discretionary</t>
        </is>
      </c>
      <c r="E108" s="16" t="inlineStr">
        <is>
          <t>Singapore</t>
        </is>
      </c>
    </row>
    <row r="109">
      <c r="A109" s="16" t="inlineStr">
        <is>
          <t>UOI SP Equity</t>
        </is>
      </c>
      <c r="B109" s="16" t="inlineStr">
        <is>
          <t>United Overseas Insurance Ltd</t>
        </is>
      </c>
      <c r="C109" s="17" t="n">
        <v>521040627.9945373</v>
      </c>
      <c r="D109" s="16" t="inlineStr">
        <is>
          <t>Financials</t>
        </is>
      </c>
      <c r="E109" s="16" t="inlineStr">
        <is>
          <t>Singapore</t>
        </is>
      </c>
    </row>
    <row r="110">
      <c r="A110" s="16" t="inlineStr">
        <is>
          <t>KMLY SP Equity</t>
        </is>
      </c>
      <c r="B110" s="16" t="inlineStr">
        <is>
          <t>Kimly Ltd</t>
        </is>
      </c>
      <c r="C110" s="17" t="n">
        <v>497956093.4201239</v>
      </c>
      <c r="D110" s="16" t="inlineStr">
        <is>
          <t>Consumer Discretionary</t>
        </is>
      </c>
      <c r="E110" s="16" t="inlineStr">
        <is>
          <t>Singapore</t>
        </is>
      </c>
    </row>
    <row r="111">
      <c r="A111" s="16" t="inlineStr">
        <is>
          <t>COS SP Equity</t>
        </is>
      </c>
      <c r="B111" s="16" t="inlineStr">
        <is>
          <t>COSCO SHIPPING International S</t>
        </is>
      </c>
      <c r="C111" s="17" t="n">
        <v>497112386.1945311</v>
      </c>
      <c r="D111" s="16" t="inlineStr">
        <is>
          <t>Industrials</t>
        </is>
      </c>
      <c r="E111" s="16" t="inlineStr">
        <is>
          <t>Singapore</t>
        </is>
      </c>
    </row>
    <row r="112">
      <c r="A112" s="16" t="inlineStr">
        <is>
          <t>QNM SP Equity</t>
        </is>
      </c>
      <c r="B112" s="16" t="inlineStr">
        <is>
          <t>Q&amp;M Dental Group Singapore Ltd</t>
        </is>
      </c>
      <c r="C112" s="17" t="n">
        <v>493636377.6135249</v>
      </c>
      <c r="D112" s="16" t="inlineStr">
        <is>
          <t>Health Care</t>
        </is>
      </c>
      <c r="E112" s="16" t="inlineStr">
        <is>
          <t>Singapore</t>
        </is>
      </c>
    </row>
    <row r="113">
      <c r="A113" s="16" t="inlineStr">
        <is>
          <t>SAMU SP Equity</t>
        </is>
      </c>
      <c r="B113" s="16" t="inlineStr">
        <is>
          <t>Samudera Shipping Line Ltd</t>
        </is>
      </c>
      <c r="C113" s="17" t="n">
        <v>489614775.2006133</v>
      </c>
      <c r="D113" s="16" t="inlineStr">
        <is>
          <t>Industrials</t>
        </is>
      </c>
      <c r="E113" s="16" t="inlineStr">
        <is>
          <t>Singapore</t>
        </is>
      </c>
    </row>
    <row r="114">
      <c r="A114" s="16" t="inlineStr">
        <is>
          <t>SPWG SP Equity</t>
        </is>
      </c>
      <c r="B114" s="16" t="inlineStr">
        <is>
          <t>Sunpower Group Ltd</t>
        </is>
      </c>
      <c r="C114" s="17" t="n">
        <v>476443131.1305123</v>
      </c>
      <c r="D114" s="16" t="inlineStr">
        <is>
          <t>Utilities</t>
        </is>
      </c>
      <c r="E114" s="16" t="inlineStr">
        <is>
          <t>Singapore</t>
        </is>
      </c>
    </row>
    <row r="115">
      <c r="A115" s="16" t="inlineStr">
        <is>
          <t>IFAR SP Equity</t>
        </is>
      </c>
      <c r="B115" s="16" t="inlineStr">
        <is>
          <t>Indofood Agri Resources Ltd</t>
        </is>
      </c>
      <c r="C115" s="17" t="n">
        <v>474607545.1921436</v>
      </c>
      <c r="D115" s="16" t="inlineStr">
        <is>
          <t>Consumer Staples</t>
        </is>
      </c>
      <c r="E115" s="16" t="inlineStr">
        <is>
          <t>Singapore</t>
        </is>
      </c>
    </row>
    <row r="116">
      <c r="A116" s="16" t="inlineStr">
        <is>
          <t>GSH SP Equity</t>
        </is>
      </c>
      <c r="B116" s="16" t="inlineStr">
        <is>
          <t>GSH Corp Ltd</t>
        </is>
      </c>
      <c r="C116" s="17" t="n">
        <v>447813039.81</v>
      </c>
      <c r="D116" s="16" t="inlineStr">
        <is>
          <t>Real Estate</t>
        </is>
      </c>
      <c r="E116" s="16" t="inlineStr">
        <is>
          <t>Singapore</t>
        </is>
      </c>
    </row>
    <row r="117">
      <c r="A117" s="16" t="inlineStr">
        <is>
          <t>DELFI SP Equity</t>
        </is>
      </c>
      <c r="B117" s="16" t="inlineStr">
        <is>
          <t>Delfi Ltd</t>
        </is>
      </c>
      <c r="C117" s="17" t="n">
        <v>446144621.6568947</v>
      </c>
      <c r="D117" s="16" t="inlineStr">
        <is>
          <t>Consumer Staples</t>
        </is>
      </c>
      <c r="E117" s="16" t="inlineStr">
        <is>
          <t>Singapore</t>
        </is>
      </c>
    </row>
    <row r="118">
      <c r="A118" s="16" t="inlineStr">
        <is>
          <t>HST SP Equity</t>
        </is>
      </c>
      <c r="B118" s="16" t="inlineStr">
        <is>
          <t>Lion-OCBC Securities Hang Seng</t>
        </is>
      </c>
      <c r="C118" s="17" t="n">
        <v>440686158.7883031</v>
      </c>
      <c r="D118" s="16" t="e">
        <v>#N/A</v>
      </c>
      <c r="E118" s="16" t="inlineStr">
        <is>
          <t>Singapore</t>
        </is>
      </c>
    </row>
    <row r="119">
      <c r="A119" s="16" t="inlineStr">
        <is>
          <t>PBS SP Equity</t>
        </is>
      </c>
      <c r="B119" s="16" t="inlineStr">
        <is>
          <t>Penguin International Ltd</t>
        </is>
      </c>
      <c r="C119" s="17" t="n">
        <v>438945752.52</v>
      </c>
      <c r="D119" s="16" t="inlineStr">
        <is>
          <t>Industrials</t>
        </is>
      </c>
      <c r="E119" s="16" t="inlineStr">
        <is>
          <t>Singapore</t>
        </is>
      </c>
    </row>
    <row r="120">
      <c r="A120" s="16" t="inlineStr">
        <is>
          <t>AZTECH SP Equity</t>
        </is>
      </c>
      <c r="B120" s="16" t="inlineStr">
        <is>
          <t>Aztech Global Ltd</t>
        </is>
      </c>
      <c r="C120" s="17" t="n">
        <v>432204387.0400992</v>
      </c>
      <c r="D120" s="16" t="inlineStr">
        <is>
          <t>Information Technology</t>
        </is>
      </c>
      <c r="E120" s="16" t="inlineStr">
        <is>
          <t>Singapore</t>
        </is>
      </c>
    </row>
    <row r="121">
      <c r="A121" s="16" t="inlineStr">
        <is>
          <t>BTH SP Equity</t>
        </is>
      </c>
      <c r="B121" s="16" t="inlineStr">
        <is>
          <t>Banyan Tree Holdings Ltd</t>
        </is>
      </c>
      <c r="C121" s="17" t="n">
        <v>429484382.0972547</v>
      </c>
      <c r="D121" s="16" t="inlineStr">
        <is>
          <t>Consumer Discretionary</t>
        </is>
      </c>
      <c r="E121" s="16" t="inlineStr">
        <is>
          <t>Singapore</t>
        </is>
      </c>
    </row>
    <row r="122">
      <c r="A122" s="16" t="inlineStr">
        <is>
          <t>FIRT SP Equity</t>
        </is>
      </c>
      <c r="B122" s="16" t="inlineStr">
        <is>
          <t>First Real Estate Investment T</t>
        </is>
      </c>
      <c r="C122" s="17" t="n">
        <v>424550973.5263024</v>
      </c>
      <c r="D122" s="16" t="inlineStr">
        <is>
          <t>Real Estate</t>
        </is>
      </c>
      <c r="E122" s="16" t="inlineStr">
        <is>
          <t>Singapore</t>
        </is>
      </c>
    </row>
    <row r="123">
      <c r="A123" s="16" t="inlineStr">
        <is>
          <t>NCL SP Equity</t>
        </is>
      </c>
      <c r="B123" s="16" t="inlineStr">
        <is>
          <t>Nam Cheong Ltd</t>
        </is>
      </c>
      <c r="C123" s="17" t="n">
        <v>417154563.5788612</v>
      </c>
      <c r="D123" s="16" t="inlineStr">
        <is>
          <t>Industrials</t>
        </is>
      </c>
      <c r="E123" s="16" t="inlineStr">
        <is>
          <t>Singapore</t>
        </is>
      </c>
    </row>
    <row r="124">
      <c r="A124" s="16" t="inlineStr">
        <is>
          <t>MII SP Equity</t>
        </is>
      </c>
      <c r="B124" s="16" t="inlineStr">
        <is>
          <t>Mewah International Inc</t>
        </is>
      </c>
      <c r="C124" s="17" t="n">
        <v>405180208.8000001</v>
      </c>
      <c r="D124" s="16" t="inlineStr">
        <is>
          <t>Consumer Staples</t>
        </is>
      </c>
      <c r="E124" s="16" t="inlineStr">
        <is>
          <t>Singapore</t>
        </is>
      </c>
    </row>
    <row r="125">
      <c r="A125" s="16" t="inlineStr">
        <is>
          <t>SIIC SP Equity</t>
        </is>
      </c>
      <c r="B125" s="16" t="inlineStr">
        <is>
          <t>SIIC Environment Holdings Ltd</t>
        </is>
      </c>
      <c r="C125" s="17" t="n">
        <v>404379518.982</v>
      </c>
      <c r="D125" s="16" t="inlineStr">
        <is>
          <t>Utilities</t>
        </is>
      </c>
      <c r="E125" s="16" t="inlineStr">
        <is>
          <t>Singapore</t>
        </is>
      </c>
    </row>
    <row r="126">
      <c r="A126" s="16" t="inlineStr">
        <is>
          <t>EGUH SP Equity</t>
        </is>
      </c>
      <c r="B126" s="16" t="inlineStr">
        <is>
          <t>Ever Glory United Holdings Ltd</t>
        </is>
      </c>
      <c r="C126" s="17" t="n">
        <v>393314934.9852476</v>
      </c>
      <c r="D126" s="16" t="inlineStr">
        <is>
          <t>Industrials</t>
        </is>
      </c>
      <c r="E126" s="16" t="inlineStr">
        <is>
          <t>Singapore</t>
        </is>
      </c>
    </row>
    <row r="127">
      <c r="A127" s="16" t="inlineStr">
        <is>
          <t>VALUE SP Equity</t>
        </is>
      </c>
      <c r="B127" s="16" t="inlineStr">
        <is>
          <t>Valuetronics Holdings Ltd</t>
        </is>
      </c>
      <c r="C127" s="17" t="n">
        <v>391586509.4917486</v>
      </c>
      <c r="D127" s="16" t="inlineStr">
        <is>
          <t>Information Technology</t>
        </is>
      </c>
      <c r="E127" s="16" t="inlineStr">
        <is>
          <t>Singapore</t>
        </is>
      </c>
    </row>
    <row r="128">
      <c r="A128" s="16" t="inlineStr">
        <is>
          <t>MC SP Equity</t>
        </is>
      </c>
      <c r="B128" s="16" t="inlineStr">
        <is>
          <t>Multi-Chem Ltd</t>
        </is>
      </c>
      <c r="C128" s="17" t="n">
        <v>382004000.4988251</v>
      </c>
      <c r="D128" s="16" t="inlineStr">
        <is>
          <t>Information Technology</t>
        </is>
      </c>
      <c r="E128" s="16" t="inlineStr">
        <is>
          <t>Singapore</t>
        </is>
      </c>
    </row>
    <row r="129">
      <c r="A129" s="16" t="inlineStr">
        <is>
          <t>SOIL SP Equity</t>
        </is>
      </c>
      <c r="B129" s="16" t="inlineStr">
        <is>
          <t>Soilbuild Construction Group L</t>
        </is>
      </c>
      <c r="C129" s="17" t="n">
        <v>380580992.1097755</v>
      </c>
      <c r="D129" s="16" t="inlineStr">
        <is>
          <t>Industrials</t>
        </is>
      </c>
      <c r="E129" s="16" t="inlineStr">
        <is>
          <t>Singapore</t>
        </is>
      </c>
    </row>
    <row r="130">
      <c r="A130" s="16" t="inlineStr">
        <is>
          <t>BVEST SP Equity</t>
        </is>
      </c>
      <c r="B130" s="16" t="inlineStr">
        <is>
          <t>Bonvests Holdings Ltd</t>
        </is>
      </c>
      <c r="C130" s="17" t="n">
        <v>377425949.92</v>
      </c>
      <c r="D130" s="16" t="inlineStr">
        <is>
          <t>Consumer Discretionary</t>
        </is>
      </c>
      <c r="E130" s="16" t="inlineStr">
        <is>
          <t>Singapore</t>
        </is>
      </c>
    </row>
    <row r="131">
      <c r="A131" s="16" t="inlineStr">
        <is>
          <t>OKP SP Equity</t>
        </is>
      </c>
      <c r="B131" s="16" t="inlineStr">
        <is>
          <t>OKP Holdings Ltd</t>
        </is>
      </c>
      <c r="C131" s="17" t="n">
        <v>373341855.2027711</v>
      </c>
      <c r="D131" s="16" t="inlineStr">
        <is>
          <t>Industrials</t>
        </is>
      </c>
      <c r="E131" s="16" t="inlineStr">
        <is>
          <t>Singapore</t>
        </is>
      </c>
    </row>
    <row r="132">
      <c r="A132" s="16" t="inlineStr">
        <is>
          <t>UHU SP Equity</t>
        </is>
      </c>
      <c r="B132" s="16" t="inlineStr">
        <is>
          <t>United Hampshire US REIT</t>
        </is>
      </c>
      <c r="C132" s="17" t="n">
        <v>370951141.6902719</v>
      </c>
      <c r="D132" s="16" t="inlineStr">
        <is>
          <t>Real Estate</t>
        </is>
      </c>
      <c r="E132" s="16" t="inlineStr">
        <is>
          <t>Singapore</t>
        </is>
      </c>
    </row>
    <row r="133">
      <c r="A133" s="16" t="inlineStr">
        <is>
          <t>MMH SP Equity</t>
        </is>
      </c>
      <c r="B133" s="16" t="inlineStr">
        <is>
          <t>Micro-Mechanics Holdings Ltd</t>
        </is>
      </c>
      <c r="C133" s="17" t="n">
        <v>366384180.3987987</v>
      </c>
      <c r="D133" s="16" t="inlineStr">
        <is>
          <t>Information Technology</t>
        </is>
      </c>
      <c r="E133" s="16" t="inlineStr">
        <is>
          <t>Singapore</t>
        </is>
      </c>
    </row>
    <row r="134">
      <c r="A134" s="16" t="inlineStr">
        <is>
          <t>SIF SP Equity</t>
        </is>
      </c>
      <c r="B134" s="16" t="inlineStr">
        <is>
          <t>Sing Investments &amp; Finance Ltd</t>
        </is>
      </c>
      <c r="C134" s="17" t="n">
        <v>364115468.8605824</v>
      </c>
      <c r="D134" s="16" t="inlineStr">
        <is>
          <t>Financials</t>
        </is>
      </c>
      <c r="E134" s="16" t="inlineStr">
        <is>
          <t>Singapore</t>
        </is>
      </c>
    </row>
    <row r="135">
      <c r="A135" s="16" t="inlineStr">
        <is>
          <t>ELITE SP Equity</t>
        </is>
      </c>
      <c r="B135" s="16" t="inlineStr">
        <is>
          <t>Elite UK REIT</t>
        </is>
      </c>
      <c r="C135" s="17" t="n">
        <v>357062458.6031028</v>
      </c>
      <c r="D135" s="16" t="inlineStr">
        <is>
          <t>Real Estate</t>
        </is>
      </c>
      <c r="E135" s="16" t="inlineStr">
        <is>
          <t>Singapore</t>
        </is>
      </c>
    </row>
    <row r="136">
      <c r="A136" s="16" t="inlineStr">
        <is>
          <t>YHS SP Equity</t>
        </is>
      </c>
      <c r="B136" s="16" t="inlineStr">
        <is>
          <t>Yeo Hiap Seng Ltd</t>
        </is>
      </c>
      <c r="C136" s="17" t="n">
        <v>352550458.2209746</v>
      </c>
      <c r="D136" s="16" t="inlineStr">
        <is>
          <t>Consumer Staples</t>
        </is>
      </c>
      <c r="E136" s="16" t="inlineStr">
        <is>
          <t>Singapore</t>
        </is>
      </c>
    </row>
    <row r="137">
      <c r="A137" s="16" t="inlineStr">
        <is>
          <t>TSH SP Equity</t>
        </is>
      </c>
      <c r="B137" s="16" t="inlineStr">
        <is>
          <t>Tuan Sing Holdings Ltd</t>
        </is>
      </c>
      <c r="C137" s="17" t="n">
        <v>349140412.9174145</v>
      </c>
      <c r="D137" s="16" t="inlineStr">
        <is>
          <t>Real Estate</t>
        </is>
      </c>
      <c r="E137" s="16" t="inlineStr">
        <is>
          <t>Singapore</t>
        </is>
      </c>
    </row>
    <row r="138">
      <c r="A138" s="16" t="inlineStr">
        <is>
          <t>NSL SP Equity</t>
        </is>
      </c>
      <c r="B138" s="16" t="inlineStr">
        <is>
          <t>NSL Ltd/Singapore</t>
        </is>
      </c>
      <c r="C138" s="17" t="n">
        <v>345541369.225</v>
      </c>
      <c r="D138" s="16" t="inlineStr">
        <is>
          <t>Materials</t>
        </is>
      </c>
      <c r="E138" s="16" t="inlineStr">
        <is>
          <t>Singapore</t>
        </is>
      </c>
    </row>
    <row r="139">
      <c r="A139" s="16" t="inlineStr">
        <is>
          <t>ICG SP Equity</t>
        </is>
      </c>
      <c r="B139" s="16" t="inlineStr">
        <is>
          <t>International Cement Group Ltd</t>
        </is>
      </c>
      <c r="C139" s="17" t="n">
        <v>344083963.2491239</v>
      </c>
      <c r="D139" s="16" t="inlineStr">
        <is>
          <t>Materials</t>
        </is>
      </c>
      <c r="E139" s="16" t="inlineStr">
        <is>
          <t>Singapore</t>
        </is>
      </c>
    </row>
    <row r="140">
      <c r="A140" s="16" t="inlineStr">
        <is>
          <t>GRC SP Equity</t>
        </is>
      </c>
      <c r="B140" s="16" t="inlineStr">
        <is>
          <t>Global Resource Construction L</t>
        </is>
      </c>
      <c r="C140" s="17" t="n">
        <v>341971336.9099473</v>
      </c>
      <c r="D140" s="16" t="inlineStr">
        <is>
          <t>Real Estate</t>
        </is>
      </c>
      <c r="E140" s="16" t="inlineStr">
        <is>
          <t>Singapore</t>
        </is>
      </c>
    </row>
    <row r="141">
      <c r="A141" s="16" t="inlineStr">
        <is>
          <t>METRO SP Equity</t>
        </is>
      </c>
      <c r="B141" s="16" t="inlineStr">
        <is>
          <t>Metro Holdings Ltd/Singapore</t>
        </is>
      </c>
      <c r="C141" s="17" t="n">
        <v>340709456.3400001</v>
      </c>
      <c r="D141" s="16" t="inlineStr">
        <is>
          <t>Consumer Discretionary</t>
        </is>
      </c>
      <c r="E141" s="16" t="inlineStr">
        <is>
          <t>Singapore</t>
        </is>
      </c>
    </row>
    <row r="142">
      <c r="A142" s="16" t="inlineStr">
        <is>
          <t>ASP SP Equity</t>
        </is>
      </c>
      <c r="B142" s="16" t="inlineStr">
        <is>
          <t>Aspial Corp Ltd</t>
        </is>
      </c>
      <c r="C142" s="17" t="n">
        <v>340413678.4877978</v>
      </c>
      <c r="D142" s="16" t="inlineStr">
        <is>
          <t>Consumer Discretionary</t>
        </is>
      </c>
      <c r="E142" s="16" t="inlineStr">
        <is>
          <t>Singapore</t>
        </is>
      </c>
    </row>
    <row r="143">
      <c r="A143" s="16" t="inlineStr">
        <is>
          <t>ASL SP Equity</t>
        </is>
      </c>
      <c r="B143" s="16" t="inlineStr">
        <is>
          <t>ASL Marine Holdings Ltd</t>
        </is>
      </c>
      <c r="C143" s="17" t="n">
        <v>303564714.4262681</v>
      </c>
      <c r="D143" s="16" t="inlineStr">
        <is>
          <t>Industrials</t>
        </is>
      </c>
      <c r="E143" s="16" t="inlineStr">
        <is>
          <t>Singapore</t>
        </is>
      </c>
    </row>
    <row r="144">
      <c r="A144" s="16" t="inlineStr">
        <is>
          <t>OHL SP Equity</t>
        </is>
      </c>
      <c r="B144" s="16" t="inlineStr">
        <is>
          <t>Oxley Holdings Ltd</t>
        </is>
      </c>
      <c r="C144" s="17" t="n">
        <v>302461857.5876821</v>
      </c>
      <c r="D144" s="16" t="inlineStr">
        <is>
          <t>Real Estate</t>
        </is>
      </c>
      <c r="E144" s="16" t="inlineStr">
        <is>
          <t>Singapore</t>
        </is>
      </c>
    </row>
    <row r="145">
      <c r="A145" s="16" t="inlineStr">
        <is>
          <t>AZEUS SP Equity</t>
        </is>
      </c>
      <c r="B145" s="16" t="inlineStr">
        <is>
          <t>Azeus Systems Holdings Ltd</t>
        </is>
      </c>
      <c r="C145" s="17" t="n">
        <v>290999994.2779541</v>
      </c>
      <c r="D145" s="16" t="inlineStr">
        <is>
          <t>Information Technology</t>
        </is>
      </c>
      <c r="E145" s="16" t="inlineStr">
        <is>
          <t>Singapore</t>
        </is>
      </c>
    </row>
    <row r="146">
      <c r="A146" s="16" t="inlineStr">
        <is>
          <t>BCI SP Equity</t>
        </is>
      </c>
      <c r="B146" s="16" t="inlineStr">
        <is>
          <t>Bund Center Investment Ltd</t>
        </is>
      </c>
      <c r="C146" s="17" t="n">
        <v>288332152.5419083</v>
      </c>
      <c r="D146" s="16" t="inlineStr">
        <is>
          <t>Real Estate</t>
        </is>
      </c>
      <c r="E146" s="16" t="inlineStr">
        <is>
          <t>Singapore</t>
        </is>
      </c>
    </row>
    <row r="147">
      <c r="A147" s="16" t="inlineStr">
        <is>
          <t>HIAP SP Equity</t>
        </is>
      </c>
      <c r="B147" s="16" t="inlineStr">
        <is>
          <t>Hiap Hoe Ltd</t>
        </is>
      </c>
      <c r="C147" s="17" t="n">
        <v>284734434.6</v>
      </c>
      <c r="D147" s="16" t="inlineStr">
        <is>
          <t>Real Estate</t>
        </is>
      </c>
      <c r="E147" s="16" t="inlineStr">
        <is>
          <t>Singapore</t>
        </is>
      </c>
    </row>
    <row r="148">
      <c r="A148" s="16" t="inlineStr">
        <is>
          <t>GALV SP Equity</t>
        </is>
      </c>
      <c r="B148" s="16" t="inlineStr">
        <is>
          <t>Gallant Venture Ltd</t>
        </is>
      </c>
      <c r="C148" s="17" t="n">
        <v>284084074.716</v>
      </c>
      <c r="D148" s="16" t="inlineStr">
        <is>
          <t>Utilities</t>
        </is>
      </c>
      <c r="E148" s="16" t="inlineStr">
        <is>
          <t>Singapore</t>
        </is>
      </c>
    </row>
    <row r="149">
      <c r="A149" s="16" t="inlineStr">
        <is>
          <t>ISDN SP Equity</t>
        </is>
      </c>
      <c r="B149" s="16" t="inlineStr">
        <is>
          <t>ISDN Holdings Ltd</t>
        </is>
      </c>
      <c r="C149" s="17" t="n">
        <v>283108672.6601377</v>
      </c>
      <c r="D149" s="16" t="inlineStr">
        <is>
          <t>Industrials</t>
        </is>
      </c>
      <c r="E149" s="16" t="inlineStr">
        <is>
          <t>Singapore</t>
        </is>
      </c>
    </row>
    <row r="150">
      <c r="A150" s="16" t="inlineStr">
        <is>
          <t>DHLT SP Equity</t>
        </is>
      </c>
      <c r="B150" s="16" t="inlineStr">
        <is>
          <t>Daiwa House Logistics Trust</t>
        </is>
      </c>
      <c r="C150" s="17" t="n">
        <v>280634858.5817852</v>
      </c>
      <c r="D150" s="16" t="inlineStr">
        <is>
          <t>Real Estate</t>
        </is>
      </c>
      <c r="E150" s="16" t="inlineStr">
        <is>
          <t>Singapore</t>
        </is>
      </c>
    </row>
    <row r="151">
      <c r="A151" s="16" t="inlineStr">
        <is>
          <t>GPI SP Equity</t>
        </is>
      </c>
      <c r="B151" s="16" t="inlineStr">
        <is>
          <t>GP Industries Ltd</t>
        </is>
      </c>
      <c r="C151" s="17" t="n">
        <v>273884872.3031977</v>
      </c>
      <c r="D151" s="16" t="inlineStr">
        <is>
          <t>Industrials</t>
        </is>
      </c>
      <c r="E151" s="16" t="inlineStr">
        <is>
          <t>Singapore</t>
        </is>
      </c>
    </row>
    <row r="152">
      <c r="A152" s="16" t="inlineStr">
        <is>
          <t>SAML SP Equity</t>
        </is>
      </c>
      <c r="B152" s="16" t="inlineStr">
        <is>
          <t>Southern Alliance Mining Ltd</t>
        </is>
      </c>
      <c r="C152" s="17" t="n">
        <v>270615086.5</v>
      </c>
      <c r="D152" s="16" t="inlineStr">
        <is>
          <t>Materials</t>
        </is>
      </c>
      <c r="E152" s="16" t="inlineStr">
        <is>
          <t>Singapore</t>
        </is>
      </c>
    </row>
    <row r="153">
      <c r="A153" s="16" t="inlineStr">
        <is>
          <t>PSCC SP Equity</t>
        </is>
      </c>
      <c r="B153" s="16" t="inlineStr">
        <is>
          <t>PSC Corp Ltd</t>
        </is>
      </c>
      <c r="C153" s="17" t="n">
        <v>269921990.8701785</v>
      </c>
      <c r="D153" s="16" t="inlineStr">
        <is>
          <t>Materials</t>
        </is>
      </c>
      <c r="E153" s="16" t="inlineStr">
        <is>
          <t>Singapore</t>
        </is>
      </c>
    </row>
    <row r="154">
      <c r="A154" s="16" t="inlineStr">
        <is>
          <t>JCO SP Equity</t>
        </is>
      </c>
      <c r="B154" s="16" t="inlineStr">
        <is>
          <t>JustCo Holdings Ltd</t>
        </is>
      </c>
      <c r="C154" s="17" t="n">
        <v>269079672.7321447</v>
      </c>
      <c r="D154" s="16" t="inlineStr">
        <is>
          <t>Real Estate</t>
        </is>
      </c>
      <c r="E154" s="16" t="inlineStr">
        <is>
          <t>Singapore</t>
        </is>
      </c>
    </row>
    <row r="155">
      <c r="A155" s="16" t="inlineStr">
        <is>
          <t>JBF SP Equity</t>
        </is>
      </c>
      <c r="B155" s="16" t="inlineStr">
        <is>
          <t>JB Foods Ltd</t>
        </is>
      </c>
      <c r="C155" s="17" t="n">
        <v>266815962.8107653</v>
      </c>
      <c r="D155" s="16" t="inlineStr">
        <is>
          <t>Consumer Staples</t>
        </is>
      </c>
      <c r="E155" s="16" t="inlineStr">
        <is>
          <t>Singapore</t>
        </is>
      </c>
    </row>
    <row r="156">
      <c r="A156" s="16" t="inlineStr">
        <is>
          <t>IREIT SP Equity</t>
        </is>
      </c>
      <c r="B156" s="16" t="inlineStr">
        <is>
          <t>IREIT Global</t>
        </is>
      </c>
      <c r="C156" s="17" t="n">
        <v>258208815.3004398</v>
      </c>
      <c r="D156" s="16" t="inlineStr">
        <is>
          <t>Real Estate</t>
        </is>
      </c>
      <c r="E156" s="16" t="inlineStr">
        <is>
          <t>Singapore</t>
        </is>
      </c>
    </row>
    <row r="157">
      <c r="A157" s="16" t="inlineStr">
        <is>
          <t>HAFA SP Equity</t>
        </is>
      </c>
      <c r="B157" s="16" t="inlineStr">
        <is>
          <t>Hafary Holdings Ltd</t>
        </is>
      </c>
      <c r="C157" s="17" t="n">
        <v>256177250</v>
      </c>
      <c r="D157" s="16" t="inlineStr">
        <is>
          <t>Industrials</t>
        </is>
      </c>
      <c r="E157" s="16" t="inlineStr">
        <is>
          <t>Singapore</t>
        </is>
      </c>
    </row>
    <row r="158">
      <c r="A158" s="16" t="inlineStr">
        <is>
          <t>THK SP Equity</t>
        </is>
      </c>
      <c r="B158" s="16" t="inlineStr">
        <is>
          <t>Thakral Corp Ltd</t>
        </is>
      </c>
      <c r="C158" s="17" t="n">
        <v>252465118.7635345</v>
      </c>
      <c r="D158" s="16" t="inlineStr">
        <is>
          <t>Consumer Discretionary</t>
        </is>
      </c>
      <c r="E158" s="16" t="inlineStr">
        <is>
          <t>Singapore</t>
        </is>
      </c>
    </row>
    <row r="159">
      <c r="A159" s="16" t="inlineStr">
        <is>
          <t>CBA SP Equity</t>
        </is>
      </c>
      <c r="B159" s="16" t="inlineStr">
        <is>
          <t>Credit Bureau Asia Ltd</t>
        </is>
      </c>
      <c r="C159" s="17" t="n">
        <v>252329005.4690838</v>
      </c>
      <c r="D159" s="16" t="inlineStr">
        <is>
          <t>Industrials</t>
        </is>
      </c>
      <c r="E159" s="16" t="inlineStr">
        <is>
          <t>Singapore</t>
        </is>
      </c>
    </row>
    <row r="160">
      <c r="A160" s="16" t="inlineStr">
        <is>
          <t>PRIME SP Equity</t>
        </is>
      </c>
      <c r="B160" s="16" t="inlineStr">
        <is>
          <t>Prime US REIT</t>
        </is>
      </c>
      <c r="C160" s="17" t="n">
        <v>252067766.8052039</v>
      </c>
      <c r="D160" s="16" t="inlineStr">
        <is>
          <t>Real Estate</t>
        </is>
      </c>
      <c r="E160" s="16" t="inlineStr">
        <is>
          <t>Singapore</t>
        </is>
      </c>
    </row>
    <row r="161">
      <c r="A161" s="16" t="inlineStr">
        <is>
          <t>APAC SP Equity</t>
        </is>
      </c>
      <c r="B161" s="16" t="inlineStr">
        <is>
          <t>APAC Realty Ltd</t>
        </is>
      </c>
      <c r="C161" s="17" t="n">
        <v>251163217.3783169</v>
      </c>
      <c r="D161" s="16" t="inlineStr">
        <is>
          <t>Real Estate</t>
        </is>
      </c>
      <c r="E161" s="16" t="inlineStr">
        <is>
          <t>Singapore</t>
        </is>
      </c>
    </row>
    <row r="162">
      <c r="A162" s="16" t="inlineStr">
        <is>
          <t>STCO SP Equity</t>
        </is>
      </c>
      <c r="B162" s="16" t="inlineStr">
        <is>
          <t>Straco Corp Ltd</t>
        </is>
      </c>
      <c r="C162" s="17" t="n">
        <v>248012221.0635335</v>
      </c>
      <c r="D162" s="16" t="inlineStr">
        <is>
          <t>Consumer Discretionary</t>
        </is>
      </c>
      <c r="E162" s="16" t="inlineStr">
        <is>
          <t>Singapore</t>
        </is>
      </c>
    </row>
    <row r="163">
      <c r="A163" s="16" t="inlineStr">
        <is>
          <t>HRY SP Equity</t>
        </is>
      </c>
      <c r="B163" s="16" t="inlineStr">
        <is>
          <t>Hotel Royal Ltd</t>
        </is>
      </c>
      <c r="C163" s="17" t="n">
        <v>245548800</v>
      </c>
      <c r="D163" s="16" t="inlineStr">
        <is>
          <t>Consumer Discretionary</t>
        </is>
      </c>
      <c r="E163" s="16" t="inlineStr">
        <is>
          <t>Singapore</t>
        </is>
      </c>
    </row>
    <row r="164">
      <c r="A164" s="16" t="inlineStr">
        <is>
          <t>AVARGA SP Equity</t>
        </is>
      </c>
      <c r="B164" s="16" t="inlineStr">
        <is>
          <t>Avarga Ltd</t>
        </is>
      </c>
      <c r="C164" s="17" t="n">
        <v>244336369.698</v>
      </c>
      <c r="D164" s="16" t="inlineStr">
        <is>
          <t>Materials</t>
        </is>
      </c>
      <c r="E164" s="16" t="inlineStr">
        <is>
          <t>Singapore</t>
        </is>
      </c>
    </row>
    <row r="165">
      <c r="A165" s="16" t="inlineStr">
        <is>
          <t>TSE SP Equity</t>
        </is>
      </c>
      <c r="B165" s="16" t="inlineStr">
        <is>
          <t>Tai Sin Electric Ltd</t>
        </is>
      </c>
      <c r="C165" s="17" t="n">
        <v>238439253.115</v>
      </c>
      <c r="D165" s="16" t="inlineStr">
        <is>
          <t>Industrials</t>
        </is>
      </c>
      <c r="E165" s="16" t="inlineStr">
        <is>
          <t>Singapore</t>
        </is>
      </c>
    </row>
    <row r="166">
      <c r="A166" s="16" t="inlineStr">
        <is>
          <t>LHN SP Equity</t>
        </is>
      </c>
      <c r="B166" s="16" t="inlineStr">
        <is>
          <t>LHN Ltd</t>
        </is>
      </c>
      <c r="C166" s="17" t="n">
        <v>235228043.1471223</v>
      </c>
      <c r="D166" s="16" t="inlineStr">
        <is>
          <t>Real Estate</t>
        </is>
      </c>
      <c r="E166" s="16" t="inlineStr">
        <is>
          <t>Singapore</t>
        </is>
      </c>
    </row>
    <row r="167">
      <c r="A167" s="16" t="inlineStr">
        <is>
          <t>KBE SP Equity</t>
        </is>
      </c>
      <c r="B167" s="16" t="inlineStr">
        <is>
          <t>Koh Brothers Eco Engineering L</t>
        </is>
      </c>
      <c r="C167" s="17" t="n">
        <v>233912327.62311</v>
      </c>
      <c r="D167" s="16" t="inlineStr">
        <is>
          <t>Industrials</t>
        </is>
      </c>
      <c r="E167" s="16" t="inlineStr">
        <is>
          <t>Singapore</t>
        </is>
      </c>
    </row>
    <row r="168">
      <c r="A168" s="16" t="inlineStr">
        <is>
          <t>BHGREIT SP Equity</t>
        </is>
      </c>
      <c r="B168" s="16" t="inlineStr">
        <is>
          <t>BHG Retail REIT</t>
        </is>
      </c>
      <c r="C168" s="17" t="n">
        <v>233821170.45</v>
      </c>
      <c r="D168" s="16" t="inlineStr">
        <is>
          <t>Real Estate</t>
        </is>
      </c>
      <c r="E168" s="16" t="inlineStr">
        <is>
          <t>Singapore</t>
        </is>
      </c>
    </row>
    <row r="169">
      <c r="A169" s="16" t="inlineStr">
        <is>
          <t>SING SP Equity</t>
        </is>
      </c>
      <c r="B169" s="16" t="inlineStr">
        <is>
          <t>Sing Holdings Ltd</t>
        </is>
      </c>
      <c r="C169" s="17" t="n">
        <v>231574371.5287263</v>
      </c>
      <c r="D169" s="16" t="inlineStr">
        <is>
          <t>Real Estate</t>
        </is>
      </c>
      <c r="E169" s="16" t="inlineStr">
        <is>
          <t>Singapore</t>
        </is>
      </c>
    </row>
    <row r="170">
      <c r="A170" s="16" t="inlineStr">
        <is>
          <t>COLIWOO SP Equity</t>
        </is>
      </c>
      <c r="B170" s="16" t="inlineStr">
        <is>
          <t>Coliwoo Holdings Ltd</t>
        </is>
      </c>
      <c r="C170" s="17" t="n">
        <v>230783994.8415756</v>
      </c>
      <c r="D170" s="16" t="inlineStr">
        <is>
          <t>Real Estate</t>
        </is>
      </c>
      <c r="E170" s="16" t="inlineStr">
        <is>
          <t>Singapore</t>
        </is>
      </c>
    </row>
    <row r="171">
      <c r="A171" s="16" t="inlineStr">
        <is>
          <t>ITSL SP Equity</t>
        </is>
      </c>
      <c r="B171" s="16" t="inlineStr">
        <is>
          <t>Info-Tech Systems Integrators</t>
        </is>
      </c>
      <c r="C171" s="17" t="n">
        <v>228329997.5395203</v>
      </c>
      <c r="D171" s="16" t="inlineStr">
        <is>
          <t>Information Technology</t>
        </is>
      </c>
      <c r="E171" s="16" t="inlineStr">
        <is>
          <t>Singapore</t>
        </is>
      </c>
    </row>
    <row r="172">
      <c r="A172" s="16" t="inlineStr">
        <is>
          <t>KORE SP Equity</t>
        </is>
      </c>
      <c r="B172" s="16" t="inlineStr">
        <is>
          <t>KORE US REIT</t>
        </is>
      </c>
      <c r="C172" s="17" t="n">
        <v>228275469.0720564</v>
      </c>
      <c r="D172" s="16" t="inlineStr">
        <is>
          <t>Real Estate</t>
        </is>
      </c>
      <c r="E172" s="16" t="inlineStr">
        <is>
          <t>Singapore</t>
        </is>
      </c>
    </row>
    <row r="173">
      <c r="A173" s="16" t="inlineStr">
        <is>
          <t>SGDPMMS SP Equity</t>
        </is>
      </c>
      <c r="B173" s="16" t="inlineStr">
        <is>
          <t>Phillip SGD Money Market ETF</t>
        </is>
      </c>
      <c r="C173" s="17" t="n">
        <v>227055009.7720825</v>
      </c>
      <c r="D173" s="16" t="e">
        <v>#N/A</v>
      </c>
      <c r="E173" s="16" t="inlineStr">
        <is>
          <t>Singapore</t>
        </is>
      </c>
    </row>
    <row r="174">
      <c r="A174" s="16" t="inlineStr">
        <is>
          <t>SBO SP Equity</t>
        </is>
      </c>
      <c r="B174" s="16" t="inlineStr">
        <is>
          <t>LionGlobal Short Duration Bond</t>
        </is>
      </c>
      <c r="C174" s="17" t="n">
        <v>218966744.6630338</v>
      </c>
      <c r="D174" s="16" t="e">
        <v>#N/A</v>
      </c>
      <c r="E174" s="16" t="inlineStr">
        <is>
          <t>Singapore</t>
        </is>
      </c>
    </row>
    <row r="175">
      <c r="A175" s="16" t="inlineStr">
        <is>
          <t>LUCC SP Equity</t>
        </is>
      </c>
      <c r="B175" s="16" t="inlineStr">
        <is>
          <t>Lum Chang Creations Ltd</t>
        </is>
      </c>
      <c r="C175" s="17" t="n">
        <v>217800008.6545944</v>
      </c>
      <c r="D175" s="16" t="inlineStr">
        <is>
          <t>Industrials</t>
        </is>
      </c>
      <c r="E175" s="16" t="inlineStr">
        <is>
          <t>Singapore</t>
        </is>
      </c>
    </row>
    <row r="176">
      <c r="A176" s="16" t="inlineStr">
        <is>
          <t>TWC SP Equity</t>
        </is>
      </c>
      <c r="B176" s="16" t="inlineStr">
        <is>
          <t>Tiong Woon Corp Holding Ltd</t>
        </is>
      </c>
      <c r="C176" s="17" t="n">
        <v>216765962.1077383</v>
      </c>
      <c r="D176" s="16" t="inlineStr">
        <is>
          <t>Industrials</t>
        </is>
      </c>
      <c r="E176" s="16" t="inlineStr">
        <is>
          <t>Singapore</t>
        </is>
      </c>
    </row>
    <row r="177">
      <c r="A177" s="16" t="inlineStr">
        <is>
          <t>GINV SP Equity</t>
        </is>
      </c>
      <c r="B177" s="16" t="inlineStr">
        <is>
          <t>Global Investments Ltd</t>
        </is>
      </c>
      <c r="C177" s="17" t="n">
        <v>214965398.8744696</v>
      </c>
      <c r="D177" s="16" t="e">
        <v>#N/A</v>
      </c>
      <c r="E177" s="16" t="inlineStr">
        <is>
          <t>Singapore</t>
        </is>
      </c>
    </row>
    <row r="178">
      <c r="A178" s="16" t="inlineStr">
        <is>
          <t>NRD SP Equity</t>
        </is>
      </c>
      <c r="B178" s="16" t="inlineStr">
        <is>
          <t>Nordic Group Ltd</t>
        </is>
      </c>
      <c r="C178" s="17" t="n">
        <v>214531856.5247297</v>
      </c>
      <c r="D178" s="16" t="inlineStr">
        <is>
          <t>Industrials</t>
        </is>
      </c>
      <c r="E178" s="16" t="inlineStr">
        <is>
          <t>Singapore</t>
        </is>
      </c>
    </row>
    <row r="179">
      <c r="A179" s="16" t="inlineStr">
        <is>
          <t>AOXIN SP Equity</t>
        </is>
      </c>
      <c r="B179" s="16" t="inlineStr">
        <is>
          <t>Aoxin Q &amp; M Dental Group Ltd</t>
        </is>
      </c>
      <c r="C179" s="17" t="n">
        <v>212105067.6336364</v>
      </c>
      <c r="D179" s="16" t="inlineStr">
        <is>
          <t>Health Care</t>
        </is>
      </c>
      <c r="E179" s="16" t="inlineStr">
        <is>
          <t>Singapore</t>
        </is>
      </c>
    </row>
    <row r="180">
      <c r="A180" s="16" t="inlineStr">
        <is>
          <t>CH SP Equity</t>
        </is>
      </c>
      <c r="B180" s="16" t="inlineStr">
        <is>
          <t>Chuan Hup Holdings Ltd</t>
        </is>
      </c>
      <c r="C180" s="17" t="n">
        <v>209563902.3286879</v>
      </c>
      <c r="D180" s="16" t="inlineStr">
        <is>
          <t>Real Estate</t>
        </is>
      </c>
      <c r="E180" s="16" t="inlineStr">
        <is>
          <t>Singapore</t>
        </is>
      </c>
    </row>
    <row r="181">
      <c r="A181" s="16" t="inlineStr">
        <is>
          <t>OUEHC SP Equity</t>
        </is>
      </c>
      <c r="B181" s="16" t="inlineStr">
        <is>
          <t>OUE Healthcare Ltd</t>
        </is>
      </c>
      <c r="C181" s="17" t="n">
        <v>208827065.5315592</v>
      </c>
      <c r="D181" s="16" t="inlineStr">
        <is>
          <t>Health Care</t>
        </is>
      </c>
      <c r="E181" s="16" t="inlineStr">
        <is>
          <t>Singapore</t>
        </is>
      </c>
    </row>
    <row r="182">
      <c r="A182" s="16" t="inlineStr">
        <is>
          <t>LCH SP Equity</t>
        </is>
      </c>
      <c r="B182" s="16" t="inlineStr">
        <is>
          <t>Lum Chang Holdings Ltd</t>
        </is>
      </c>
      <c r="C182" s="17" t="n">
        <v>204170524.4322259</v>
      </c>
      <c r="D182" s="16" t="inlineStr">
        <is>
          <t>Industrials</t>
        </is>
      </c>
      <c r="E182" s="16" t="inlineStr">
        <is>
          <t>Singapore</t>
        </is>
      </c>
    </row>
    <row r="183">
      <c r="A183" s="16" t="inlineStr">
        <is>
          <t>JEP SP Equity</t>
        </is>
      </c>
      <c r="B183" s="16" t="inlineStr">
        <is>
          <t>JEP Holdings Ltd</t>
        </is>
      </c>
      <c r="C183" s="17" t="n">
        <v>196186407.513185</v>
      </c>
      <c r="D183" s="16" t="inlineStr">
        <is>
          <t>Industrials</t>
        </is>
      </c>
      <c r="E183" s="16" t="inlineStr">
        <is>
          <t>Singapore</t>
        </is>
      </c>
    </row>
    <row r="184">
      <c r="A184" s="16" t="inlineStr">
        <is>
          <t>YOMA SP Equity</t>
        </is>
      </c>
      <c r="B184" s="16" t="inlineStr">
        <is>
          <t>Yoma Strategic Holdings Ltd</t>
        </is>
      </c>
      <c r="C184" s="17" t="n">
        <v>185454442.0150958</v>
      </c>
      <c r="D184" s="16" t="inlineStr">
        <is>
          <t>Real Estate</t>
        </is>
      </c>
      <c r="E184" s="16" t="inlineStr">
        <is>
          <t>Singapore</t>
        </is>
      </c>
    </row>
    <row r="185">
      <c r="A185" s="16" t="inlineStr">
        <is>
          <t>SHOCK SP Equity</t>
        </is>
      </c>
      <c r="B185" s="16" t="inlineStr">
        <is>
          <t>Soon Hock Enterprise Holding L</t>
        </is>
      </c>
      <c r="C185" s="17" t="n">
        <v>184867698.8892555</v>
      </c>
      <c r="D185" s="16" t="inlineStr">
        <is>
          <t>Real Estate</t>
        </is>
      </c>
      <c r="E185" s="16" t="inlineStr">
        <is>
          <t>Singapore</t>
        </is>
      </c>
    </row>
    <row r="186">
      <c r="A186" s="16" t="inlineStr">
        <is>
          <t>ISEC SP Equity</t>
        </is>
      </c>
      <c r="B186" s="16" t="inlineStr">
        <is>
          <t>ISEC Healthcare Ltd</t>
        </is>
      </c>
      <c r="C186" s="17" t="n">
        <v>178467172.4925771</v>
      </c>
      <c r="D186" s="16" t="inlineStr">
        <is>
          <t>Health Care</t>
        </is>
      </c>
      <c r="E186" s="16" t="inlineStr">
        <is>
          <t>Singapore</t>
        </is>
      </c>
    </row>
    <row r="187">
      <c r="A187" s="16" t="inlineStr">
        <is>
          <t>GLU SP Equity</t>
        </is>
      </c>
      <c r="B187" s="16" t="inlineStr">
        <is>
          <t>LionGlobal Singapore Physical</t>
        </is>
      </c>
      <c r="C187" s="17" t="n">
        <v>167757382.2904654</v>
      </c>
      <c r="D187" s="16" t="e">
        <v>#N/A</v>
      </c>
      <c r="E187" s="16" t="inlineStr">
        <is>
          <t>Singapore</t>
        </is>
      </c>
    </row>
    <row r="188">
      <c r="A188" s="16" t="inlineStr">
        <is>
          <t>SQU SP Equity</t>
        </is>
      </c>
      <c r="B188" s="16" t="inlineStr">
        <is>
          <t>CSOP iEDGE Southeast Asia+ Tec</t>
        </is>
      </c>
      <c r="C188" s="17" t="n">
        <v>167621974.5024</v>
      </c>
      <c r="D188" s="16" t="e">
        <v>#N/A</v>
      </c>
      <c r="E188" s="16" t="inlineStr">
        <is>
          <t>Singapore</t>
        </is>
      </c>
    </row>
    <row r="189">
      <c r="A189" s="16" t="inlineStr">
        <is>
          <t>RLS SP Equity</t>
        </is>
      </c>
      <c r="B189" s="16" t="inlineStr">
        <is>
          <t>Raffles Education Ltd</t>
        </is>
      </c>
      <c r="C189" s="17" t="n">
        <v>167410327.6573837</v>
      </c>
      <c r="D189" s="16" t="inlineStr">
        <is>
          <t>Consumer Discretionary</t>
        </is>
      </c>
      <c r="E189" s="16" t="inlineStr">
        <is>
          <t>Singapore</t>
        </is>
      </c>
    </row>
    <row r="190">
      <c r="A190" s="16" t="inlineStr">
        <is>
          <t>XMH SP Equity</t>
        </is>
      </c>
      <c r="B190" s="16" t="inlineStr">
        <is>
          <t>XMH Holdings Ltd</t>
        </is>
      </c>
      <c r="C190" s="17" t="n">
        <v>166658757.8287082</v>
      </c>
      <c r="D190" s="16" t="inlineStr">
        <is>
          <t>Industrials</t>
        </is>
      </c>
      <c r="E190" s="16" t="inlineStr">
        <is>
          <t>Singapore</t>
        </is>
      </c>
    </row>
    <row r="191">
      <c r="A191" s="16" t="inlineStr">
        <is>
          <t>EGX SP Equity</t>
        </is>
      </c>
      <c r="B191" s="16" t="inlineStr">
        <is>
          <t>EGP Energy Corp Ltd</t>
        </is>
      </c>
      <c r="C191" s="17" t="n">
        <v>165705753.2250881</v>
      </c>
      <c r="D191" s="16" t="inlineStr">
        <is>
          <t>Industrials</t>
        </is>
      </c>
      <c r="E191" s="16" t="inlineStr">
        <is>
          <t>Singapore</t>
        </is>
      </c>
    </row>
    <row r="192">
      <c r="A192" s="16" t="inlineStr">
        <is>
          <t>JUMBO SP Equity</t>
        </is>
      </c>
      <c r="B192" s="16" t="inlineStr">
        <is>
          <t>Jumbo Group Ltd</t>
        </is>
      </c>
      <c r="C192" s="17" t="n">
        <v>162422732.7640993</v>
      </c>
      <c r="D192" s="16" t="inlineStr">
        <is>
          <t>Consumer Discretionary</t>
        </is>
      </c>
      <c r="E192" s="16" t="inlineStr">
        <is>
          <t>Singapore</t>
        </is>
      </c>
    </row>
    <row r="193">
      <c r="A193" s="16" t="inlineStr">
        <is>
          <t>KSHH SP Equity</t>
        </is>
      </c>
      <c r="B193" s="16" t="inlineStr">
        <is>
          <t>KSH Holdings Ltd</t>
        </is>
      </c>
      <c r="C193" s="17" t="n">
        <v>159525981.2791778</v>
      </c>
      <c r="D193" s="16" t="inlineStr">
        <is>
          <t>Industrials</t>
        </is>
      </c>
      <c r="E193" s="16" t="inlineStr">
        <is>
          <t>Singapore</t>
        </is>
      </c>
    </row>
    <row r="194">
      <c r="A194" s="16" t="inlineStr">
        <is>
          <t>KAGR SP Equity</t>
        </is>
      </c>
      <c r="B194" s="16" t="inlineStr">
        <is>
          <t>Kencana Agri Ltd</t>
        </is>
      </c>
      <c r="C194" s="17" t="n">
        <v>159291206.9528639</v>
      </c>
      <c r="D194" s="16" t="inlineStr">
        <is>
          <t>Consumer Staples</t>
        </is>
      </c>
      <c r="E194" s="16" t="inlineStr">
        <is>
          <t>Singapore</t>
        </is>
      </c>
    </row>
    <row r="195">
      <c r="A195" s="16" t="inlineStr">
        <is>
          <t>EGCL SP Equity</t>
        </is>
      </c>
      <c r="B195" s="16" t="inlineStr">
        <is>
          <t>EnGro Corp Ltd/Singapore</t>
        </is>
      </c>
      <c r="C195" s="17" t="n">
        <v>157874325</v>
      </c>
      <c r="D195" s="16" t="inlineStr">
        <is>
          <t>Materials</t>
        </is>
      </c>
      <c r="E195" s="16" t="inlineStr">
        <is>
          <t>Singapore</t>
        </is>
      </c>
    </row>
    <row r="196">
      <c r="A196" s="16" t="inlineStr">
        <is>
          <t>FINSGD SP Equity</t>
        </is>
      </c>
      <c r="B196" s="16" t="inlineStr">
        <is>
          <t>Lion-OCBC Securities APAC Fina</t>
        </is>
      </c>
      <c r="C196" s="17" t="n">
        <v>157357950.7199683</v>
      </c>
      <c r="D196" s="16" t="e">
        <v>#N/A</v>
      </c>
      <c r="E196" s="16" t="inlineStr">
        <is>
          <t>Singapore</t>
        </is>
      </c>
    </row>
    <row r="197">
      <c r="A197" s="16" t="inlineStr">
        <is>
          <t>MMT SP Equity</t>
        </is>
      </c>
      <c r="B197" s="16" t="inlineStr">
        <is>
          <t>Mermaid Maritime PCL</t>
        </is>
      </c>
      <c r="C197" s="17" t="n">
        <v>155040945.8624889</v>
      </c>
      <c r="D197" s="16" t="inlineStr">
        <is>
          <t>Energy</t>
        </is>
      </c>
      <c r="E197" s="16" t="inlineStr">
        <is>
          <t>Singapore</t>
        </is>
      </c>
    </row>
    <row r="198">
      <c r="A198" s="16" t="inlineStr">
        <is>
          <t>ARAUS SP Equity</t>
        </is>
      </c>
      <c r="B198" s="16" t="inlineStr">
        <is>
          <t>Acrophyte Hospitality Trust</t>
        </is>
      </c>
      <c r="C198" s="17" t="n">
        <v>154798576.0033466</v>
      </c>
      <c r="D198" s="16" t="inlineStr">
        <is>
          <t>Real Estate</t>
        </is>
      </c>
      <c r="E198" s="16" t="inlineStr">
        <is>
          <t>Singapore</t>
        </is>
      </c>
    </row>
    <row r="199">
      <c r="A199" s="16" t="inlineStr">
        <is>
          <t>UNION SP Equity</t>
        </is>
      </c>
      <c r="B199" s="16" t="inlineStr">
        <is>
          <t>Union Gas Holdings Ltd</t>
        </is>
      </c>
      <c r="C199" s="17" t="n">
        <v>152165200.7588426</v>
      </c>
      <c r="D199" s="16" t="inlineStr">
        <is>
          <t>Utilities</t>
        </is>
      </c>
      <c r="E199" s="16" t="inlineStr">
        <is>
          <t>Singapore</t>
        </is>
      </c>
    </row>
    <row r="200">
      <c r="A200" s="16" t="inlineStr">
        <is>
          <t>APTT SP Equity</t>
        </is>
      </c>
      <c r="B200" s="16" t="inlineStr">
        <is>
          <t>Asian Pay Television Trust</t>
        </is>
      </c>
      <c r="C200" s="17" t="n">
        <v>151733805.3543244</v>
      </c>
      <c r="D200" s="16" t="inlineStr">
        <is>
          <t>Communication Services</t>
        </is>
      </c>
      <c r="E200" s="16" t="inlineStr">
        <is>
          <t>Singapore</t>
        </is>
      </c>
    </row>
    <row r="201">
      <c r="A201" s="16" t="inlineStr">
        <is>
          <t>RHP SP Equity</t>
        </is>
      </c>
      <c r="B201" s="16" t="inlineStr">
        <is>
          <t>RH PetroGas Ltd</t>
        </is>
      </c>
      <c r="C201" s="17" t="n">
        <v>150019438.8960868</v>
      </c>
      <c r="D201" s="16" t="inlineStr">
        <is>
          <t>Energy</t>
        </is>
      </c>
      <c r="E201" s="16" t="inlineStr">
        <is>
          <t>Singapore</t>
        </is>
      </c>
    </row>
    <row r="202">
      <c r="A202" s="16" t="inlineStr">
        <is>
          <t>OCK SP Equity</t>
        </is>
      </c>
      <c r="B202" s="16" t="inlineStr">
        <is>
          <t>Old Chang Kee Ltd</t>
        </is>
      </c>
      <c r="C202" s="17" t="n">
        <v>145649645.7875967</v>
      </c>
      <c r="D202" s="16" t="inlineStr">
        <is>
          <t>Consumer Staples</t>
        </is>
      </c>
      <c r="E202" s="16" t="inlineStr">
        <is>
          <t>Singapore</t>
        </is>
      </c>
    </row>
    <row r="203">
      <c r="A203" s="16" t="inlineStr">
        <is>
          <t>TSP SP Equity</t>
        </is>
      </c>
      <c r="B203" s="16" t="inlineStr">
        <is>
          <t>Tat Seng Packaging Group Ltd</t>
        </is>
      </c>
      <c r="C203" s="17" t="n">
        <v>144624002.623558</v>
      </c>
      <c r="D203" s="16" t="inlineStr">
        <is>
          <t>Materials</t>
        </is>
      </c>
      <c r="E203" s="16" t="inlineStr">
        <is>
          <t>Singapore</t>
        </is>
      </c>
    </row>
    <row r="204">
      <c r="A204" s="16" t="inlineStr">
        <is>
          <t>HIH SP Equity</t>
        </is>
      </c>
      <c r="B204" s="16" t="inlineStr">
        <is>
          <t>Hotung Investment Holdings Ltd</t>
        </is>
      </c>
      <c r="C204" s="17" t="n">
        <v>143358010.841094</v>
      </c>
      <c r="D204" s="16" t="inlineStr">
        <is>
          <t>Financials</t>
        </is>
      </c>
      <c r="E204" s="16" t="inlineStr">
        <is>
          <t>Singapore</t>
        </is>
      </c>
    </row>
    <row r="205">
      <c r="A205" s="16" t="inlineStr">
        <is>
          <t>NLPM SP Equity</t>
        </is>
      </c>
      <c r="B205" s="16" t="inlineStr">
        <is>
          <t>Nam Lee Pressed Metal Industri</t>
        </is>
      </c>
      <c r="C205" s="17" t="n">
        <v>139182419.65</v>
      </c>
      <c r="D205" s="16" t="inlineStr">
        <is>
          <t>Industrials</t>
        </is>
      </c>
      <c r="E205" s="16" t="inlineStr">
        <is>
          <t>Singapore</t>
        </is>
      </c>
    </row>
    <row r="206">
      <c r="A206" s="16" t="inlineStr">
        <is>
          <t>GBY SP Equity</t>
        </is>
      </c>
      <c r="B206" s="16" t="inlineStr">
        <is>
          <t>Grand Banks Yachts Ltd</t>
        </is>
      </c>
      <c r="C206" s="17" t="n">
        <v>138072642.0394098</v>
      </c>
      <c r="D206" s="16" t="inlineStr">
        <is>
          <t>Industrials</t>
        </is>
      </c>
      <c r="E206" s="16" t="inlineStr">
        <is>
          <t>Singapore</t>
        </is>
      </c>
    </row>
    <row r="207">
      <c r="A207" s="16" t="inlineStr">
        <is>
          <t>HLSH SP Equity</t>
        </is>
      </c>
      <c r="B207" s="16" t="inlineStr">
        <is>
          <t>Hock Lian Seng Holdings Ltd</t>
        </is>
      </c>
      <c r="C207" s="17" t="n">
        <v>137682453.0410089</v>
      </c>
      <c r="D207" s="16" t="inlineStr">
        <is>
          <t>Industrials</t>
        </is>
      </c>
      <c r="E207" s="16" t="inlineStr">
        <is>
          <t>Singapore</t>
        </is>
      </c>
    </row>
    <row r="208">
      <c r="A208" s="16" t="inlineStr">
        <is>
          <t>17LIVE SP Equity</t>
        </is>
      </c>
      <c r="B208" s="16" t="inlineStr">
        <is>
          <t>17LIVE Group Ltd</t>
        </is>
      </c>
      <c r="C208" s="17" t="n">
        <v>133544711</v>
      </c>
      <c r="D208" s="16" t="inlineStr">
        <is>
          <t>Communication Services</t>
        </is>
      </c>
      <c r="E208" s="16" t="inlineStr">
        <is>
          <t>Singapore</t>
        </is>
      </c>
    </row>
    <row r="209">
      <c r="A209" s="16" t="inlineStr">
        <is>
          <t>ESGSG SP Equity</t>
        </is>
      </c>
      <c r="B209" s="16" t="inlineStr">
        <is>
          <t>Lion-OCBC Securities Singapore</t>
        </is>
      </c>
      <c r="C209" s="17" t="n">
        <v>132825068.0484216</v>
      </c>
      <c r="D209" s="16" t="e">
        <v>#N/A</v>
      </c>
      <c r="E209" s="16" t="inlineStr">
        <is>
          <t>Singapore</t>
        </is>
      </c>
    </row>
    <row r="210">
      <c r="A210" s="16" t="inlineStr">
        <is>
          <t>FMIL SP Equity</t>
        </is>
      </c>
      <c r="B210" s="16" t="inlineStr">
        <is>
          <t>Fortress Minerals Ltd</t>
        </is>
      </c>
      <c r="C210" s="17" t="n">
        <v>125595864</v>
      </c>
      <c r="D210" s="16" t="inlineStr">
        <is>
          <t>Materials</t>
        </is>
      </c>
      <c r="E210" s="16" t="inlineStr">
        <is>
          <t>Singapore</t>
        </is>
      </c>
    </row>
    <row r="211">
      <c r="A211" s="16" t="inlineStr">
        <is>
          <t>SBD SP Equity</t>
        </is>
      </c>
      <c r="B211" s="16" t="inlineStr">
        <is>
          <t>Singapura Finance Ltd</t>
        </is>
      </c>
      <c r="C211" s="17" t="n">
        <v>124568427.8117031</v>
      </c>
      <c r="D211" s="16" t="inlineStr">
        <is>
          <t>Financials</t>
        </is>
      </c>
      <c r="E211" s="16" t="inlineStr">
        <is>
          <t>Singapore</t>
        </is>
      </c>
    </row>
    <row r="212">
      <c r="A212" s="16" t="inlineStr">
        <is>
          <t>SRT SP Equity</t>
        </is>
      </c>
      <c r="B212" s="16" t="inlineStr">
        <is>
          <t>Csop SG Etf Series I-Csop Iedg</t>
        </is>
      </c>
      <c r="C212" s="17" t="n">
        <v>124528267.9089596</v>
      </c>
      <c r="D212" s="16" t="e">
        <v>#N/A</v>
      </c>
      <c r="E212" s="16" t="inlineStr">
        <is>
          <t>Singapore</t>
        </is>
      </c>
    </row>
    <row r="213">
      <c r="A213" s="16" t="inlineStr">
        <is>
          <t>DELM SP Equity</t>
        </is>
      </c>
      <c r="B213" s="16" t="inlineStr">
        <is>
          <t>Del Monte Pacific Ltd</t>
        </is>
      </c>
      <c r="C213" s="17" t="n">
        <v>124413447.4453214</v>
      </c>
      <c r="D213" s="16" t="inlineStr">
        <is>
          <t>Consumer Staples</t>
        </is>
      </c>
      <c r="E213" s="16" t="inlineStr">
        <is>
          <t>Singapore</t>
        </is>
      </c>
    </row>
    <row r="214">
      <c r="A214" s="16" t="inlineStr">
        <is>
          <t>KV4 SP Equity</t>
        </is>
      </c>
      <c r="B214" s="16" t="inlineStr">
        <is>
          <t>Xtrackers II Singapore Governm</t>
        </is>
      </c>
      <c r="C214" s="17" t="n">
        <v>122425181.388855</v>
      </c>
      <c r="D214" s="16" t="e">
        <v>#N/A</v>
      </c>
      <c r="E214" s="16" t="inlineStr">
        <is>
          <t>Singapore</t>
        </is>
      </c>
    </row>
    <row r="215">
      <c r="A215" s="16" t="inlineStr">
        <is>
          <t>HGM SP Equity</t>
        </is>
      </c>
      <c r="B215" s="16" t="inlineStr">
        <is>
          <t>HG Metal Manufacturing Ltd</t>
        </is>
      </c>
      <c r="C215" s="17" t="n">
        <v>120885897.6649672</v>
      </c>
      <c r="D215" s="16" t="inlineStr">
        <is>
          <t>Industrials</t>
        </is>
      </c>
      <c r="E215" s="16" t="inlineStr">
        <is>
          <t>Singapore</t>
        </is>
      </c>
    </row>
    <row r="216">
      <c r="A216" s="16" t="inlineStr">
        <is>
          <t>PROCAP SP Equity</t>
        </is>
      </c>
      <c r="B216" s="16" t="inlineStr">
        <is>
          <t>ProsperCap Corp Ltd</t>
        </is>
      </c>
      <c r="C216" s="17" t="n">
        <v>120447594.825</v>
      </c>
      <c r="D216" s="16" t="inlineStr">
        <is>
          <t>Real Estate</t>
        </is>
      </c>
      <c r="E216" s="16" t="inlineStr">
        <is>
          <t>Singapore</t>
        </is>
      </c>
    </row>
    <row r="217">
      <c r="A217" s="16" t="inlineStr">
        <is>
          <t>BKM SP Equity</t>
        </is>
      </c>
      <c r="B217" s="16" t="inlineStr">
        <is>
          <t>Beng Kuang Marine Ltd</t>
        </is>
      </c>
      <c r="C217" s="17" t="n">
        <v>120150381.3903802</v>
      </c>
      <c r="D217" s="16" t="inlineStr">
        <is>
          <t>Industrials</t>
        </is>
      </c>
      <c r="E217" s="16" t="inlineStr">
        <is>
          <t>Singapore</t>
        </is>
      </c>
    </row>
    <row r="218">
      <c r="A218" s="16" t="inlineStr">
        <is>
          <t>LMRT SP Equity</t>
        </is>
      </c>
      <c r="B218" s="16" t="inlineStr">
        <is>
          <t>Landmark REIT</t>
        </is>
      </c>
      <c r="C218" s="17" t="n">
        <v>119170730.052406</v>
      </c>
      <c r="D218" s="16" t="inlineStr">
        <is>
          <t>Real Estate</t>
        </is>
      </c>
      <c r="E218" s="16" t="inlineStr">
        <is>
          <t>Singapore</t>
        </is>
      </c>
    </row>
    <row r="219">
      <c r="A219" s="16" t="inlineStr">
        <is>
          <t>SSCL SP Equity</t>
        </is>
      </c>
      <c r="B219" s="16" t="inlineStr">
        <is>
          <t>Singapore Shipping Corp Ltd</t>
        </is>
      </c>
      <c r="C219" s="17" t="n">
        <v>119104074.2327705</v>
      </c>
      <c r="D219" s="16" t="inlineStr">
        <is>
          <t>Industrials</t>
        </is>
      </c>
      <c r="E219" s="16" t="inlineStr">
        <is>
          <t>Singapore</t>
        </is>
      </c>
    </row>
    <row r="220">
      <c r="A220" s="16" t="inlineStr">
        <is>
          <t>MUST SP Equity</t>
        </is>
      </c>
      <c r="B220" s="16" t="inlineStr">
        <is>
          <t>Manulife US Real Estate Invest</t>
        </is>
      </c>
      <c r="C220" s="17" t="n">
        <v>115131561.5461433</v>
      </c>
      <c r="D220" s="16" t="inlineStr">
        <is>
          <t>Real Estate</t>
        </is>
      </c>
      <c r="E220" s="16" t="inlineStr">
        <is>
          <t>Singapore</t>
        </is>
      </c>
    </row>
    <row r="221">
      <c r="A221" s="16" t="inlineStr">
        <is>
          <t>RGDL SP Equity</t>
        </is>
      </c>
      <c r="B221" s="16" t="inlineStr">
        <is>
          <t>Resources Global Development L</t>
        </is>
      </c>
      <c r="C221" s="17" t="n">
        <v>115000000</v>
      </c>
      <c r="D221" s="16" t="inlineStr">
        <is>
          <t>Industrials</t>
        </is>
      </c>
      <c r="E221" s="16" t="inlineStr">
        <is>
          <t>Singapore</t>
        </is>
      </c>
    </row>
    <row r="222">
      <c r="A222" s="16" t="inlineStr">
        <is>
          <t>AEJCS SP Equity</t>
        </is>
      </c>
      <c r="B222" s="16" t="inlineStr">
        <is>
          <t>Amova MSCI AC Asia Ex-Japan Ex</t>
        </is>
      </c>
      <c r="C222" s="17" t="n">
        <v>114952276.4835119</v>
      </c>
      <c r="D222" s="16" t="e">
        <v>#N/A</v>
      </c>
      <c r="E222" s="16" t="inlineStr">
        <is>
          <t>Singapore</t>
        </is>
      </c>
    </row>
    <row r="223">
      <c r="A223" s="16" t="inlineStr">
        <is>
          <t>INNOT SP Equity</t>
        </is>
      </c>
      <c r="B223" s="16" t="inlineStr">
        <is>
          <t>InnoTek Ltd</t>
        </is>
      </c>
      <c r="C223" s="17" t="n">
        <v>114756598.1554985</v>
      </c>
      <c r="D223" s="16" t="inlineStr">
        <is>
          <t>Industrials</t>
        </is>
      </c>
      <c r="E223" s="16" t="inlineStr">
        <is>
          <t>Singapore</t>
        </is>
      </c>
    </row>
    <row r="224">
      <c r="A224" s="16" t="inlineStr">
        <is>
          <t>TAKA SP Equity</t>
        </is>
      </c>
      <c r="B224" s="16" t="inlineStr">
        <is>
          <t>Taka Jewellery Holdings Ltd</t>
        </is>
      </c>
      <c r="C224" s="17" t="n">
        <v>114678228.9997041</v>
      </c>
      <c r="D224" s="16" t="inlineStr">
        <is>
          <t>Consumer Discretionary</t>
        </is>
      </c>
      <c r="E224" s="16" t="inlineStr">
        <is>
          <t>Singapore</t>
        </is>
      </c>
    </row>
    <row r="225">
      <c r="A225" s="16" t="inlineStr">
        <is>
          <t>LEY SP Equity</t>
        </is>
      </c>
      <c r="B225" s="16" t="inlineStr">
        <is>
          <t>Ley Choon Group Holdings Ltd</t>
        </is>
      </c>
      <c r="C225" s="17" t="n">
        <v>114438331.7922196</v>
      </c>
      <c r="D225" s="16" t="inlineStr">
        <is>
          <t>Industrials</t>
        </is>
      </c>
      <c r="E225" s="16" t="inlineStr">
        <is>
          <t>Singapore</t>
        </is>
      </c>
    </row>
    <row r="226">
      <c r="A226" s="16" t="inlineStr">
        <is>
          <t>HYP SP Equity</t>
        </is>
      </c>
      <c r="B226" s="16" t="inlineStr">
        <is>
          <t>Hyphens Pharma International L</t>
        </is>
      </c>
      <c r="C226" s="17" t="n">
        <v>114296236.0129917</v>
      </c>
      <c r="D226" s="16" t="inlineStr">
        <is>
          <t>Health Care</t>
        </is>
      </c>
      <c r="E226" s="16" t="inlineStr">
        <is>
          <t>Singapore</t>
        </is>
      </c>
    </row>
    <row r="227">
      <c r="A227" s="16" t="inlineStr">
        <is>
          <t>YHI SP Equity</t>
        </is>
      </c>
      <c r="B227" s="16" t="inlineStr">
        <is>
          <t>YHI International Ltd</t>
        </is>
      </c>
      <c r="C227" s="17" t="n">
        <v>112362177.235</v>
      </c>
      <c r="D227" s="16" t="inlineStr">
        <is>
          <t>Consumer Discretionary</t>
        </is>
      </c>
      <c r="E227" s="16" t="inlineStr">
        <is>
          <t>Singapore</t>
        </is>
      </c>
    </row>
    <row r="228">
      <c r="A228" s="16" t="inlineStr">
        <is>
          <t>EIH SP Equity</t>
        </is>
      </c>
      <c r="B228" s="16" t="inlineStr">
        <is>
          <t>Envictus International Holding</t>
        </is>
      </c>
      <c r="C228" s="17" t="n">
        <v>108070287.0488917</v>
      </c>
      <c r="D228" s="16" t="inlineStr">
        <is>
          <t>Consumer Discretionary</t>
        </is>
      </c>
      <c r="E228" s="16" t="inlineStr">
        <is>
          <t>Singapore</t>
        </is>
      </c>
    </row>
    <row r="229">
      <c r="A229" s="16" t="inlineStr">
        <is>
          <t>KMEN SP Equity</t>
        </is>
      </c>
      <c r="B229" s="16" t="inlineStr">
        <is>
          <t>Kingsmen Creatives Ltd</t>
        </is>
      </c>
      <c r="C229" s="17" t="n">
        <v>107310834.465</v>
      </c>
      <c r="D229" s="16" t="inlineStr">
        <is>
          <t>Industrials</t>
        </is>
      </c>
      <c r="E229" s="16" t="inlineStr">
        <is>
          <t>Singapore</t>
        </is>
      </c>
    </row>
    <row r="230">
      <c r="A230" s="16" t="inlineStr">
        <is>
          <t>HTON SP Equity</t>
        </is>
      </c>
      <c r="B230" s="16" t="inlineStr">
        <is>
          <t>Heeton Holdings Ltd</t>
        </is>
      </c>
      <c r="C230" s="17" t="n">
        <v>107191641.7</v>
      </c>
      <c r="D230" s="16" t="inlineStr">
        <is>
          <t>Consumer Discretionary</t>
        </is>
      </c>
      <c r="E230" s="16" t="inlineStr">
        <is>
          <t>Singapore</t>
        </is>
      </c>
    </row>
    <row r="231">
      <c r="A231" s="16" t="inlineStr">
        <is>
          <t>TLC SP Equity</t>
        </is>
      </c>
      <c r="B231" s="16" t="inlineStr">
        <is>
          <t>TeleChoice International Ltd</t>
        </is>
      </c>
      <c r="C231" s="17" t="n">
        <v>106788629.2291448</v>
      </c>
      <c r="D231" s="16" t="inlineStr">
        <is>
          <t>Information Technology</t>
        </is>
      </c>
      <c r="E231" s="16" t="inlineStr">
        <is>
          <t>Singapore</t>
        </is>
      </c>
    </row>
    <row r="232">
      <c r="A232" s="16" t="inlineStr">
        <is>
          <t>PDS SP Equity</t>
        </is>
      </c>
      <c r="B232" s="16" t="inlineStr">
        <is>
          <t>Powermatic Data Systems Ltd</t>
        </is>
      </c>
      <c r="C232" s="17" t="n">
        <v>103954183.0997086</v>
      </c>
      <c r="D232" s="16" t="inlineStr">
        <is>
          <t>Information Technology</t>
        </is>
      </c>
      <c r="E232" s="16" t="inlineStr">
        <is>
          <t>Singapore</t>
        </is>
      </c>
    </row>
    <row r="233">
      <c r="A233" s="16" t="inlineStr">
        <is>
          <t>HUAGL SP Equity</t>
        </is>
      </c>
      <c r="B233" s="16" t="inlineStr">
        <is>
          <t>Huationg Global Ltd</t>
        </is>
      </c>
      <c r="C233" s="17" t="n">
        <v>103520285</v>
      </c>
      <c r="D233" s="16" t="inlineStr">
        <is>
          <t>Industrials</t>
        </is>
      </c>
      <c r="E233" s="16" t="inlineStr">
        <is>
          <t>Singapore</t>
        </is>
      </c>
    </row>
    <row r="234">
      <c r="A234" s="16" t="inlineStr">
        <is>
          <t>KOH SP Equity</t>
        </is>
      </c>
      <c r="B234" s="16" t="inlineStr">
        <is>
          <t>Koh Brothers Group Ltd</t>
        </is>
      </c>
      <c r="C234" s="17" t="n">
        <v>101052481.4667583</v>
      </c>
      <c r="D234" s="16" t="inlineStr">
        <is>
          <t>Industrials</t>
        </is>
      </c>
      <c r="E234" s="16" t="inlineStr">
        <is>
          <t>Singapore</t>
        </is>
      </c>
    </row>
    <row r="235">
      <c r="A235" s="16" t="inlineStr">
        <is>
          <t>METAO SP Equity</t>
        </is>
      </c>
      <c r="B235" s="16" t="inlineStr">
        <is>
          <t>Metaoptics Ltd</t>
        </is>
      </c>
      <c r="C235" s="17" t="n">
        <v>100699025.8751851</v>
      </c>
      <c r="D235" s="16" t="inlineStr">
        <is>
          <t>Information Technology</t>
        </is>
      </c>
      <c r="E235" s="16" t="inlineStr">
        <is>
          <t>Singapore</t>
        </is>
      </c>
    </row>
    <row r="236">
      <c r="A236" s="16" t="inlineStr">
        <is>
          <t>MRL SP Equity</t>
        </is>
      </c>
      <c r="B236" s="16" t="inlineStr">
        <is>
          <t>Metis Energy Ltd</t>
        </is>
      </c>
      <c r="C236" s="17" t="n">
        <v>97066410.56</v>
      </c>
      <c r="D236" s="16" t="inlineStr">
        <is>
          <t>Utilities</t>
        </is>
      </c>
      <c r="E236" s="16" t="inlineStr">
        <is>
          <t>Singapore</t>
        </is>
      </c>
    </row>
    <row r="237">
      <c r="A237" s="16" t="inlineStr">
        <is>
          <t>CCHL SP Equity</t>
        </is>
      </c>
      <c r="B237" s="16" t="inlineStr">
        <is>
          <t>Choo Chiang Holdings Ltd</t>
        </is>
      </c>
      <c r="C237" s="17" t="n">
        <v>93545007.52190351</v>
      </c>
      <c r="D237" s="16" t="inlineStr">
        <is>
          <t>Consumer Discretionary</t>
        </is>
      </c>
      <c r="E237" s="16" t="inlineStr">
        <is>
          <t>Singapore</t>
        </is>
      </c>
    </row>
    <row r="238">
      <c r="A238" s="16" t="inlineStr">
        <is>
          <t>WAE SP Equity</t>
        </is>
      </c>
      <c r="B238" s="16" t="inlineStr">
        <is>
          <t>Willas-Array Electronics Holdi</t>
        </is>
      </c>
      <c r="C238" s="17" t="n">
        <v>93205089.345</v>
      </c>
      <c r="D238" s="16" t="inlineStr">
        <is>
          <t>Information Technology</t>
        </is>
      </c>
      <c r="E238" s="16" t="inlineStr">
        <is>
          <t>Singapore</t>
        </is>
      </c>
    </row>
    <row r="239">
      <c r="A239" s="16" t="inlineStr">
        <is>
          <t>SSTAR SP Equity</t>
        </is>
      </c>
      <c r="B239" s="16" t="inlineStr">
        <is>
          <t>Sinostar PEC Holdings Ltd</t>
        </is>
      </c>
      <c r="C239" s="17" t="n">
        <v>93120002.74658203</v>
      </c>
      <c r="D239" s="16" t="inlineStr">
        <is>
          <t>Energy</t>
        </is>
      </c>
      <c r="E239" s="16" t="inlineStr">
        <is>
          <t>Singapore</t>
        </is>
      </c>
    </row>
    <row r="240">
      <c r="A240" s="16" t="inlineStr">
        <is>
          <t>WKS SP Equity</t>
        </is>
      </c>
      <c r="B240" s="16" t="inlineStr">
        <is>
          <t>Winking Studios Ltd</t>
        </is>
      </c>
      <c r="C240" s="17" t="n">
        <v>92366295.89618739</v>
      </c>
      <c r="D240" s="16" t="inlineStr">
        <is>
          <t>Communication Services</t>
        </is>
      </c>
      <c r="E240" s="16" t="inlineStr">
        <is>
          <t>Singapore</t>
        </is>
      </c>
    </row>
    <row r="241">
      <c r="A241" s="16" t="inlineStr">
        <is>
          <t>REXI SP Equity</t>
        </is>
      </c>
      <c r="B241" s="16" t="inlineStr">
        <is>
          <t>Rex International Holding Ltd</t>
        </is>
      </c>
      <c r="C241" s="17" t="n">
        <v>92305987.6444066</v>
      </c>
      <c r="D241" s="16" t="inlineStr">
        <is>
          <t>Energy</t>
        </is>
      </c>
      <c r="E241" s="16" t="inlineStr">
        <is>
          <t>Singapore</t>
        </is>
      </c>
    </row>
    <row r="242">
      <c r="A242" s="16" t="inlineStr">
        <is>
          <t>IWOW SP Equity</t>
        </is>
      </c>
      <c r="B242" s="16" t="inlineStr">
        <is>
          <t>iWOW Technology Pte Ltd</t>
        </is>
      </c>
      <c r="C242" s="17" t="n">
        <v>90068278.65297556</v>
      </c>
      <c r="D242" s="16" t="inlineStr">
        <is>
          <t>Information Technology</t>
        </is>
      </c>
      <c r="E242" s="16" t="inlineStr">
        <is>
          <t>Singapore</t>
        </is>
      </c>
    </row>
    <row r="243">
      <c r="A243" s="16" t="inlineStr">
        <is>
          <t>YYY SP Equity</t>
        </is>
      </c>
      <c r="B243" s="16" t="inlineStr">
        <is>
          <t>Lion-OCBC Securities China Lea</t>
        </is>
      </c>
      <c r="C243" s="17" t="n">
        <v>89770019.85954757</v>
      </c>
      <c r="D243" s="16" t="e">
        <v>#N/A</v>
      </c>
      <c r="E243" s="16" t="inlineStr">
        <is>
          <t>Singapore</t>
        </is>
      </c>
    </row>
    <row r="244">
      <c r="A244" s="16" t="inlineStr">
        <is>
          <t>ASTI SP Equity</t>
        </is>
      </c>
      <c r="B244" s="16" t="inlineStr">
        <is>
          <t>ASTI Holdings Ltd</t>
        </is>
      </c>
      <c r="C244" s="17" t="n">
        <v>88448656.37840374</v>
      </c>
      <c r="D244" s="16" t="inlineStr">
        <is>
          <t>Information Technology</t>
        </is>
      </c>
      <c r="E244" s="16" t="inlineStr">
        <is>
          <t>Singapore</t>
        </is>
      </c>
    </row>
    <row r="245">
      <c r="A245" s="16" t="inlineStr">
        <is>
          <t>TOKU SP Equity</t>
        </is>
      </c>
      <c r="B245" s="16" t="inlineStr">
        <is>
          <t>Toku Ltd</t>
        </is>
      </c>
      <c r="C245" s="17" t="n">
        <v>87817152.79415362</v>
      </c>
      <c r="D245" s="16" t="inlineStr">
        <is>
          <t>Information Technology</t>
        </is>
      </c>
      <c r="E245" s="16" t="inlineStr">
        <is>
          <t>Singapore</t>
        </is>
      </c>
    </row>
    <row r="246">
      <c r="A246" s="16" t="inlineStr">
        <is>
          <t>TOYO SP Equity</t>
        </is>
      </c>
      <c r="B246" s="16" t="inlineStr">
        <is>
          <t>New Toyo International Holding</t>
        </is>
      </c>
      <c r="C246" s="17" t="n">
        <v>87719761.90712628</v>
      </c>
      <c r="D246" s="16" t="inlineStr">
        <is>
          <t>Materials</t>
        </is>
      </c>
      <c r="E246" s="16" t="inlineStr">
        <is>
          <t>Singapore</t>
        </is>
      </c>
    </row>
    <row r="247">
      <c r="A247" s="16" t="inlineStr">
        <is>
          <t>BTL SP Equity</t>
        </is>
      </c>
      <c r="B247" s="16" t="inlineStr">
        <is>
          <t>Baker Technology Ltd</t>
        </is>
      </c>
      <c r="C247" s="17" t="n">
        <v>87098230.90877928</v>
      </c>
      <c r="D247" s="16" t="inlineStr">
        <is>
          <t>Energy</t>
        </is>
      </c>
      <c r="E247" s="16" t="inlineStr">
        <is>
          <t>Singapore</t>
        </is>
      </c>
    </row>
    <row r="248">
      <c r="A248" s="16" t="inlineStr">
        <is>
          <t>ANAN SP Equity</t>
        </is>
      </c>
      <c r="B248" s="16" t="inlineStr">
        <is>
          <t>Anan International Ltd</t>
        </is>
      </c>
      <c r="C248" s="17" t="n">
        <v>84663715.10761847</v>
      </c>
      <c r="D248" s="16" t="inlineStr">
        <is>
          <t>Energy</t>
        </is>
      </c>
      <c r="E248" s="16" t="inlineStr">
        <is>
          <t>Singapore</t>
        </is>
      </c>
    </row>
    <row r="249">
      <c r="A249" s="16" t="inlineStr">
        <is>
          <t>VIBG SP Equity</t>
        </is>
      </c>
      <c r="B249" s="16" t="inlineStr">
        <is>
          <t>Vibrant Group Ltd</t>
        </is>
      </c>
      <c r="C249" s="17" t="n">
        <v>84361102.125</v>
      </c>
      <c r="D249" s="16" t="inlineStr">
        <is>
          <t>Industrials</t>
        </is>
      </c>
      <c r="E249" s="16" t="inlineStr">
        <is>
          <t>Singapore</t>
        </is>
      </c>
    </row>
    <row r="250">
      <c r="A250" s="16" t="inlineStr">
        <is>
          <t>UPD SP Equity</t>
        </is>
      </c>
      <c r="B250" s="16" t="inlineStr">
        <is>
          <t>UOBAM Ping An FTSE ASEAN Divid</t>
        </is>
      </c>
      <c r="C250" s="17" t="n">
        <v>83572825.54738049</v>
      </c>
      <c r="D250" s="16" t="e">
        <v>#N/A</v>
      </c>
      <c r="E250" s="16" t="inlineStr">
        <is>
          <t>Singapore</t>
        </is>
      </c>
    </row>
    <row r="251">
      <c r="A251" s="16" t="inlineStr">
        <is>
          <t>JAISGD SP Equity</t>
        </is>
      </c>
      <c r="B251" s="16" t="inlineStr">
        <is>
          <t>Lion-Nomura Japan Active ETF P</t>
        </is>
      </c>
      <c r="C251" s="17" t="n">
        <v>83230480.39559399</v>
      </c>
      <c r="D251" s="16" t="e">
        <v>#N/A</v>
      </c>
      <c r="E251" s="16" t="inlineStr">
        <is>
          <t>Singapore</t>
        </is>
      </c>
    </row>
    <row r="252">
      <c r="A252" s="16" t="inlineStr">
        <is>
          <t>DFIL SP Equity</t>
        </is>
      </c>
      <c r="B252" s="16" t="inlineStr">
        <is>
          <t>Duty Free International Ltd</t>
        </is>
      </c>
      <c r="C252" s="17" t="n">
        <v>82675820.21699999</v>
      </c>
      <c r="D252" s="16" t="inlineStr">
        <is>
          <t>Consumer Discretionary</t>
        </is>
      </c>
      <c r="E252" s="16" t="inlineStr">
        <is>
          <t>Singapore</t>
        </is>
      </c>
    </row>
    <row r="253">
      <c r="A253" s="16" t="inlineStr">
        <is>
          <t>TTGL SP Equity</t>
        </is>
      </c>
      <c r="B253" s="16" t="inlineStr">
        <is>
          <t>Trendlines Group Ltd/The</t>
        </is>
      </c>
      <c r="C253" s="17" t="n">
        <v>81252973.638</v>
      </c>
      <c r="D253" s="16" t="inlineStr">
        <is>
          <t>Financials</t>
        </is>
      </c>
      <c r="E253" s="16" t="inlineStr">
        <is>
          <t>Singapore</t>
        </is>
      </c>
    </row>
    <row r="254">
      <c r="A254" s="16" t="inlineStr">
        <is>
          <t>SINGINC SP Equity</t>
        </is>
      </c>
      <c r="B254" s="16" t="inlineStr">
        <is>
          <t>Phillip SING Income ETF</t>
        </is>
      </c>
      <c r="C254" s="17" t="n">
        <v>81242601.0467052</v>
      </c>
      <c r="D254" s="16" t="e">
        <v>#N/A</v>
      </c>
      <c r="E254" s="16" t="inlineStr">
        <is>
          <t>Singapore</t>
        </is>
      </c>
    </row>
    <row r="255">
      <c r="A255" s="16" t="inlineStr">
        <is>
          <t>MYP SP Equity</t>
        </is>
      </c>
      <c r="B255" s="16" t="inlineStr">
        <is>
          <t>MYP Ltd</t>
        </is>
      </c>
      <c r="C255" s="17" t="n">
        <v>81215929.81199999</v>
      </c>
      <c r="D255" s="16" t="inlineStr">
        <is>
          <t>Real Estate</t>
        </is>
      </c>
      <c r="E255" s="16" t="inlineStr">
        <is>
          <t>Singapore</t>
        </is>
      </c>
    </row>
    <row r="256">
      <c r="A256" s="16" t="inlineStr">
        <is>
          <t>ASSPH SP Equity</t>
        </is>
      </c>
      <c r="B256" s="16" t="inlineStr">
        <is>
          <t>Assembly Place Holdings Ltd/Th</t>
        </is>
      </c>
      <c r="C256" s="17" t="n">
        <v>80772251.7</v>
      </c>
      <c r="D256" s="16" t="inlineStr">
        <is>
          <t>Real Estate</t>
        </is>
      </c>
      <c r="E256" s="16" t="inlineStr">
        <is>
          <t>Singapore</t>
        </is>
      </c>
    </row>
    <row r="257">
      <c r="A257" s="16" t="inlineStr">
        <is>
          <t>MDR SP Equity</t>
        </is>
      </c>
      <c r="B257" s="16" t="inlineStr">
        <is>
          <t>mDR Ltd</t>
        </is>
      </c>
      <c r="C257" s="17" t="n">
        <v>80650186.32818684</v>
      </c>
      <c r="D257" s="16" t="inlineStr">
        <is>
          <t>Information Technology</t>
        </is>
      </c>
      <c r="E257" s="16" t="inlineStr">
        <is>
          <t>Singapore</t>
        </is>
      </c>
    </row>
    <row r="258">
      <c r="A258" s="16" t="inlineStr">
        <is>
          <t>ZBR SP Equity</t>
        </is>
      </c>
      <c r="B258" s="16" t="inlineStr">
        <is>
          <t>Zhongmin Baihui Retail Group L</t>
        </is>
      </c>
      <c r="C258" s="17" t="n">
        <v>80484348</v>
      </c>
      <c r="D258" s="16" t="inlineStr">
        <is>
          <t>Consumer Discretionary</t>
        </is>
      </c>
      <c r="E258" s="16" t="inlineStr">
        <is>
          <t>Singapore</t>
        </is>
      </c>
    </row>
    <row r="259">
      <c r="A259" s="16" t="inlineStr">
        <is>
          <t>ALK SP Equity</t>
        </is>
      </c>
      <c r="B259" s="16" t="inlineStr">
        <is>
          <t>All-Link Air &amp; Sea Ltd</t>
        </is>
      </c>
      <c r="C259" s="17" t="n">
        <v>80050082.67877102</v>
      </c>
      <c r="D259" s="16" t="inlineStr">
        <is>
          <t>Industrials</t>
        </is>
      </c>
      <c r="E259" s="16" t="inlineStr">
        <is>
          <t>Singapore</t>
        </is>
      </c>
    </row>
    <row r="260">
      <c r="A260" s="16" t="inlineStr">
        <is>
          <t>ABR SP Equity</t>
        </is>
      </c>
      <c r="B260" s="16" t="inlineStr">
        <is>
          <t>ABR Holdings Ltd</t>
        </is>
      </c>
      <c r="C260" s="17" t="n">
        <v>78388336.26000001</v>
      </c>
      <c r="D260" s="16" t="inlineStr">
        <is>
          <t>Consumer Discretionary</t>
        </is>
      </c>
      <c r="E260" s="16" t="inlineStr">
        <is>
          <t>Singapore</t>
        </is>
      </c>
    </row>
    <row r="261">
      <c r="A261" s="16" t="inlineStr">
        <is>
          <t>JASP SP Equity</t>
        </is>
      </c>
      <c r="B261" s="16" t="inlineStr">
        <is>
          <t>Salt Investments Ltd</t>
        </is>
      </c>
      <c r="C261" s="17" t="n">
        <v>78135000.6791763</v>
      </c>
      <c r="D261" s="16" t="inlineStr">
        <is>
          <t>Energy</t>
        </is>
      </c>
      <c r="E261" s="16" t="inlineStr">
        <is>
          <t>Singapore</t>
        </is>
      </c>
    </row>
    <row r="262">
      <c r="A262" s="16" t="inlineStr">
        <is>
          <t>SUTL SP Equity</t>
        </is>
      </c>
      <c r="B262" s="16" t="inlineStr">
        <is>
          <t>SUTL Enterprise Ltd</t>
        </is>
      </c>
      <c r="C262" s="17" t="n">
        <v>77694664.25</v>
      </c>
      <c r="D262" s="16" t="inlineStr">
        <is>
          <t>Consumer Discretionary</t>
        </is>
      </c>
      <c r="E262" s="16" t="inlineStr">
        <is>
          <t>Singapore</t>
        </is>
      </c>
    </row>
    <row r="263">
      <c r="A263" s="16" t="inlineStr">
        <is>
          <t>POLUX SP Equity</t>
        </is>
      </c>
      <c r="B263" s="16" t="inlineStr">
        <is>
          <t>Pollux Properties Ltd</t>
        </is>
      </c>
      <c r="C263" s="17" t="n">
        <v>77265115.48491837</v>
      </c>
      <c r="D263" s="16" t="inlineStr">
        <is>
          <t>Real Estate</t>
        </is>
      </c>
      <c r="E263" s="16" t="inlineStr">
        <is>
          <t>Singapore</t>
        </is>
      </c>
    </row>
    <row r="264">
      <c r="A264" s="16" t="inlineStr">
        <is>
          <t>SLGL SP Equity</t>
        </is>
      </c>
      <c r="B264" s="16" t="inlineStr">
        <is>
          <t>SIM Leisure Group Ltd</t>
        </is>
      </c>
      <c r="C264" s="17" t="n">
        <v>76894818.00000001</v>
      </c>
      <c r="D264" s="16" t="inlineStr">
        <is>
          <t>Consumer Discretionary</t>
        </is>
      </c>
      <c r="E264" s="16" t="inlineStr">
        <is>
          <t>Singapore</t>
        </is>
      </c>
    </row>
    <row r="265">
      <c r="A265" s="16" t="inlineStr">
        <is>
          <t>PACRA SP Equity</t>
        </is>
      </c>
      <c r="B265" s="16" t="inlineStr">
        <is>
          <t>Pacific Radiance Ltd</t>
        </is>
      </c>
      <c r="C265" s="17" t="n">
        <v>75892036.90183309</v>
      </c>
      <c r="D265" s="16" t="inlineStr">
        <is>
          <t>Energy</t>
        </is>
      </c>
      <c r="E265" s="16" t="inlineStr">
        <is>
          <t>Singapore</t>
        </is>
      </c>
    </row>
    <row r="266">
      <c r="A266" s="16" t="inlineStr">
        <is>
          <t>UAG SP Equity</t>
        </is>
      </c>
      <c r="B266" s="16" t="inlineStr">
        <is>
          <t>Uni-Asia Group Ltd</t>
        </is>
      </c>
      <c r="C266" s="17" t="n">
        <v>73097988.47219092</v>
      </c>
      <c r="D266" s="16" t="inlineStr">
        <is>
          <t>Financials</t>
        </is>
      </c>
      <c r="E266" s="16" t="inlineStr">
        <is>
          <t>Singapore</t>
        </is>
      </c>
    </row>
    <row r="267">
      <c r="A267" s="16" t="inlineStr">
        <is>
          <t>GHY SP Equity</t>
        </is>
      </c>
      <c r="B267" s="16" t="inlineStr">
        <is>
          <t>GHY Culture &amp; Media Holding Co</t>
        </is>
      </c>
      <c r="C267" s="17" t="n">
        <v>71554827.50000001</v>
      </c>
      <c r="D267" s="16" t="inlineStr">
        <is>
          <t>Communication Services</t>
        </is>
      </c>
      <c r="E267" s="16" t="inlineStr">
        <is>
          <t>Singapore</t>
        </is>
      </c>
    </row>
    <row r="268">
      <c r="A268" s="16" t="inlineStr">
        <is>
          <t>BBR SP Equity</t>
        </is>
      </c>
      <c r="B268" s="16" t="inlineStr">
        <is>
          <t>BBR Holdings S Ltd</t>
        </is>
      </c>
      <c r="C268" s="17" t="n">
        <v>70924967.57568567</v>
      </c>
      <c r="D268" s="16" t="inlineStr">
        <is>
          <t>Industrials</t>
        </is>
      </c>
      <c r="E268" s="16" t="inlineStr">
        <is>
          <t>Singapore</t>
        </is>
      </c>
    </row>
    <row r="269">
      <c r="A269" s="16" t="inlineStr">
        <is>
          <t>PRA SP Equity</t>
        </is>
      </c>
      <c r="B269" s="16" t="inlineStr">
        <is>
          <t>Parkson Retail Asia Ltd</t>
        </is>
      </c>
      <c r="C269" s="17" t="n">
        <v>70075201.44581795</v>
      </c>
      <c r="D269" s="16" t="inlineStr">
        <is>
          <t>Consumer Discretionary</t>
        </is>
      </c>
      <c r="E269" s="16" t="inlineStr">
        <is>
          <t>Singapore</t>
        </is>
      </c>
    </row>
    <row r="270">
      <c r="A270" s="16" t="inlineStr">
        <is>
          <t>TREK SP Equity</t>
        </is>
      </c>
      <c r="B270" s="16" t="inlineStr">
        <is>
          <t>Trek 2000 International Ltd</t>
        </is>
      </c>
      <c r="C270" s="17" t="n">
        <v>69479868.784412</v>
      </c>
      <c r="D270" s="16" t="inlineStr">
        <is>
          <t>Information Technology</t>
        </is>
      </c>
      <c r="E270" s="16" t="inlineStr">
        <is>
          <t>Singapore</t>
        </is>
      </c>
    </row>
    <row r="271">
      <c r="A271" s="16" t="inlineStr">
        <is>
          <t>SHS SP Equity</t>
        </is>
      </c>
      <c r="B271" s="16" t="inlineStr">
        <is>
          <t>SHS Holdings Ltd</t>
        </is>
      </c>
      <c r="C271" s="17" t="n">
        <v>68247888.75009738</v>
      </c>
      <c r="D271" s="16" t="inlineStr">
        <is>
          <t>Industrials</t>
        </is>
      </c>
      <c r="E271" s="16" t="inlineStr">
        <is>
          <t>Singapore</t>
        </is>
      </c>
    </row>
    <row r="272">
      <c r="A272" s="16" t="inlineStr">
        <is>
          <t>HKC SP Equity</t>
        </is>
      </c>
      <c r="B272" s="16" t="inlineStr">
        <is>
          <t>Hor Kew Corp Ltd</t>
        </is>
      </c>
      <c r="C272" s="17" t="n">
        <v>68210408.34</v>
      </c>
      <c r="D272" s="16" t="inlineStr">
        <is>
          <t>Industrials</t>
        </is>
      </c>
      <c r="E272" s="16" t="inlineStr">
        <is>
          <t>Singapore</t>
        </is>
      </c>
    </row>
    <row r="273">
      <c r="A273" s="16" t="inlineStr">
        <is>
          <t>FSLT SP Equity</t>
        </is>
      </c>
      <c r="B273" s="16" t="inlineStr">
        <is>
          <t>First Ship Lease Trust</t>
        </is>
      </c>
      <c r="C273" s="17" t="n">
        <v>67186188.00761883</v>
      </c>
      <c r="D273" s="16" t="inlineStr">
        <is>
          <t>Industrials</t>
        </is>
      </c>
      <c r="E273" s="16" t="inlineStr">
        <is>
          <t>Singapore</t>
        </is>
      </c>
    </row>
    <row r="274">
      <c r="A274" s="16" t="inlineStr">
        <is>
          <t>VALZ SP Equity</t>
        </is>
      </c>
      <c r="B274" s="16" t="inlineStr">
        <is>
          <t>Vallianz Holdings Ltd</t>
        </is>
      </c>
      <c r="C274" s="17" t="n">
        <v>66639123.81500001</v>
      </c>
      <c r="D274" s="16" t="inlineStr">
        <is>
          <t>Energy</t>
        </is>
      </c>
      <c r="E274" s="16" t="inlineStr">
        <is>
          <t>Singapore</t>
        </is>
      </c>
    </row>
    <row r="275">
      <c r="A275" s="16" t="inlineStr">
        <is>
          <t>OEL SP Equity</t>
        </is>
      </c>
      <c r="B275" s="16" t="inlineStr">
        <is>
          <t>Overseas Education Ltd</t>
        </is>
      </c>
      <c r="C275" s="17" t="n">
        <v>65627440.584</v>
      </c>
      <c r="D275" s="16" t="inlineStr">
        <is>
          <t>Consumer Discretionary</t>
        </is>
      </c>
      <c r="E275" s="16" t="inlineStr">
        <is>
          <t>Singapore</t>
        </is>
      </c>
    </row>
    <row r="276">
      <c r="A276" s="16" t="inlineStr">
        <is>
          <t>MGCM SP Equity</t>
        </is>
      </c>
      <c r="B276" s="16" t="inlineStr">
        <is>
          <t>Megachem Ltd</t>
        </is>
      </c>
      <c r="C276" s="17" t="n">
        <v>65317000.00000001</v>
      </c>
      <c r="D276" s="16" t="inlineStr">
        <is>
          <t>Industrials</t>
        </is>
      </c>
      <c r="E276" s="16" t="inlineStr">
        <is>
          <t>Singapore</t>
        </is>
      </c>
    </row>
    <row r="277">
      <c r="A277" s="16" t="inlineStr">
        <is>
          <t>MED SP Equity</t>
        </is>
      </c>
      <c r="B277" s="16" t="inlineStr">
        <is>
          <t>Medtecs International Corp Ltd</t>
        </is>
      </c>
      <c r="C277" s="17" t="n">
        <v>64844439.05404508</v>
      </c>
      <c r="D277" s="16" t="inlineStr">
        <is>
          <t>Health Care</t>
        </is>
      </c>
      <c r="E277" s="16" t="inlineStr">
        <is>
          <t>Singapore</t>
        </is>
      </c>
    </row>
    <row r="278">
      <c r="A278" s="16" t="inlineStr">
        <is>
          <t>NERT SP Equity</t>
        </is>
      </c>
      <c r="B278" s="16" t="inlineStr">
        <is>
          <t>Nera Telecommunications Ltd</t>
        </is>
      </c>
      <c r="C278" s="17" t="n">
        <v>64417667.12167859</v>
      </c>
      <c r="D278" s="16" t="inlineStr">
        <is>
          <t>Information Technology</t>
        </is>
      </c>
      <c r="E278" s="16" t="inlineStr">
        <is>
          <t>Singapore</t>
        </is>
      </c>
    </row>
    <row r="279">
      <c r="A279" s="16" t="inlineStr">
        <is>
          <t>RGL SP Equity</t>
        </is>
      </c>
      <c r="B279" s="16" t="inlineStr">
        <is>
          <t>Reclaims Global Ltd</t>
        </is>
      </c>
      <c r="C279" s="17" t="n">
        <v>63965618.56399477</v>
      </c>
      <c r="D279" s="16" t="inlineStr">
        <is>
          <t>Industrials</t>
        </is>
      </c>
      <c r="E279" s="16" t="inlineStr">
        <is>
          <t>Singapore</t>
        </is>
      </c>
    </row>
    <row r="280">
      <c r="A280" s="16" t="inlineStr">
        <is>
          <t>EFH SP Equity</t>
        </is>
      </c>
      <c r="B280" s="16" t="inlineStr">
        <is>
          <t>Embracing Future Holdings Ltd</t>
        </is>
      </c>
      <c r="C280" s="17" t="n">
        <v>62403902.65364923</v>
      </c>
      <c r="D280" s="16" t="inlineStr">
        <is>
          <t>Health Care</t>
        </is>
      </c>
      <c r="E280" s="16" t="inlineStr">
        <is>
          <t>Singapore</t>
        </is>
      </c>
    </row>
    <row r="281">
      <c r="A281" s="16" t="inlineStr">
        <is>
          <t>IFS SP Equity</t>
        </is>
      </c>
      <c r="B281" s="16" t="inlineStr">
        <is>
          <t>IFS Capital Ltd</t>
        </is>
      </c>
      <c r="C281" s="17" t="n">
        <v>60155145.05542769</v>
      </c>
      <c r="D281" s="16" t="inlineStr">
        <is>
          <t>Financials</t>
        </is>
      </c>
      <c r="E281" s="16" t="inlineStr">
        <is>
          <t>Singapore</t>
        </is>
      </c>
    </row>
    <row r="282">
      <c r="A282" s="16" t="inlineStr">
        <is>
          <t>EMASGD SP Equity</t>
        </is>
      </c>
      <c r="B282" s="16" t="inlineStr">
        <is>
          <t>Lion-China Merchants Emerging</t>
        </is>
      </c>
      <c r="C282" s="17" t="n">
        <v>59910655.16</v>
      </c>
      <c r="D282" s="16" t="e">
        <v>#N/A</v>
      </c>
      <c r="E282" s="16" t="inlineStr">
        <is>
          <t>Singapore</t>
        </is>
      </c>
    </row>
    <row r="283">
      <c r="A283" s="16" t="inlineStr">
        <is>
          <t>SARINE SP Equity</t>
        </is>
      </c>
      <c r="B283" s="16" t="inlineStr">
        <is>
          <t>Sarine Technologies Ltd</t>
        </is>
      </c>
      <c r="C283" s="17" t="n">
        <v>59880717.07199999</v>
      </c>
      <c r="D283" s="16" t="inlineStr">
        <is>
          <t>Industrials</t>
        </is>
      </c>
      <c r="E283" s="16" t="inlineStr">
        <is>
          <t>Singapore</t>
        </is>
      </c>
    </row>
    <row r="284">
      <c r="A284" s="16" t="inlineStr">
        <is>
          <t>GWEH SP Equity</t>
        </is>
      </c>
      <c r="B284" s="16" t="inlineStr">
        <is>
          <t>Goodwill Entertainment Holding</t>
        </is>
      </c>
      <c r="C284" s="17" t="n">
        <v>59783414.4</v>
      </c>
      <c r="D284" s="16" t="inlineStr">
        <is>
          <t>Communication Services</t>
        </is>
      </c>
      <c r="E284" s="16" t="inlineStr">
        <is>
          <t>Singapore</t>
        </is>
      </c>
    </row>
    <row r="285">
      <c r="A285" s="16" t="inlineStr">
        <is>
          <t>ALST SP Equity</t>
        </is>
      </c>
      <c r="B285" s="16" t="inlineStr">
        <is>
          <t>Alset International Ltd</t>
        </is>
      </c>
      <c r="C285" s="17" t="n">
        <v>59376130.38082006</v>
      </c>
      <c r="D285" s="16" t="inlineStr">
        <is>
          <t>Real Estate</t>
        </is>
      </c>
      <c r="E285" s="16" t="inlineStr">
        <is>
          <t>Singapore</t>
        </is>
      </c>
    </row>
    <row r="286">
      <c r="A286" s="16" t="inlineStr">
        <is>
          <t>YKGI SP Equity</t>
        </is>
      </c>
      <c r="B286" s="16" t="inlineStr">
        <is>
          <t>YKGI Ltd</t>
        </is>
      </c>
      <c r="C286" s="17" t="n">
        <v>58527631.29766584</v>
      </c>
      <c r="D286" s="16" t="inlineStr">
        <is>
          <t>Consumer Discretionary</t>
        </is>
      </c>
      <c r="E286" s="16" t="inlineStr">
        <is>
          <t>Singapore</t>
        </is>
      </c>
    </row>
    <row r="287">
      <c r="A287" s="16" t="inlineStr">
        <is>
          <t>INDIA SP Equity</t>
        </is>
      </c>
      <c r="B287" s="16" t="inlineStr">
        <is>
          <t>iShares MSCI India Climate Tra</t>
        </is>
      </c>
      <c r="C287" s="17" t="n">
        <v>58454741.43770187</v>
      </c>
      <c r="D287" s="16" t="e">
        <v>#N/A</v>
      </c>
      <c r="E287" s="16" t="inlineStr">
        <is>
          <t>Singapore</t>
        </is>
      </c>
    </row>
    <row r="288">
      <c r="A288" s="16" t="inlineStr">
        <is>
          <t>LMS SP Equity</t>
        </is>
      </c>
      <c r="B288" s="16" t="inlineStr">
        <is>
          <t>LMS Compliance Ltd</t>
        </is>
      </c>
      <c r="C288" s="17" t="n">
        <v>58341480.96143442</v>
      </c>
      <c r="D288" s="16" t="inlineStr">
        <is>
          <t>Industrials</t>
        </is>
      </c>
      <c r="E288" s="16" t="inlineStr">
        <is>
          <t>Singapore</t>
        </is>
      </c>
    </row>
    <row r="289">
      <c r="A289" s="16" t="inlineStr">
        <is>
          <t>SHHM SP Equity</t>
        </is>
      </c>
      <c r="B289" s="16" t="inlineStr">
        <is>
          <t>Sin Heng Heavy Machinery Ltd</t>
        </is>
      </c>
      <c r="C289" s="17" t="n">
        <v>58181517.50000001</v>
      </c>
      <c r="D289" s="16" t="inlineStr">
        <is>
          <t>Industrials</t>
        </is>
      </c>
      <c r="E289" s="16" t="inlineStr">
        <is>
          <t>Singapore</t>
        </is>
      </c>
    </row>
    <row r="290">
      <c r="A290" s="16" t="inlineStr">
        <is>
          <t>HSIND SP Equity</t>
        </is>
      </c>
      <c r="B290" s="16" t="inlineStr">
        <is>
          <t>Hiap Seng Industries Ltd</t>
        </is>
      </c>
      <c r="C290" s="17" t="n">
        <v>58171066.52564292</v>
      </c>
      <c r="D290" s="16" t="e">
        <v>#N/A</v>
      </c>
      <c r="E290" s="16" t="inlineStr">
        <is>
          <t>Singapore</t>
        </is>
      </c>
    </row>
    <row r="291">
      <c r="A291" s="16" t="inlineStr">
        <is>
          <t>AJAC SP Equity</t>
        </is>
      </c>
      <c r="B291" s="16" t="inlineStr">
        <is>
          <t>iShares J.P. Morgan USD Asia C</t>
        </is>
      </c>
      <c r="C291" s="17" t="n">
        <v>57207571.97647374</v>
      </c>
      <c r="D291" s="16" t="e">
        <v>#N/A</v>
      </c>
      <c r="E291" s="16" t="inlineStr">
        <is>
          <t>Singapore</t>
        </is>
      </c>
    </row>
    <row r="292">
      <c r="A292" s="16" t="inlineStr">
        <is>
          <t>USH SP Equity</t>
        </is>
      </c>
      <c r="B292" s="16" t="inlineStr">
        <is>
          <t>Union Steel Holdings Ltd</t>
        </is>
      </c>
      <c r="C292" s="17" t="n">
        <v>56113805.325</v>
      </c>
      <c r="D292" s="16" t="inlineStr">
        <is>
          <t>Industrials</t>
        </is>
      </c>
      <c r="E292" s="16" t="inlineStr">
        <is>
          <t>Singapore</t>
        </is>
      </c>
    </row>
    <row r="293">
      <c r="A293" s="16" t="inlineStr">
        <is>
          <t>SERL SP Equity</t>
        </is>
      </c>
      <c r="B293" s="16" t="inlineStr">
        <is>
          <t>Serial System Ltd</t>
        </is>
      </c>
      <c r="C293" s="17" t="n">
        <v>56100198.668</v>
      </c>
      <c r="D293" s="16" t="inlineStr">
        <is>
          <t>Information Technology</t>
        </is>
      </c>
      <c r="E293" s="16" t="inlineStr">
        <is>
          <t>Singapore</t>
        </is>
      </c>
    </row>
    <row r="294">
      <c r="A294" s="16" t="inlineStr">
        <is>
          <t>ASON SP Equity</t>
        </is>
      </c>
      <c r="B294" s="16" t="inlineStr">
        <is>
          <t>A-Sonic Aerospace Ltd</t>
        </is>
      </c>
      <c r="C294" s="17" t="n">
        <v>56061611.99868088</v>
      </c>
      <c r="D294" s="16" t="inlineStr">
        <is>
          <t>Industrials</t>
        </is>
      </c>
      <c r="E294" s="16" t="inlineStr">
        <is>
          <t>Singapore</t>
        </is>
      </c>
    </row>
    <row r="295">
      <c r="A295" s="16" t="inlineStr">
        <is>
          <t>AAL SP Equity</t>
        </is>
      </c>
      <c r="B295" s="16" t="inlineStr">
        <is>
          <t>Audience Analytics Ltd</t>
        </is>
      </c>
      <c r="C295" s="17" t="n">
        <v>56060005.86696119</v>
      </c>
      <c r="D295" s="16" t="inlineStr">
        <is>
          <t>Communication Services</t>
        </is>
      </c>
      <c r="E295" s="16" t="inlineStr">
        <is>
          <t>Singapore</t>
        </is>
      </c>
    </row>
    <row r="296">
      <c r="A296" s="16" t="inlineStr">
        <is>
          <t>GKEC SP Equity</t>
        </is>
      </c>
      <c r="B296" s="16" t="inlineStr">
        <is>
          <t>GKE Corp Ltd</t>
        </is>
      </c>
      <c r="C296" s="17" t="n">
        <v>54969152</v>
      </c>
      <c r="D296" s="16" t="inlineStr">
        <is>
          <t>Industrials</t>
        </is>
      </c>
      <c r="E296" s="16" t="inlineStr">
        <is>
          <t>Singapore</t>
        </is>
      </c>
    </row>
    <row r="297">
      <c r="A297" s="16" t="inlineStr">
        <is>
          <t>OSS SP Equity</t>
        </is>
      </c>
      <c r="B297" s="16" t="inlineStr">
        <is>
          <t>Ossia International Ltd</t>
        </is>
      </c>
      <c r="C297" s="17" t="n">
        <v>54315338.845</v>
      </c>
      <c r="D297" s="16" t="inlineStr">
        <is>
          <t>Consumer Discretionary</t>
        </is>
      </c>
      <c r="E297" s="16" t="inlineStr">
        <is>
          <t>Singapore</t>
        </is>
      </c>
    </row>
    <row r="298">
      <c r="A298" s="16" t="inlineStr">
        <is>
          <t>FUYU SP Equity</t>
        </is>
      </c>
      <c r="B298" s="16" t="inlineStr">
        <is>
          <t>Fu Yu Corp Ltd</t>
        </is>
      </c>
      <c r="C298" s="17" t="n">
        <v>54101630.79631869</v>
      </c>
      <c r="D298" s="16" t="inlineStr">
        <is>
          <t>Industrials</t>
        </is>
      </c>
      <c r="E298" s="16" t="inlineStr">
        <is>
          <t>Singapore</t>
        </is>
      </c>
    </row>
    <row r="299">
      <c r="A299" s="16" t="inlineStr">
        <is>
          <t>KTH SP Equity</t>
        </is>
      </c>
      <c r="B299" s="16" t="inlineStr">
        <is>
          <t>Karin Technology Holdings Ltd</t>
        </is>
      </c>
      <c r="C299" s="17" t="n">
        <v>53954863.5</v>
      </c>
      <c r="D299" s="16" t="inlineStr">
        <is>
          <t>Information Technology</t>
        </is>
      </c>
      <c r="E299" s="16" t="inlineStr">
        <is>
          <t>Singapore</t>
        </is>
      </c>
    </row>
    <row r="300">
      <c r="A300" s="16" t="inlineStr">
        <is>
          <t>ATTIKA SP Equity</t>
        </is>
      </c>
      <c r="B300" s="16" t="inlineStr">
        <is>
          <t>Attika Group Ltd</t>
        </is>
      </c>
      <c r="C300" s="17" t="n">
        <v>53896340</v>
      </c>
      <c r="D300" s="16" t="inlineStr">
        <is>
          <t>Industrials</t>
        </is>
      </c>
      <c r="E300" s="16" t="inlineStr">
        <is>
          <t>Singapore</t>
        </is>
      </c>
    </row>
    <row r="301">
      <c r="A301" s="16" t="inlineStr">
        <is>
          <t>HSP SP Equity</t>
        </is>
      </c>
      <c r="B301" s="16" t="inlineStr">
        <is>
          <t>HC Surgical Specialists Ltd</t>
        </is>
      </c>
      <c r="C301" s="17" t="n">
        <v>53681426.53581074</v>
      </c>
      <c r="D301" s="16" t="inlineStr">
        <is>
          <t>Health Care</t>
        </is>
      </c>
      <c r="E301" s="16" t="inlineStr">
        <is>
          <t>Singapore</t>
        </is>
      </c>
    </row>
    <row r="302">
      <c r="A302" s="16" t="inlineStr">
        <is>
          <t>ACC SP Equity</t>
        </is>
      </c>
      <c r="B302" s="16" t="inlineStr">
        <is>
          <t>Accrelist Ltd</t>
        </is>
      </c>
      <c r="C302" s="17" t="n">
        <v>52651711.75032789</v>
      </c>
      <c r="D302" s="16" t="inlineStr">
        <is>
          <t>Information Technology</t>
        </is>
      </c>
      <c r="E302" s="16" t="inlineStr">
        <is>
          <t>Singapore</t>
        </is>
      </c>
    </row>
    <row r="303">
      <c r="A303" s="16" t="inlineStr">
        <is>
          <t>SCG SP Equity</t>
        </is>
      </c>
      <c r="B303" s="16" t="inlineStr">
        <is>
          <t>Skylink Holdings Ltd</t>
        </is>
      </c>
      <c r="C303" s="17" t="n">
        <v>52353394.15031768</v>
      </c>
      <c r="D303" s="16" t="inlineStr">
        <is>
          <t>Industrials</t>
        </is>
      </c>
      <c r="E303" s="16" t="inlineStr">
        <is>
          <t>Singapore</t>
        </is>
      </c>
    </row>
    <row r="304">
      <c r="A304" s="16" t="inlineStr">
        <is>
          <t>ZXGH SP Equity</t>
        </is>
      </c>
      <c r="B304" s="16" t="inlineStr">
        <is>
          <t>Zixin Group Holdings Ltd</t>
        </is>
      </c>
      <c r="C304" s="17" t="n">
        <v>52272132.02849831</v>
      </c>
      <c r="D304" s="16" t="inlineStr">
        <is>
          <t>Consumer Staples</t>
        </is>
      </c>
      <c r="E304" s="16" t="inlineStr">
        <is>
          <t>Singapore</t>
        </is>
      </c>
    </row>
    <row r="305">
      <c r="A305" s="16" t="inlineStr">
        <is>
          <t>TACL SP Equity</t>
        </is>
      </c>
      <c r="B305" s="16" t="inlineStr">
        <is>
          <t>TA Corp Ltd</t>
        </is>
      </c>
      <c r="C305" s="17" t="n">
        <v>52054778.75793577</v>
      </c>
      <c r="D305" s="16" t="inlineStr">
        <is>
          <t>Industrials</t>
        </is>
      </c>
      <c r="E305" s="16" t="inlineStr">
        <is>
          <t>Singapore</t>
        </is>
      </c>
    </row>
    <row r="306">
      <c r="A306" s="16" t="inlineStr">
        <is>
          <t>CREAF SP Equity</t>
        </is>
      </c>
      <c r="B306" s="16" t="inlineStr">
        <is>
          <t>Creative Technology Ltd/Singap</t>
        </is>
      </c>
      <c r="C306" s="17" t="n">
        <v>51741538.02203214</v>
      </c>
      <c r="D306" s="16" t="inlineStr">
        <is>
          <t>Information Technology</t>
        </is>
      </c>
      <c r="E306" s="16" t="inlineStr">
        <is>
          <t>Singapore</t>
        </is>
      </c>
    </row>
    <row r="307">
      <c r="A307" s="16" t="inlineStr">
        <is>
          <t>OCNUS SP Equity</t>
        </is>
      </c>
      <c r="B307" s="16" t="inlineStr">
        <is>
          <t>Oceanus Group Ltd</t>
        </is>
      </c>
      <c r="C307" s="17" t="n">
        <v>51720950.51261321</v>
      </c>
      <c r="D307" s="16" t="inlineStr">
        <is>
          <t>Consumer Staples</t>
        </is>
      </c>
      <c r="E307" s="16" t="inlineStr">
        <is>
          <t>Singapore</t>
        </is>
      </c>
    </row>
    <row r="308">
      <c r="A308" s="16" t="inlineStr">
        <is>
          <t>KOPL SP Equity</t>
        </is>
      </c>
      <c r="B308" s="16" t="inlineStr">
        <is>
          <t>KOP Ltd</t>
        </is>
      </c>
      <c r="C308" s="17" t="n">
        <v>49858299.62999999</v>
      </c>
      <c r="D308" s="16" t="inlineStr">
        <is>
          <t>Consumer Discretionary</t>
        </is>
      </c>
      <c r="E308" s="16" t="inlineStr">
        <is>
          <t>Singapore</t>
        </is>
      </c>
    </row>
    <row r="309">
      <c r="A309" s="16" t="inlineStr">
        <is>
          <t>LINASC SP Equity</t>
        </is>
      </c>
      <c r="B309" s="16" t="inlineStr">
        <is>
          <t>Lincotrade &amp; Associates Holdin</t>
        </is>
      </c>
      <c r="C309" s="17" t="n">
        <v>49745225.72819871</v>
      </c>
      <c r="D309" s="16" t="inlineStr">
        <is>
          <t>Industrials</t>
        </is>
      </c>
      <c r="E309" s="16" t="inlineStr">
        <is>
          <t>Singapore</t>
        </is>
      </c>
    </row>
    <row r="310">
      <c r="A310" s="16" t="inlineStr">
        <is>
          <t>ATL SP Equity</t>
        </is>
      </c>
      <c r="B310" s="16" t="inlineStr">
        <is>
          <t>Atlantic Navigation Holdings S</t>
        </is>
      </c>
      <c r="C310" s="17" t="n">
        <v>49733653.05592488</v>
      </c>
      <c r="D310" s="16" t="inlineStr">
        <is>
          <t>Energy</t>
        </is>
      </c>
      <c r="E310" s="16" t="inlineStr">
        <is>
          <t>Singapore</t>
        </is>
      </c>
    </row>
    <row r="311">
      <c r="A311" s="16" t="inlineStr">
        <is>
          <t>CHEM SP Equity</t>
        </is>
      </c>
      <c r="B311" s="16" t="inlineStr">
        <is>
          <t>Chemical Industries Far East L</t>
        </is>
      </c>
      <c r="C311" s="17" t="n">
        <v>49364509.35</v>
      </c>
      <c r="D311" s="16" t="inlineStr">
        <is>
          <t>Materials</t>
        </is>
      </c>
      <c r="E311" s="16" t="inlineStr">
        <is>
          <t>Singapore</t>
        </is>
      </c>
    </row>
    <row r="312">
      <c r="A312" s="16" t="inlineStr">
        <is>
          <t>UGHC SP Equity</t>
        </is>
      </c>
      <c r="B312" s="16" t="inlineStr">
        <is>
          <t>UG Healthcare Corp Ltd</t>
        </is>
      </c>
      <c r="C312" s="17" t="n">
        <v>49282241.33715786</v>
      </c>
      <c r="D312" s="16" t="inlineStr">
        <is>
          <t>Health Care</t>
        </is>
      </c>
      <c r="E312" s="16" t="inlineStr">
        <is>
          <t>Singapore</t>
        </is>
      </c>
    </row>
    <row r="313">
      <c r="A313" s="16" t="inlineStr">
        <is>
          <t>ISO SP Equity</t>
        </is>
      </c>
      <c r="B313" s="16" t="inlineStr">
        <is>
          <t>ISOTEAM LTD</t>
        </is>
      </c>
      <c r="C313" s="17" t="n">
        <v>48829524.54869449</v>
      </c>
      <c r="D313" s="16" t="inlineStr">
        <is>
          <t>Industrials</t>
        </is>
      </c>
      <c r="E313" s="16" t="inlineStr">
        <is>
          <t>Singapore</t>
        </is>
      </c>
    </row>
    <row r="314">
      <c r="A314" s="16" t="inlineStr">
        <is>
          <t>YMAO SP Equity</t>
        </is>
      </c>
      <c r="B314" s="16" t="inlineStr">
        <is>
          <t>Yongmao Holdings Ltd</t>
        </is>
      </c>
      <c r="C314" s="17" t="n">
        <v>48812501.05798244</v>
      </c>
      <c r="D314" s="16" t="inlineStr">
        <is>
          <t>Industrials</t>
        </is>
      </c>
      <c r="E314" s="16" t="inlineStr">
        <is>
          <t>Singapore</t>
        </is>
      </c>
    </row>
    <row r="315">
      <c r="A315" s="16" t="inlineStr">
        <is>
          <t>SAMH SP Equity</t>
        </is>
      </c>
      <c r="B315" s="16" t="inlineStr">
        <is>
          <t>Singapore Institute of Advance</t>
        </is>
      </c>
      <c r="C315" s="17" t="n">
        <v>48554591.44271953</v>
      </c>
      <c r="D315" s="16" t="inlineStr">
        <is>
          <t>Health Care</t>
        </is>
      </c>
      <c r="E315" s="16" t="inlineStr">
        <is>
          <t>Singapore</t>
        </is>
      </c>
    </row>
    <row r="316">
      <c r="A316" s="16" t="inlineStr">
        <is>
          <t>TIH SP Equity</t>
        </is>
      </c>
      <c r="B316" s="16" t="inlineStr">
        <is>
          <t>TIH Ltd</t>
        </is>
      </c>
      <c r="C316" s="17" t="n">
        <v>48337127.6</v>
      </c>
      <c r="D316" s="16" t="inlineStr">
        <is>
          <t>Financials</t>
        </is>
      </c>
      <c r="E316" s="16" t="inlineStr">
        <is>
          <t>Singapore</t>
        </is>
      </c>
    </row>
    <row r="317">
      <c r="A317" s="16" t="inlineStr">
        <is>
          <t>SUNR SP Equity</t>
        </is>
      </c>
      <c r="B317" s="16" t="inlineStr">
        <is>
          <t>Sunright Ltd</t>
        </is>
      </c>
      <c r="C317" s="17" t="n">
        <v>47280308.82883072</v>
      </c>
      <c r="D317" s="16" t="inlineStr">
        <is>
          <t>Information Technology</t>
        </is>
      </c>
      <c r="E317" s="16" t="inlineStr">
        <is>
          <t>Singapore</t>
        </is>
      </c>
    </row>
    <row r="318">
      <c r="A318" s="16" t="inlineStr">
        <is>
          <t>WFI SP Equity</t>
        </is>
      </c>
      <c r="B318" s="16" t="inlineStr">
        <is>
          <t>Wong Fong Industries Ltd</t>
        </is>
      </c>
      <c r="C318" s="17" t="n">
        <v>47000000</v>
      </c>
      <c r="D318" s="16" t="inlineStr">
        <is>
          <t>Industrials</t>
        </is>
      </c>
      <c r="E318" s="16" t="inlineStr">
        <is>
          <t>Singapore</t>
        </is>
      </c>
    </row>
    <row r="319">
      <c r="A319" s="16" t="inlineStr">
        <is>
          <t>STC SP Equity</t>
        </is>
      </c>
      <c r="B319" s="16" t="inlineStr">
        <is>
          <t>Stamford Tyres Corp Ltd</t>
        </is>
      </c>
      <c r="C319" s="17" t="n">
        <v>46290317.58</v>
      </c>
      <c r="D319" s="16" t="inlineStr">
        <is>
          <t>Consumer Discretionary</t>
        </is>
      </c>
      <c r="E319" s="16" t="inlineStr">
        <is>
          <t>Singapore</t>
        </is>
      </c>
    </row>
    <row r="320">
      <c r="A320" s="16" t="inlineStr">
        <is>
          <t>GSHL SP Equity</t>
        </is>
      </c>
      <c r="B320" s="16" t="inlineStr">
        <is>
          <t>Octopus APAC Holdings Ltd</t>
        </is>
      </c>
      <c r="C320" s="17" t="n">
        <v>45929546.80000001</v>
      </c>
      <c r="D320" s="16" t="inlineStr">
        <is>
          <t>Consumer Discretionary</t>
        </is>
      </c>
      <c r="E320" s="16" t="inlineStr">
        <is>
          <t>Singapore</t>
        </is>
      </c>
    </row>
    <row r="321">
      <c r="A321" s="16" t="inlineStr">
        <is>
          <t>ASEH SP Equity</t>
        </is>
      </c>
      <c r="B321" s="16" t="inlineStr">
        <is>
          <t>Asia Enterprises Holding Ltd</t>
        </is>
      </c>
      <c r="C321" s="17" t="n">
        <v>45821581.23912831</v>
      </c>
      <c r="D321" s="16" t="inlineStr">
        <is>
          <t>Industrials</t>
        </is>
      </c>
      <c r="E321" s="16" t="inlineStr">
        <is>
          <t>Singapore</t>
        </is>
      </c>
    </row>
    <row r="322">
      <c r="A322" s="16" t="inlineStr">
        <is>
          <t>KHOM SP Equity</t>
        </is>
      </c>
      <c r="B322" s="16" t="inlineStr">
        <is>
          <t>Kim Heng Ltd</t>
        </is>
      </c>
      <c r="C322" s="17" t="n">
        <v>45820604.31931019</v>
      </c>
      <c r="D322" s="16" t="inlineStr">
        <is>
          <t>Energy</t>
        </is>
      </c>
      <c r="E322" s="16" t="inlineStr">
        <is>
          <t>Singapore</t>
        </is>
      </c>
    </row>
    <row r="323">
      <c r="A323" s="16" t="inlineStr">
        <is>
          <t>ELL SP Equity</t>
        </is>
      </c>
      <c r="B323" s="16" t="inlineStr">
        <is>
          <t>Ellipsiz Ltd</t>
        </is>
      </c>
      <c r="C323" s="17" t="n">
        <v>45569669.36269596</v>
      </c>
      <c r="D323" s="16" t="inlineStr">
        <is>
          <t>Information Technology</t>
        </is>
      </c>
      <c r="E323" s="16" t="inlineStr">
        <is>
          <t>Singapore</t>
        </is>
      </c>
    </row>
    <row r="324">
      <c r="A324" s="16" t="inlineStr">
        <is>
          <t>CSA500 SP Equity</t>
        </is>
      </c>
      <c r="B324" s="16" t="inlineStr">
        <is>
          <t>CSOP CSAM CSI A500 Index ETF</t>
        </is>
      </c>
      <c r="C324" s="17" t="n">
        <v>44889935.83713909</v>
      </c>
      <c r="D324" s="16" t="e">
        <v>#N/A</v>
      </c>
      <c r="E324" s="16" t="inlineStr">
        <is>
          <t>Singapore</t>
        </is>
      </c>
    </row>
    <row r="325">
      <c r="A325" s="16" t="inlineStr">
        <is>
          <t>IEV SP Equity</t>
        </is>
      </c>
      <c r="B325" s="16" t="inlineStr">
        <is>
          <t>Medi Lifestyle Ltd</t>
        </is>
      </c>
      <c r="C325" s="17" t="n">
        <v>44744460.07988337</v>
      </c>
      <c r="D325" s="16" t="inlineStr">
        <is>
          <t>Industrials</t>
        </is>
      </c>
      <c r="E325" s="16" t="inlineStr">
        <is>
          <t>Singapore</t>
        </is>
      </c>
    </row>
    <row r="326">
      <c r="A326" s="16" t="inlineStr">
        <is>
          <t>MTQ SP Equity</t>
        </is>
      </c>
      <c r="B326" s="16" t="inlineStr">
        <is>
          <t>MTQ Corp Ltd</t>
        </is>
      </c>
      <c r="C326" s="17" t="n">
        <v>44421837.26193695</v>
      </c>
      <c r="D326" s="16" t="inlineStr">
        <is>
          <t>Energy</t>
        </is>
      </c>
      <c r="E326" s="16" t="inlineStr">
        <is>
          <t>Singapore</t>
        </is>
      </c>
    </row>
    <row r="327">
      <c r="A327" s="16" t="inlineStr">
        <is>
          <t>AMCO SP Equity</t>
        </is>
      </c>
      <c r="B327" s="16" t="inlineStr">
        <is>
          <t>Amcorp Global Ltd</t>
        </is>
      </c>
      <c r="C327" s="17" t="n">
        <v>42550662.45</v>
      </c>
      <c r="D327" s="16" t="inlineStr">
        <is>
          <t>Real Estate</t>
        </is>
      </c>
      <c r="E327" s="16" t="inlineStr">
        <is>
          <t>Singapore</t>
        </is>
      </c>
    </row>
    <row r="328">
      <c r="A328" s="16" t="inlineStr">
        <is>
          <t>GOOD SP Equity</t>
        </is>
      </c>
      <c r="B328" s="16" t="inlineStr">
        <is>
          <t>Goodland Group Ltd</t>
        </is>
      </c>
      <c r="C328" s="17" t="n">
        <v>42314176.98048693</v>
      </c>
      <c r="D328" s="16" t="inlineStr">
        <is>
          <t>Real Estate</t>
        </is>
      </c>
      <c r="E328" s="16" t="inlineStr">
        <is>
          <t>Singapore</t>
        </is>
      </c>
    </row>
    <row r="329">
      <c r="A329" s="16" t="inlineStr">
        <is>
          <t>SANLI SP Equity</t>
        </is>
      </c>
      <c r="B329" s="16" t="inlineStr">
        <is>
          <t>Sanli Environmental Ltd</t>
        </is>
      </c>
      <c r="C329" s="17" t="n">
        <v>42227203.12138561</v>
      </c>
      <c r="D329" s="16" t="inlineStr">
        <is>
          <t>Industrials</t>
        </is>
      </c>
      <c r="E329" s="16" t="inlineStr">
        <is>
          <t>Singapore</t>
        </is>
      </c>
    </row>
    <row r="330">
      <c r="A330" s="16" t="inlineStr">
        <is>
          <t>WILR SP Equity</t>
        </is>
      </c>
      <c r="B330" s="16" t="inlineStr">
        <is>
          <t>Wilton Resources Corp Ltd</t>
        </is>
      </c>
      <c r="C330" s="17" t="n">
        <v>41983731.21012013</v>
      </c>
      <c r="D330" s="16" t="inlineStr">
        <is>
          <t>Materials</t>
        </is>
      </c>
      <c r="E330" s="16" t="inlineStr">
        <is>
          <t>Singapore</t>
        </is>
      </c>
    </row>
    <row r="331">
      <c r="A331" s="16" t="inlineStr">
        <is>
          <t>SAMUR SP Equity</t>
        </is>
      </c>
      <c r="B331" s="16" t="inlineStr">
        <is>
          <t>Samurai 2K Aerosol Ltd</t>
        </is>
      </c>
      <c r="C331" s="17" t="n">
        <v>41820598.37499999</v>
      </c>
      <c r="D331" s="16" t="inlineStr">
        <is>
          <t>Materials</t>
        </is>
      </c>
      <c r="E331" s="16" t="inlineStr">
        <is>
          <t>Singapore</t>
        </is>
      </c>
    </row>
    <row r="332">
      <c r="A332" s="16" t="inlineStr">
        <is>
          <t>CSC SP Equity</t>
        </is>
      </c>
      <c r="B332" s="16" t="inlineStr">
        <is>
          <t>CSC Holdings Ltd</t>
        </is>
      </c>
      <c r="C332" s="17" t="n">
        <v>41669234.47420331</v>
      </c>
      <c r="D332" s="16" t="inlineStr">
        <is>
          <t>Industrials</t>
        </is>
      </c>
      <c r="E332" s="16" t="inlineStr">
        <is>
          <t>Singapore</t>
        </is>
      </c>
    </row>
    <row r="333">
      <c r="A333" s="16" t="inlineStr">
        <is>
          <t>YINGLI SP Equity</t>
        </is>
      </c>
      <c r="B333" s="16" t="inlineStr">
        <is>
          <t>Ying Li International Real Est</t>
        </is>
      </c>
      <c r="C333" s="17" t="n">
        <v>40912640.384</v>
      </c>
      <c r="D333" s="16" t="inlineStr">
        <is>
          <t>Real Estate</t>
        </is>
      </c>
      <c r="E333" s="16" t="inlineStr">
        <is>
          <t>Singapore</t>
        </is>
      </c>
    </row>
    <row r="334">
      <c r="A334" s="16" t="inlineStr">
        <is>
          <t>MOOR SP Equity</t>
        </is>
      </c>
      <c r="B334" s="16" t="inlineStr">
        <is>
          <t>Mooreast Holdings Ltd</t>
        </is>
      </c>
      <c r="C334" s="17" t="n">
        <v>40703649.948</v>
      </c>
      <c r="D334" s="16" t="inlineStr">
        <is>
          <t>Industrials</t>
        </is>
      </c>
      <c r="E334" s="16" t="inlineStr">
        <is>
          <t>Singapore</t>
        </is>
      </c>
    </row>
    <row r="335">
      <c r="A335" s="16" t="inlineStr">
        <is>
          <t>MCAST SP Equity</t>
        </is>
      </c>
      <c r="B335" s="16" t="inlineStr">
        <is>
          <t>Mencast Holdings Ltd</t>
        </is>
      </c>
      <c r="C335" s="17" t="n">
        <v>40614215.86399999</v>
      </c>
      <c r="D335" s="16" t="inlineStr">
        <is>
          <t>Energy</t>
        </is>
      </c>
      <c r="E335" s="16" t="inlineStr">
        <is>
          <t>Singapore</t>
        </is>
      </c>
    </row>
    <row r="336">
      <c r="A336" s="16" t="inlineStr">
        <is>
          <t>TSNG SP Equity</t>
        </is>
      </c>
      <c r="B336" s="16" t="inlineStr">
        <is>
          <t>Tiong Seng Holdings Ltd</t>
        </is>
      </c>
      <c r="C336" s="17" t="n">
        <v>40574745.112</v>
      </c>
      <c r="D336" s="16" t="inlineStr">
        <is>
          <t>Industrials</t>
        </is>
      </c>
      <c r="E336" s="16" t="inlineStr">
        <is>
          <t>Singapore</t>
        </is>
      </c>
    </row>
    <row r="337">
      <c r="A337" s="16" t="inlineStr">
        <is>
          <t>INTR SP Equity</t>
        </is>
      </c>
      <c r="B337" s="16" t="inlineStr">
        <is>
          <t>Intraco Ltd</t>
        </is>
      </c>
      <c r="C337" s="17" t="n">
        <v>40396840.12</v>
      </c>
      <c r="D337" s="16" t="inlineStr">
        <is>
          <t>Industrials</t>
        </is>
      </c>
      <c r="E337" s="16" t="inlineStr">
        <is>
          <t>Singapore</t>
        </is>
      </c>
    </row>
    <row r="338">
      <c r="A338" s="16" t="inlineStr">
        <is>
          <t>GTC SP Equity</t>
        </is>
      </c>
      <c r="B338" s="16" t="inlineStr">
        <is>
          <t>Global Testing Corp Ltd</t>
        </is>
      </c>
      <c r="C338" s="17" t="n">
        <v>40021832.39999999</v>
      </c>
      <c r="D338" s="16" t="inlineStr">
        <is>
          <t>Information Technology</t>
        </is>
      </c>
      <c r="E338" s="16" t="inlineStr">
        <is>
          <t>Singapore</t>
        </is>
      </c>
    </row>
    <row r="339">
      <c r="A339" s="16" t="inlineStr">
        <is>
          <t>TOTM SP Equity</t>
        </is>
      </c>
      <c r="B339" s="16" t="inlineStr">
        <is>
          <t>Totm Technologies Ltd</t>
        </is>
      </c>
      <c r="C339" s="17" t="n">
        <v>40002994.38375101</v>
      </c>
      <c r="D339" s="16" t="inlineStr">
        <is>
          <t>Communication Services</t>
        </is>
      </c>
      <c r="E339" s="16" t="inlineStr">
        <is>
          <t>Singapore</t>
        </is>
      </c>
    </row>
    <row r="340">
      <c r="A340" s="16" t="inlineStr">
        <is>
          <t>BWPM SP Equity</t>
        </is>
      </c>
      <c r="B340" s="16" t="inlineStr">
        <is>
          <t>World Precision Machinery Ltd</t>
        </is>
      </c>
      <c r="C340" s="17" t="n">
        <v>40000000</v>
      </c>
      <c r="D340" s="16" t="inlineStr">
        <is>
          <t>Industrials</t>
        </is>
      </c>
      <c r="E340" s="16" t="inlineStr">
        <is>
          <t>Singapore</t>
        </is>
      </c>
    </row>
    <row r="341">
      <c r="A341" s="16" t="inlineStr">
        <is>
          <t>DT SP Equity</t>
        </is>
      </c>
      <c r="B341" s="16" t="inlineStr">
        <is>
          <t>Datapulse Technology Ltd</t>
        </is>
      </c>
      <c r="C341" s="17" t="n">
        <v>39679995.815</v>
      </c>
      <c r="D341" s="16" t="inlineStr">
        <is>
          <t>Consumer Discretionary</t>
        </is>
      </c>
      <c r="E341" s="16" t="inlineStr">
        <is>
          <t>Singapore</t>
        </is>
      </c>
    </row>
    <row r="342">
      <c r="A342" s="16" t="inlineStr">
        <is>
          <t>CWIH SP Equity</t>
        </is>
      </c>
      <c r="B342" s="16" t="inlineStr">
        <is>
          <t>Combine Will International Hol</t>
        </is>
      </c>
      <c r="C342" s="17" t="n">
        <v>39439428.00000001</v>
      </c>
      <c r="D342" s="16" t="inlineStr">
        <is>
          <t>Consumer Discretionary</t>
        </is>
      </c>
      <c r="E342" s="16" t="inlineStr">
        <is>
          <t>Singapore</t>
        </is>
      </c>
    </row>
    <row r="343">
      <c r="A343" s="16" t="inlineStr">
        <is>
          <t>LHT SP Equity</t>
        </is>
      </c>
      <c r="B343" s="16" t="inlineStr">
        <is>
          <t>LHT Holdings Ltd</t>
        </is>
      </c>
      <c r="C343" s="17" t="n">
        <v>39401300.00000001</v>
      </c>
      <c r="D343" s="16" t="inlineStr">
        <is>
          <t>Materials</t>
        </is>
      </c>
      <c r="E343" s="16" t="inlineStr">
        <is>
          <t>Singapore</t>
        </is>
      </c>
    </row>
    <row r="344">
      <c r="A344" s="16" t="inlineStr">
        <is>
          <t>CHLD SP Equity</t>
        </is>
      </c>
      <c r="B344" s="16" t="inlineStr">
        <is>
          <t>Chasen Holdings Ltd</t>
        </is>
      </c>
      <c r="C344" s="17" t="n">
        <v>39275601.89951965</v>
      </c>
      <c r="D344" s="16" t="inlineStr">
        <is>
          <t>Industrials</t>
        </is>
      </c>
      <c r="E344" s="16" t="inlineStr">
        <is>
          <t>Singapore</t>
        </is>
      </c>
    </row>
    <row r="345">
      <c r="A345" s="16" t="inlineStr">
        <is>
          <t>AHG SP Equity</t>
        </is>
      </c>
      <c r="B345" s="16" t="inlineStr">
        <is>
          <t>Alliance Healthcare Group Ltd</t>
        </is>
      </c>
      <c r="C345" s="17" t="n">
        <v>38719291.83021399</v>
      </c>
      <c r="D345" s="16" t="inlineStr">
        <is>
          <t>Health Care</t>
        </is>
      </c>
      <c r="E345" s="16" t="inlineStr">
        <is>
          <t>Singapore</t>
        </is>
      </c>
    </row>
    <row r="346">
      <c r="A346" s="16" t="inlineStr">
        <is>
          <t>ENVH SP Equity</t>
        </is>
      </c>
      <c r="B346" s="16" t="inlineStr">
        <is>
          <t>Enviro-Hub Holdings Ltd</t>
        </is>
      </c>
      <c r="C346" s="17" t="n">
        <v>38529107.07412843</v>
      </c>
      <c r="D346" s="16" t="inlineStr">
        <is>
          <t>Materials</t>
        </is>
      </c>
      <c r="E346" s="16" t="inlineStr">
        <is>
          <t>Singapore</t>
        </is>
      </c>
    </row>
    <row r="347">
      <c r="A347" s="16" t="inlineStr">
        <is>
          <t>ADGE SP Equity</t>
        </is>
      </c>
      <c r="B347" s="16" t="inlineStr">
        <is>
          <t>Aedge Group Ltd</t>
        </is>
      </c>
      <c r="C347" s="17" t="n">
        <v>37504308.32905993</v>
      </c>
      <c r="D347" s="16" t="inlineStr">
        <is>
          <t>Industrials</t>
        </is>
      </c>
      <c r="E347" s="16" t="inlineStr">
        <is>
          <t>Singapore</t>
        </is>
      </c>
    </row>
    <row r="348">
      <c r="A348" s="16" t="inlineStr">
        <is>
          <t>CASA SP Equity</t>
        </is>
      </c>
      <c r="B348" s="16" t="inlineStr">
        <is>
          <t>Casa Holdings Ltd</t>
        </is>
      </c>
      <c r="C348" s="17" t="n">
        <v>37041049.26</v>
      </c>
      <c r="D348" s="16" t="inlineStr">
        <is>
          <t>Consumer Discretionary</t>
        </is>
      </c>
      <c r="E348" s="16" t="inlineStr">
        <is>
          <t>Singapore</t>
        </is>
      </c>
    </row>
    <row r="349">
      <c r="A349" s="16" t="inlineStr">
        <is>
          <t>FUJI SP Equity</t>
        </is>
      </c>
      <c r="B349" s="16" t="inlineStr">
        <is>
          <t>Fuji Offset Plates Manufacturi</t>
        </is>
      </c>
      <c r="C349" s="17" t="n">
        <v>36846187.5</v>
      </c>
      <c r="D349" s="16" t="inlineStr">
        <is>
          <t>Industrials</t>
        </is>
      </c>
      <c r="E349" s="16" t="inlineStr">
        <is>
          <t>Singapore</t>
        </is>
      </c>
    </row>
    <row r="350">
      <c r="A350" s="16" t="inlineStr">
        <is>
          <t>FEDI SP Equity</t>
        </is>
      </c>
      <c r="B350" s="16" t="inlineStr">
        <is>
          <t>Federal International 2000 Ltd</t>
        </is>
      </c>
      <c r="C350" s="17" t="n">
        <v>36573544.49849033</v>
      </c>
      <c r="D350" s="16" t="inlineStr">
        <is>
          <t>Industrials</t>
        </is>
      </c>
      <c r="E350" s="16" t="inlineStr">
        <is>
          <t>Singapore</t>
        </is>
      </c>
    </row>
    <row r="351">
      <c r="A351" s="16" t="inlineStr">
        <is>
          <t>MCNA50 SP Equity</t>
        </is>
      </c>
      <c r="B351" s="16" t="inlineStr">
        <is>
          <t>Phillip-China Universal Msci C</t>
        </is>
      </c>
      <c r="C351" s="17" t="n">
        <v>36010262.2</v>
      </c>
      <c r="D351" s="16" t="e">
        <v>#N/A</v>
      </c>
      <c r="E351" s="16" t="inlineStr">
        <is>
          <t>Singapore</t>
        </is>
      </c>
    </row>
    <row r="352">
      <c r="A352" s="16" t="inlineStr">
        <is>
          <t>OTS SP Equity</t>
        </is>
      </c>
      <c r="B352" s="16" t="inlineStr">
        <is>
          <t>OTS Holdings Ltd</t>
        </is>
      </c>
      <c r="C352" s="17" t="n">
        <v>35951999.51529503</v>
      </c>
      <c r="D352" s="16" t="inlineStr">
        <is>
          <t>Consumer Staples</t>
        </is>
      </c>
      <c r="E352" s="16" t="inlineStr">
        <is>
          <t>Singapore</t>
        </is>
      </c>
    </row>
    <row r="353">
      <c r="A353" s="16" t="inlineStr">
        <is>
          <t>DFG SP Equity</t>
        </is>
      </c>
      <c r="B353" s="16" t="inlineStr">
        <is>
          <t>Dezign Format Group Ltd</t>
        </is>
      </c>
      <c r="C353" s="17" t="n">
        <v>35919000.00000001</v>
      </c>
      <c r="D353" s="16" t="e">
        <v>#N/A</v>
      </c>
      <c r="E353" s="16" t="inlineStr">
        <is>
          <t>Singapore</t>
        </is>
      </c>
    </row>
    <row r="354">
      <c r="A354" s="16" t="inlineStr">
        <is>
          <t>VPS SP Equity</t>
        </is>
      </c>
      <c r="B354" s="16" t="inlineStr">
        <is>
          <t>Vicplas International Ltd</t>
        </is>
      </c>
      <c r="C354" s="17" t="n">
        <v>35775368.93</v>
      </c>
      <c r="D354" s="16" t="inlineStr">
        <is>
          <t>Health Care</t>
        </is>
      </c>
      <c r="E354" s="16" t="inlineStr">
        <is>
          <t>Singapore</t>
        </is>
      </c>
    </row>
    <row r="355">
      <c r="A355" s="16" t="inlineStr">
        <is>
          <t>SLIAN SP Equity</t>
        </is>
      </c>
      <c r="B355" s="16" t="inlineStr">
        <is>
          <t>Soon Lian Holdings Ltd</t>
        </is>
      </c>
      <c r="C355" s="17" t="n">
        <v>34559999.2275238</v>
      </c>
      <c r="D355" s="16" t="inlineStr">
        <is>
          <t>Industrials</t>
        </is>
      </c>
      <c r="E355" s="16" t="inlineStr">
        <is>
          <t>Singapore</t>
        </is>
      </c>
    </row>
    <row r="356">
      <c r="A356" s="16" t="inlineStr">
        <is>
          <t>ENEC SP Equity</t>
        </is>
      </c>
      <c r="B356" s="16" t="inlineStr">
        <is>
          <t>Eneco Energy Ltd</t>
        </is>
      </c>
      <c r="C356" s="17" t="n">
        <v>34207740.21943201</v>
      </c>
      <c r="D356" s="16" t="inlineStr">
        <is>
          <t>Industrials</t>
        </is>
      </c>
      <c r="E356" s="16" t="inlineStr">
        <is>
          <t>Singapore</t>
        </is>
      </c>
    </row>
    <row r="357">
      <c r="A357" s="16" t="inlineStr">
        <is>
          <t>HLHG SP Equity</t>
        </is>
      </c>
      <c r="B357" s="16" t="inlineStr">
        <is>
          <t>Hong Lai Huat Group Ltd</t>
        </is>
      </c>
      <c r="C357" s="17" t="n">
        <v>34034589.39399999</v>
      </c>
      <c r="D357" s="16" t="inlineStr">
        <is>
          <t>Real Estate</t>
        </is>
      </c>
      <c r="E357" s="16" t="inlineStr">
        <is>
          <t>Singapore</t>
        </is>
      </c>
    </row>
    <row r="358">
      <c r="A358" s="16" t="inlineStr">
        <is>
          <t>CLGL SP Equity</t>
        </is>
      </c>
      <c r="B358" s="16" t="inlineStr">
        <is>
          <t>Cordlife Group Ltd</t>
        </is>
      </c>
      <c r="C358" s="17" t="n">
        <v>33832622.208</v>
      </c>
      <c r="D358" s="16" t="inlineStr">
        <is>
          <t>Health Care</t>
        </is>
      </c>
      <c r="E358" s="16" t="inlineStr">
        <is>
          <t>Singapore</t>
        </is>
      </c>
    </row>
    <row r="359">
      <c r="A359" s="16" t="inlineStr">
        <is>
          <t>KWAN SP Equity</t>
        </is>
      </c>
      <c r="B359" s="16" t="inlineStr">
        <is>
          <t>King Wan Corp Ltd</t>
        </is>
      </c>
      <c r="C359" s="17" t="n">
        <v>33807564.37681019</v>
      </c>
      <c r="D359" s="16" t="inlineStr">
        <is>
          <t>Industrials</t>
        </is>
      </c>
      <c r="E359" s="16" t="inlineStr">
        <is>
          <t>Singapore</t>
        </is>
      </c>
    </row>
    <row r="360">
      <c r="A360" s="16" t="inlineStr">
        <is>
          <t>JIUC SP Equity</t>
        </is>
      </c>
      <c r="B360" s="16" t="inlineStr">
        <is>
          <t>Jiutian Chemical Group Ltd</t>
        </is>
      </c>
      <c r="C360" s="17" t="n">
        <v>33803549.83706772</v>
      </c>
      <c r="D360" s="16" t="inlineStr">
        <is>
          <t>Materials</t>
        </is>
      </c>
      <c r="E360" s="16" t="inlineStr">
        <is>
          <t>Singapore</t>
        </is>
      </c>
    </row>
    <row r="361">
      <c r="A361" s="16" t="inlineStr">
        <is>
          <t>KIN SP Equity</t>
        </is>
      </c>
      <c r="B361" s="16" t="inlineStr">
        <is>
          <t>Kin Global Pte Ltd</t>
        </is>
      </c>
      <c r="C361" s="17" t="n">
        <v>33150000.34868717</v>
      </c>
      <c r="D361" s="16" t="inlineStr">
        <is>
          <t>Communication Services</t>
        </is>
      </c>
      <c r="E361" s="16" t="inlineStr">
        <is>
          <t>Singapore</t>
        </is>
      </c>
    </row>
    <row r="362">
      <c r="A362" s="16" t="inlineStr">
        <is>
          <t>CAH SP Equity</t>
        </is>
      </c>
      <c r="B362" s="16" t="inlineStr">
        <is>
          <t>CapAllianz Holdings Ltd</t>
        </is>
      </c>
      <c r="C362" s="17" t="n">
        <v>32670209.1997516</v>
      </c>
      <c r="D362" s="16" t="inlineStr">
        <is>
          <t>Energy</t>
        </is>
      </c>
      <c r="E362" s="16" t="inlineStr">
        <is>
          <t>Singapore</t>
        </is>
      </c>
    </row>
    <row r="363">
      <c r="A363" s="16" t="inlineStr">
        <is>
          <t>NSB SP Equity</t>
        </is>
      </c>
      <c r="B363" s="16" t="inlineStr">
        <is>
          <t>Bromat Holdings Ltd</t>
        </is>
      </c>
      <c r="C363" s="17" t="n">
        <v>32634660.38399999</v>
      </c>
      <c r="D363" s="16" t="inlineStr">
        <is>
          <t>Consumer Discretionary</t>
        </is>
      </c>
      <c r="E363" s="16" t="inlineStr">
        <is>
          <t>Singapore</t>
        </is>
      </c>
    </row>
    <row r="364">
      <c r="A364" s="16" t="inlineStr">
        <is>
          <t>ADGL SP Equity</t>
        </is>
      </c>
      <c r="B364" s="16" t="inlineStr">
        <is>
          <t>Advancer Global Ltd</t>
        </is>
      </c>
      <c r="C364" s="17" t="n">
        <v>32614840.83</v>
      </c>
      <c r="D364" s="16" t="inlineStr">
        <is>
          <t>Industrials</t>
        </is>
      </c>
      <c r="E364" s="16" t="inlineStr">
        <is>
          <t>Singapore</t>
        </is>
      </c>
    </row>
    <row r="365">
      <c r="A365" s="16" t="inlineStr">
        <is>
          <t>AVI SP Equity</t>
        </is>
      </c>
      <c r="B365" s="16" t="inlineStr">
        <is>
          <t>Avi-Tech Holdings Ltd</t>
        </is>
      </c>
      <c r="C365" s="17" t="n">
        <v>32498747.38219446</v>
      </c>
      <c r="D365" s="16" t="inlineStr">
        <is>
          <t>Information Technology</t>
        </is>
      </c>
      <c r="E365" s="16" t="inlineStr">
        <is>
          <t>Singapore</t>
        </is>
      </c>
    </row>
    <row r="366">
      <c r="A366" s="16" t="inlineStr">
        <is>
          <t>ETC SP Equity</t>
        </is>
      </c>
      <c r="B366" s="16" t="inlineStr">
        <is>
          <t>Emerging Towns &amp; Cities Singap</t>
        </is>
      </c>
      <c r="C366" s="17" t="n">
        <v>32328448.45240285</v>
      </c>
      <c r="D366" s="16" t="inlineStr">
        <is>
          <t>Real Estate</t>
        </is>
      </c>
      <c r="E366" s="16" t="inlineStr">
        <is>
          <t>Singapore</t>
        </is>
      </c>
    </row>
    <row r="367">
      <c r="A367" s="16" t="inlineStr">
        <is>
          <t>JWL SP Equity</t>
        </is>
      </c>
      <c r="B367" s="16" t="inlineStr">
        <is>
          <t>Jawala Inc</t>
        </is>
      </c>
      <c r="C367" s="17" t="n">
        <v>31987980</v>
      </c>
      <c r="D367" s="16" t="inlineStr">
        <is>
          <t>Materials</t>
        </is>
      </c>
      <c r="E367" s="16" t="inlineStr">
        <is>
          <t>Singapore</t>
        </is>
      </c>
    </row>
    <row r="368">
      <c r="A368" s="16" t="inlineStr">
        <is>
          <t>PNE SP Equity</t>
        </is>
      </c>
      <c r="B368" s="16" t="inlineStr">
        <is>
          <t>PNE Industries Ltd</t>
        </is>
      </c>
      <c r="C368" s="17" t="n">
        <v>31888367.66</v>
      </c>
      <c r="D368" s="16" t="inlineStr">
        <is>
          <t>Information Technology</t>
        </is>
      </c>
      <c r="E368" s="16" t="inlineStr">
        <is>
          <t>Singapore</t>
        </is>
      </c>
    </row>
    <row r="369">
      <c r="A369" s="16" t="inlineStr">
        <is>
          <t>HLGE SP Equity</t>
        </is>
      </c>
      <c r="B369" s="16" t="inlineStr">
        <is>
          <t>HL Global Enterprises Ltd</t>
        </is>
      </c>
      <c r="C369" s="17" t="n">
        <v>31790305.08323318</v>
      </c>
      <c r="D369" s="16" t="inlineStr">
        <is>
          <t>Consumer Discretionary</t>
        </is>
      </c>
      <c r="E369" s="16" t="inlineStr">
        <is>
          <t>Singapore</t>
        </is>
      </c>
    </row>
    <row r="370">
      <c r="A370" s="16" t="inlineStr">
        <is>
          <t>ASMH SP Equity</t>
        </is>
      </c>
      <c r="B370" s="16" t="inlineStr">
        <is>
          <t>A-Smart Holdings Ltd</t>
        </is>
      </c>
      <c r="C370" s="17" t="n">
        <v>31392533.13216156</v>
      </c>
      <c r="D370" s="16" t="inlineStr">
        <is>
          <t>Industrials</t>
        </is>
      </c>
      <c r="E370" s="16" t="inlineStr">
        <is>
          <t>Singapore</t>
        </is>
      </c>
    </row>
    <row r="371">
      <c r="A371" s="16" t="inlineStr">
        <is>
          <t>9R SP Equity</t>
        </is>
      </c>
      <c r="B371" s="16" t="inlineStr">
        <is>
          <t>9R Ltd</t>
        </is>
      </c>
      <c r="C371" s="17" t="n">
        <v>31347447.488</v>
      </c>
      <c r="D371" s="16" t="inlineStr">
        <is>
          <t>Information Technology</t>
        </is>
      </c>
      <c r="E371" s="16" t="inlineStr">
        <is>
          <t>Singapore</t>
        </is>
      </c>
    </row>
    <row r="372">
      <c r="A372" s="16" t="inlineStr">
        <is>
          <t>SHEFG SP Equity</t>
        </is>
      </c>
      <c r="B372" s="16" t="inlineStr">
        <is>
          <t>Sheffield Green Ltd</t>
        </is>
      </c>
      <c r="C372" s="17" t="n">
        <v>31290940.8</v>
      </c>
      <c r="D372" s="16" t="inlineStr">
        <is>
          <t>Industrials</t>
        </is>
      </c>
      <c r="E372" s="16" t="inlineStr">
        <is>
          <t>Singapore</t>
        </is>
      </c>
    </row>
    <row r="373">
      <c r="A373" s="16" t="inlineStr">
        <is>
          <t>KHHL SP Equity</t>
        </is>
      </c>
      <c r="B373" s="16" t="inlineStr">
        <is>
          <t>Keong Hong Holdings Ltd</t>
        </is>
      </c>
      <c r="C373" s="17" t="n">
        <v>30551300</v>
      </c>
      <c r="D373" s="16" t="inlineStr">
        <is>
          <t>Industrials</t>
        </is>
      </c>
      <c r="E373" s="16" t="inlineStr">
        <is>
          <t>Singapore</t>
        </is>
      </c>
    </row>
    <row r="374">
      <c r="A374" s="16" t="inlineStr">
        <is>
          <t>Q50 SP Equity</t>
        </is>
      </c>
      <c r="B374" s="16" t="inlineStr">
        <is>
          <t>CGS Fullgoal Singapore Next 50</t>
        </is>
      </c>
      <c r="C374" s="17" t="n">
        <v>30068676.57062912</v>
      </c>
      <c r="D374" s="16" t="e">
        <v>#N/A</v>
      </c>
      <c r="E374" s="16" t="inlineStr">
        <is>
          <t>Singapore</t>
        </is>
      </c>
    </row>
    <row r="375">
      <c r="A375" s="16" t="inlineStr">
        <is>
          <t>SITRA SP Equity</t>
        </is>
      </c>
      <c r="B375" s="16" t="inlineStr">
        <is>
          <t>Sitra Holdings International L</t>
        </is>
      </c>
      <c r="C375" s="17" t="n">
        <v>29666000</v>
      </c>
      <c r="D375" s="16" t="inlineStr">
        <is>
          <t>Consumer Discretionary</t>
        </is>
      </c>
      <c r="E375" s="16" t="inlineStr">
        <is>
          <t>Singapore</t>
        </is>
      </c>
    </row>
    <row r="376">
      <c r="A376" s="16" t="inlineStr">
        <is>
          <t>MEDI SP Equity</t>
        </is>
      </c>
      <c r="B376" s="16" t="inlineStr">
        <is>
          <t>Medinex Ltd</t>
        </is>
      </c>
      <c r="C376" s="17" t="n">
        <v>29599645.29961124</v>
      </c>
      <c r="D376" s="16" t="inlineStr">
        <is>
          <t>Health Care</t>
        </is>
      </c>
      <c r="E376" s="16" t="inlineStr">
        <is>
          <t>Singapore</t>
        </is>
      </c>
    </row>
    <row r="377">
      <c r="A377" s="16" t="inlineStr">
        <is>
          <t>SPST SP Equity</t>
        </is>
      </c>
      <c r="B377" s="16" t="inlineStr">
        <is>
          <t>ST Group Food Industries Holdi</t>
        </is>
      </c>
      <c r="C377" s="17" t="n">
        <v>29268907.715</v>
      </c>
      <c r="D377" s="16" t="inlineStr">
        <is>
          <t>Consumer Discretionary</t>
        </is>
      </c>
      <c r="E377" s="16" t="inlineStr">
        <is>
          <t>Singapore</t>
        </is>
      </c>
    </row>
    <row r="378">
      <c r="A378" s="16" t="inlineStr">
        <is>
          <t>HTONG SP Equity</t>
        </is>
      </c>
      <c r="B378" s="16" t="inlineStr">
        <is>
          <t>Hiap Tong Corp Ltd</t>
        </is>
      </c>
      <c r="C378" s="17" t="n">
        <v>28880141.52259221</v>
      </c>
      <c r="D378" s="16" t="inlineStr">
        <is>
          <t>Industrials</t>
        </is>
      </c>
      <c r="E378" s="16" t="inlineStr">
        <is>
          <t>Singapore</t>
        </is>
      </c>
    </row>
    <row r="379">
      <c r="A379" s="16" t="inlineStr">
        <is>
          <t>EVS SP Equity</t>
        </is>
      </c>
      <c r="B379" s="16" t="inlineStr">
        <is>
          <t>Amova-StraitsTrading MSCI Chin</t>
        </is>
      </c>
      <c r="C379" s="17" t="n">
        <v>28733198.38690986</v>
      </c>
      <c r="D379" s="16" t="e">
        <v>#N/A</v>
      </c>
      <c r="E379" s="16" t="inlineStr">
        <is>
          <t>Singapore</t>
        </is>
      </c>
    </row>
    <row r="380">
      <c r="A380" s="16" t="inlineStr">
        <is>
          <t>KODA SP Equity</t>
        </is>
      </c>
      <c r="B380" s="16" t="inlineStr">
        <is>
          <t>Koda Ltd</t>
        </is>
      </c>
      <c r="C380" s="17" t="n">
        <v>28684604.79</v>
      </c>
      <c r="D380" s="16" t="inlineStr">
        <is>
          <t>Consumer Discretionary</t>
        </is>
      </c>
      <c r="E380" s="16" t="inlineStr">
        <is>
          <t>Singapore</t>
        </is>
      </c>
    </row>
    <row r="381">
      <c r="A381" s="16" t="inlineStr">
        <is>
          <t>AAG SP Equity</t>
        </is>
      </c>
      <c r="B381" s="16" t="inlineStr">
        <is>
          <t>HGH Holdings Ltd</t>
        </is>
      </c>
      <c r="C381" s="17" t="n">
        <v>28493768.976</v>
      </c>
      <c r="D381" s="16" t="inlineStr">
        <is>
          <t>Real Estate</t>
        </is>
      </c>
      <c r="E381" s="16" t="inlineStr">
        <is>
          <t>Singapore</t>
        </is>
      </c>
    </row>
    <row r="382">
      <c r="A382" s="16" t="inlineStr">
        <is>
          <t>KLW SP Equity</t>
        </is>
      </c>
      <c r="B382" s="16" t="inlineStr">
        <is>
          <t>HS Optimus Holdings Ltd</t>
        </is>
      </c>
      <c r="C382" s="17" t="n">
        <v>27828706.88297991</v>
      </c>
      <c r="D382" s="16" t="inlineStr">
        <is>
          <t>Industrials</t>
        </is>
      </c>
      <c r="E382" s="16" t="inlineStr">
        <is>
          <t>Singapore</t>
        </is>
      </c>
    </row>
    <row r="383">
      <c r="A383" s="16" t="inlineStr">
        <is>
          <t>SOUTHA SP Equity</t>
        </is>
      </c>
      <c r="B383" s="16" t="inlineStr">
        <is>
          <t>Southern Archipelago Ltd</t>
        </is>
      </c>
      <c r="C383" s="17" t="n">
        <v>27570762.183</v>
      </c>
      <c r="D383" s="16" t="inlineStr">
        <is>
          <t>Industrials</t>
        </is>
      </c>
      <c r="E383" s="16" t="inlineStr">
        <is>
          <t>Singapore</t>
        </is>
      </c>
    </row>
    <row r="384">
      <c r="A384" s="16" t="inlineStr">
        <is>
          <t>CHO SP Equity</t>
        </is>
      </c>
      <c r="B384" s="16" t="inlineStr">
        <is>
          <t>CH Offshore Ltd</t>
        </is>
      </c>
      <c r="C384" s="17" t="n">
        <v>27490808.046</v>
      </c>
      <c r="D384" s="16" t="inlineStr">
        <is>
          <t>Energy</t>
        </is>
      </c>
      <c r="E384" s="16" t="inlineStr">
        <is>
          <t>Singapore</t>
        </is>
      </c>
    </row>
    <row r="385">
      <c r="A385" s="16" t="inlineStr">
        <is>
          <t>NLH SP Equity</t>
        </is>
      </c>
      <c r="B385" s="16" t="inlineStr">
        <is>
          <t>Zhongxin Fruit &amp; Juice Ltd</t>
        </is>
      </c>
      <c r="C385" s="17" t="n">
        <v>27441939.226</v>
      </c>
      <c r="D385" s="16" t="inlineStr">
        <is>
          <t>Consumer Staples</t>
        </is>
      </c>
      <c r="E385" s="16" t="inlineStr">
        <is>
          <t>Singapore</t>
        </is>
      </c>
    </row>
    <row r="386">
      <c r="A386" s="16" t="inlineStr">
        <is>
          <t>VINS SP Equity</t>
        </is>
      </c>
      <c r="B386" s="16" t="inlineStr">
        <is>
          <t>Vin's Holdings Ltd</t>
        </is>
      </c>
      <c r="C386" s="17" t="n">
        <v>26877777.55</v>
      </c>
      <c r="D386" s="16" t="inlineStr">
        <is>
          <t>Consumer Discretionary</t>
        </is>
      </c>
      <c r="E386" s="16" t="inlineStr">
        <is>
          <t>Singapore</t>
        </is>
      </c>
    </row>
    <row r="387">
      <c r="A387" s="16" t="inlineStr">
        <is>
          <t>SCRG SP Equity</t>
        </is>
      </c>
      <c r="B387" s="16" t="inlineStr">
        <is>
          <t>Secura Group Ltd</t>
        </is>
      </c>
      <c r="C387" s="17" t="n">
        <v>26000130</v>
      </c>
      <c r="D387" s="16" t="inlineStr">
        <is>
          <t>Industrials</t>
        </is>
      </c>
      <c r="E387" s="16" t="inlineStr">
        <is>
          <t>Singapore</t>
        </is>
      </c>
    </row>
    <row r="388">
      <c r="A388" s="16" t="inlineStr">
        <is>
          <t>MCHAMPS SP Equity</t>
        </is>
      </c>
      <c r="B388" s="16" t="inlineStr">
        <is>
          <t>MindChamps Preschool Ltd</t>
        </is>
      </c>
      <c r="C388" s="17" t="n">
        <v>25987193.041</v>
      </c>
      <c r="D388" s="16" t="inlineStr">
        <is>
          <t>Consumer Discretionary</t>
        </is>
      </c>
      <c r="E388" s="16" t="inlineStr">
        <is>
          <t>Singapore</t>
        </is>
      </c>
    </row>
    <row r="389">
      <c r="A389" s="16" t="inlineStr">
        <is>
          <t>JK8 SP Equity</t>
        </is>
      </c>
      <c r="B389" s="16" t="inlineStr">
        <is>
          <t>UOBAM FTSE China A50 Index ETF</t>
        </is>
      </c>
      <c r="C389" s="17" t="n">
        <v>25712878.15992741</v>
      </c>
      <c r="D389" s="16" t="e">
        <v>#N/A</v>
      </c>
      <c r="E389" s="16" t="inlineStr">
        <is>
          <t>Singapore</t>
        </is>
      </c>
    </row>
    <row r="390">
      <c r="A390" s="16" t="inlineStr">
        <is>
          <t>KGL SP Equity</t>
        </is>
      </c>
      <c r="B390" s="16" t="inlineStr">
        <is>
          <t>Khong Guan Ltd</t>
        </is>
      </c>
      <c r="C390" s="17" t="n">
        <v>25554394.8</v>
      </c>
      <c r="D390" s="16" t="inlineStr">
        <is>
          <t>Consumer Staples</t>
        </is>
      </c>
      <c r="E390" s="16" t="inlineStr">
        <is>
          <t>Singapore</t>
        </is>
      </c>
    </row>
    <row r="391">
      <c r="A391" s="16" t="inlineStr">
        <is>
          <t>GDS SP Equity</t>
        </is>
      </c>
      <c r="B391" s="16" t="inlineStr">
        <is>
          <t>GDS Global Ltd</t>
        </is>
      </c>
      <c r="C391" s="17" t="n">
        <v>25413577.2</v>
      </c>
      <c r="D391" s="16" t="inlineStr">
        <is>
          <t>Industrials</t>
        </is>
      </c>
      <c r="E391" s="16" t="inlineStr">
        <is>
          <t>Singapore</t>
        </is>
      </c>
    </row>
    <row r="392">
      <c r="A392" s="16" t="inlineStr">
        <is>
          <t>OAL SP Equity</t>
        </is>
      </c>
      <c r="B392" s="16" t="inlineStr">
        <is>
          <t>OneApex Ltd</t>
        </is>
      </c>
      <c r="C392" s="17" t="n">
        <v>25349400</v>
      </c>
      <c r="D392" s="16" t="inlineStr">
        <is>
          <t>Real Estate</t>
        </is>
      </c>
      <c r="E392" s="16" t="inlineStr">
        <is>
          <t>Singapore</t>
        </is>
      </c>
    </row>
    <row r="393">
      <c r="A393" s="16" t="inlineStr">
        <is>
          <t>AEI SP Equity</t>
        </is>
      </c>
      <c r="B393" s="16" t="inlineStr">
        <is>
          <t>Ascent Bridge Ltd</t>
        </is>
      </c>
      <c r="C393" s="17" t="n">
        <v>24724052.15850775</v>
      </c>
      <c r="D393" s="16" t="inlineStr">
        <is>
          <t>Consumer Staples</t>
        </is>
      </c>
      <c r="E393" s="16" t="inlineStr">
        <is>
          <t>Singapore</t>
        </is>
      </c>
    </row>
    <row r="394">
      <c r="A394" s="16" t="inlineStr">
        <is>
          <t>UNU SP Equity</t>
        </is>
      </c>
      <c r="B394" s="16" t="inlineStr">
        <is>
          <t>Unusual Ltd</t>
        </is>
      </c>
      <c r="C394" s="17" t="n">
        <v>24486544.608</v>
      </c>
      <c r="D394" s="16" t="inlineStr">
        <is>
          <t>Communication Services</t>
        </is>
      </c>
      <c r="E394" s="16" t="inlineStr">
        <is>
          <t>Singapore</t>
        </is>
      </c>
    </row>
    <row r="395">
      <c r="A395" s="16" t="inlineStr">
        <is>
          <t>CYC SP Equity</t>
        </is>
      </c>
      <c r="B395" s="16" t="inlineStr">
        <is>
          <t>CSOP FTSE Chinese Government B</t>
        </is>
      </c>
      <c r="C395" s="17" t="n">
        <v>24195696</v>
      </c>
      <c r="D395" s="16" t="e">
        <v>#N/A</v>
      </c>
      <c r="E395" s="16" t="inlineStr">
        <is>
          <t>Singapore</t>
        </is>
      </c>
    </row>
    <row r="396">
      <c r="A396" s="16" t="inlineStr">
        <is>
          <t>JAD SP Equity</t>
        </is>
      </c>
      <c r="B396" s="16" t="inlineStr">
        <is>
          <t>Jadason Enterprises Ltd</t>
        </is>
      </c>
      <c r="C396" s="17" t="n">
        <v>23878689.87061083</v>
      </c>
      <c r="D396" s="16" t="inlineStr">
        <is>
          <t>Information Technology</t>
        </is>
      </c>
      <c r="E396" s="16" t="inlineStr">
        <is>
          <t>Singapore</t>
        </is>
      </c>
    </row>
    <row r="397">
      <c r="A397" s="16" t="inlineStr">
        <is>
          <t>THEPLACE SP Equity</t>
        </is>
      </c>
      <c r="B397" s="16" t="inlineStr">
        <is>
          <t>Place Holdings Ltd/The</t>
        </is>
      </c>
      <c r="C397" s="17" t="n">
        <v>23522619.27326441</v>
      </c>
      <c r="D397" s="16" t="inlineStr">
        <is>
          <t>Communication Services</t>
        </is>
      </c>
      <c r="E397" s="16" t="inlineStr">
        <is>
          <t>Singapore</t>
        </is>
      </c>
    </row>
    <row r="398">
      <c r="A398" s="16" t="inlineStr">
        <is>
          <t>SPAK SP Equity</t>
        </is>
      </c>
      <c r="B398" s="16" t="inlineStr">
        <is>
          <t>Southern Packaging Group Ltd</t>
        </is>
      </c>
      <c r="C398" s="17" t="n">
        <v>23205338.31</v>
      </c>
      <c r="D398" s="16" t="inlineStr">
        <is>
          <t>Materials</t>
        </is>
      </c>
      <c r="E398" s="16" t="inlineStr">
        <is>
          <t>Singapore</t>
        </is>
      </c>
    </row>
    <row r="399">
      <c r="A399" s="16" t="inlineStr">
        <is>
          <t>SERIAL SP Equity</t>
        </is>
      </c>
      <c r="B399" s="16" t="inlineStr">
        <is>
          <t>SERIAL ACHIEVA Ltd</t>
        </is>
      </c>
      <c r="C399" s="17" t="n">
        <v>23084290.097</v>
      </c>
      <c r="D399" s="16" t="inlineStr">
        <is>
          <t>Industrials</t>
        </is>
      </c>
      <c r="E399" s="16" t="inlineStr">
        <is>
          <t>Singapore</t>
        </is>
      </c>
    </row>
    <row r="400">
      <c r="A400" s="16" t="inlineStr">
        <is>
          <t>ADI SP Equity</t>
        </is>
      </c>
      <c r="B400" s="16" t="inlineStr">
        <is>
          <t>Abundance International Ltd</t>
        </is>
      </c>
      <c r="C400" s="17" t="n">
        <v>23070396.708</v>
      </c>
      <c r="D400" s="16" t="inlineStr">
        <is>
          <t>Industrials</t>
        </is>
      </c>
      <c r="E400" s="16" t="inlineStr">
        <is>
          <t>Singapore</t>
        </is>
      </c>
    </row>
    <row r="401">
      <c r="A401" s="16" t="inlineStr">
        <is>
          <t>LGH SP Equity</t>
        </is>
      </c>
      <c r="B401" s="16" t="inlineStr">
        <is>
          <t>Leong Guan Holdings Ltd</t>
        </is>
      </c>
      <c r="C401" s="17" t="n">
        <v>22774500</v>
      </c>
      <c r="D401" s="16" t="e">
        <v>#N/A</v>
      </c>
      <c r="E401" s="16" t="inlineStr">
        <is>
          <t>Singapore</t>
        </is>
      </c>
    </row>
    <row r="402">
      <c r="A402" s="16" t="inlineStr">
        <is>
          <t>CHEN SP Equity</t>
        </is>
      </c>
      <c r="B402" s="16" t="inlineStr">
        <is>
          <t>Khen Energy Ltd</t>
        </is>
      </c>
      <c r="C402" s="17" t="n">
        <v>22361093.77365062</v>
      </c>
      <c r="D402" s="16" t="inlineStr">
        <is>
          <t>Utilities</t>
        </is>
      </c>
      <c r="E402" s="16" t="inlineStr">
        <is>
          <t>Singapore</t>
        </is>
      </c>
    </row>
    <row r="403">
      <c r="A403" s="16" t="inlineStr">
        <is>
          <t>TYE SP Equity</t>
        </is>
      </c>
      <c r="B403" s="16" t="inlineStr">
        <is>
          <t>Tye Soon Ltd</t>
        </is>
      </c>
      <c r="C403" s="17" t="n">
        <v>22252582.395</v>
      </c>
      <c r="D403" s="16" t="inlineStr">
        <is>
          <t>Consumer Discretionary</t>
        </is>
      </c>
      <c r="E403" s="16" t="inlineStr">
        <is>
          <t>Singapore</t>
        </is>
      </c>
    </row>
    <row r="404">
      <c r="A404" s="16" t="inlineStr">
        <is>
          <t>BHGM SP Equity</t>
        </is>
      </c>
      <c r="B404" s="16" t="inlineStr">
        <is>
          <t>BH Global Corp Ltd</t>
        </is>
      </c>
      <c r="C404" s="17" t="n">
        <v>22199999.408</v>
      </c>
      <c r="D404" s="16" t="inlineStr">
        <is>
          <t>Industrials</t>
        </is>
      </c>
      <c r="E404" s="16" t="inlineStr">
        <is>
          <t>Singapore</t>
        </is>
      </c>
    </row>
    <row r="405">
      <c r="A405" s="16" t="inlineStr">
        <is>
          <t>GRN SP Equity</t>
        </is>
      </c>
      <c r="B405" s="16" t="inlineStr">
        <is>
          <t>UOB APAC Green REIT ETF</t>
        </is>
      </c>
      <c r="C405" s="17" t="n">
        <v>22113695.57521721</v>
      </c>
      <c r="D405" s="16" t="e">
        <v>#N/A</v>
      </c>
      <c r="E405" s="16" t="inlineStr">
        <is>
          <t>Singapore</t>
        </is>
      </c>
    </row>
    <row r="406">
      <c r="A406" s="16" t="inlineStr">
        <is>
          <t>TUNG SP Equity</t>
        </is>
      </c>
      <c r="B406" s="16" t="inlineStr">
        <is>
          <t>Tung Lok Restaurants 2000 Ltd</t>
        </is>
      </c>
      <c r="C406" s="17" t="n">
        <v>21952000</v>
      </c>
      <c r="D406" s="16" t="inlineStr">
        <is>
          <t>Consumer Discretionary</t>
        </is>
      </c>
      <c r="E406" s="16" t="inlineStr">
        <is>
          <t>Singapore</t>
        </is>
      </c>
    </row>
    <row r="407">
      <c r="A407" s="16" t="inlineStr">
        <is>
          <t>ZICO SP Equity</t>
        </is>
      </c>
      <c r="B407" s="16" t="inlineStr">
        <is>
          <t>Zico Holdings Inc</t>
        </is>
      </c>
      <c r="C407" s="17" t="n">
        <v>21799916.858</v>
      </c>
      <c r="D407" s="16" t="inlineStr">
        <is>
          <t>Industrials</t>
        </is>
      </c>
      <c r="E407" s="16" t="inlineStr">
        <is>
          <t>Singapore</t>
        </is>
      </c>
    </row>
    <row r="408">
      <c r="A408" s="16" t="inlineStr">
        <is>
          <t>ASPEN SP Equity</t>
        </is>
      </c>
      <c r="B408" s="16" t="inlineStr">
        <is>
          <t>Aspen Group Holdings Ltd</t>
        </is>
      </c>
      <c r="C408" s="17" t="n">
        <v>21665391.39574075</v>
      </c>
      <c r="D408" s="16" t="inlineStr">
        <is>
          <t>Real Estate</t>
        </is>
      </c>
      <c r="E408" s="16" t="inlineStr">
        <is>
          <t>Singapore</t>
        </is>
      </c>
    </row>
    <row r="409">
      <c r="A409" s="16" t="inlineStr">
        <is>
          <t>APOIL SP Equity</t>
        </is>
      </c>
      <c r="B409" s="16" t="inlineStr">
        <is>
          <t>AP Oil International Ltd</t>
        </is>
      </c>
      <c r="C409" s="17" t="n">
        <v>21388830.57546234</v>
      </c>
      <c r="D409" s="16" t="inlineStr">
        <is>
          <t>Materials</t>
        </is>
      </c>
      <c r="E409" s="16" t="inlineStr">
        <is>
          <t>Singapore</t>
        </is>
      </c>
    </row>
    <row r="410">
      <c r="A410" s="16" t="inlineStr">
        <is>
          <t>AMAT SP Equity</t>
        </is>
      </c>
      <c r="B410" s="16" t="inlineStr">
        <is>
          <t>AsiaMedic Ltd</t>
        </is>
      </c>
      <c r="C410" s="17" t="n">
        <v>20835400.86</v>
      </c>
      <c r="D410" s="16" t="inlineStr">
        <is>
          <t>Health Care</t>
        </is>
      </c>
      <c r="E410" s="16" t="inlineStr">
        <is>
          <t>Singapore</t>
        </is>
      </c>
    </row>
    <row r="411">
      <c r="A411" s="16" t="inlineStr">
        <is>
          <t>ASTA SP Equity</t>
        </is>
      </c>
      <c r="B411" s="16" t="inlineStr">
        <is>
          <t>Astaka Holdings Ltd</t>
        </is>
      </c>
      <c r="C411" s="17" t="n">
        <v>20563778.07957303</v>
      </c>
      <c r="D411" s="16" t="inlineStr">
        <is>
          <t>Real Estate</t>
        </is>
      </c>
      <c r="E411" s="16" t="inlineStr">
        <is>
          <t>Singapore</t>
        </is>
      </c>
    </row>
    <row r="412">
      <c r="A412" s="16" t="inlineStr">
        <is>
          <t>NOEL SP Equity</t>
        </is>
      </c>
      <c r="B412" s="16" t="inlineStr">
        <is>
          <t>Noel Gifts International Ltd</t>
        </is>
      </c>
      <c r="C412" s="17" t="n">
        <v>20495204.8</v>
      </c>
      <c r="D412" s="16" t="inlineStr">
        <is>
          <t>Consumer Discretionary</t>
        </is>
      </c>
      <c r="E412" s="16" t="inlineStr">
        <is>
          <t>Singapore</t>
        </is>
      </c>
    </row>
    <row r="413">
      <c r="A413" s="16" t="inlineStr">
        <is>
          <t>HOSEN SP Equity</t>
        </is>
      </c>
      <c r="B413" s="16" t="inlineStr">
        <is>
          <t>Hosen Group Ltd</t>
        </is>
      </c>
      <c r="C413" s="17" t="n">
        <v>20468753.62721519</v>
      </c>
      <c r="D413" s="16" t="inlineStr">
        <is>
          <t>Consumer Staples</t>
        </is>
      </c>
      <c r="E413" s="16" t="inlineStr">
        <is>
          <t>Singapore</t>
        </is>
      </c>
    </row>
    <row r="414">
      <c r="A414" s="16" t="inlineStr">
        <is>
          <t>DAG SP Equity</t>
        </is>
      </c>
      <c r="B414" s="16" t="inlineStr">
        <is>
          <t>UpHealth Group Ltd</t>
        </is>
      </c>
      <c r="C414" s="17" t="n">
        <v>20437087.2</v>
      </c>
      <c r="D414" s="16" t="inlineStr">
        <is>
          <t>Consumer Staples</t>
        </is>
      </c>
      <c r="E414" s="16" t="inlineStr">
        <is>
          <t>Singapore</t>
        </is>
      </c>
    </row>
    <row r="415">
      <c r="A415" s="16" t="inlineStr">
        <is>
          <t>BC SP Equity</t>
        </is>
      </c>
      <c r="B415" s="16" t="inlineStr">
        <is>
          <t>Brook Crompton Holdings Ltd</t>
        </is>
      </c>
      <c r="C415" s="17" t="n">
        <v>20211526.26</v>
      </c>
      <c r="D415" s="16" t="inlineStr">
        <is>
          <t>Industrials</t>
        </is>
      </c>
      <c r="E415" s="16" t="inlineStr">
        <is>
          <t>Singapore</t>
        </is>
      </c>
    </row>
    <row r="416">
      <c r="A416" s="16" t="inlineStr">
        <is>
          <t>PAV SP Equity</t>
        </is>
      </c>
      <c r="B416" s="16" t="inlineStr">
        <is>
          <t>Pavillon Holdings Ltd</t>
        </is>
      </c>
      <c r="C416" s="17" t="n">
        <v>20089541.64</v>
      </c>
      <c r="D416" s="16" t="inlineStr">
        <is>
          <t>Consumer Discretionary</t>
        </is>
      </c>
      <c r="E416" s="16" t="inlineStr">
        <is>
          <t>Singapore</t>
        </is>
      </c>
    </row>
    <row r="417">
      <c r="A417" s="16" t="inlineStr">
        <is>
          <t>ABUNT SP Equity</t>
        </is>
      </c>
      <c r="B417" s="16" t="inlineStr">
        <is>
          <t>Abundante Ltd</t>
        </is>
      </c>
      <c r="C417" s="17" t="n">
        <v>20023833.6</v>
      </c>
      <c r="D417" s="16" t="inlineStr">
        <is>
          <t>Industrials</t>
        </is>
      </c>
      <c r="E417" s="16" t="inlineStr">
        <is>
          <t>Singapore</t>
        </is>
      </c>
    </row>
    <row r="418">
      <c r="A418" s="16" t="inlineStr">
        <is>
          <t>SMOON SP Equity</t>
        </is>
      </c>
      <c r="B418" s="16" t="inlineStr">
        <is>
          <t>Sunmoon Food Co Ltd</t>
        </is>
      </c>
      <c r="C418" s="17" t="n">
        <v>19871996.49832152</v>
      </c>
      <c r="D418" s="16" t="inlineStr">
        <is>
          <t>Consumer Staples</t>
        </is>
      </c>
      <c r="E418" s="16" t="inlineStr">
        <is>
          <t>Singapore</t>
        </is>
      </c>
    </row>
    <row r="419">
      <c r="A419" s="16" t="inlineStr">
        <is>
          <t>LAP SP Equity</t>
        </is>
      </c>
      <c r="B419" s="16" t="inlineStr">
        <is>
          <t>Lion Asiapac Ltd</t>
        </is>
      </c>
      <c r="C419" s="17" t="n">
        <v>19870612.44173658</v>
      </c>
      <c r="D419" s="16" t="inlineStr">
        <is>
          <t>Materials</t>
        </is>
      </c>
      <c r="E419" s="16" t="inlineStr">
        <is>
          <t>Singapore</t>
        </is>
      </c>
    </row>
    <row r="420">
      <c r="A420" s="16" t="inlineStr">
        <is>
          <t>BMH SP Equity</t>
        </is>
      </c>
      <c r="B420" s="16" t="inlineStr">
        <is>
          <t>British and Malayan Holdings L</t>
        </is>
      </c>
      <c r="C420" s="17" t="n">
        <v>19705680</v>
      </c>
      <c r="D420" s="16" t="inlineStr">
        <is>
          <t>Financials</t>
        </is>
      </c>
      <c r="E420" s="16" t="inlineStr">
        <is>
          <t>Singapore</t>
        </is>
      </c>
    </row>
    <row r="421">
      <c r="A421" s="16" t="inlineStr">
        <is>
          <t>NATC SP Equity</t>
        </is>
      </c>
      <c r="B421" s="16" t="inlineStr">
        <is>
          <t>Natural Cool Holdings Ltd</t>
        </is>
      </c>
      <c r="C421" s="17" t="n">
        <v>19284494.845</v>
      </c>
      <c r="D421" s="16" t="inlineStr">
        <is>
          <t>Industrials</t>
        </is>
      </c>
      <c r="E421" s="16" t="inlineStr">
        <is>
          <t>Singapore</t>
        </is>
      </c>
    </row>
    <row r="422">
      <c r="A422" s="16" t="inlineStr">
        <is>
          <t>TRICKLE SP Equity</t>
        </is>
      </c>
      <c r="B422" s="16" t="inlineStr">
        <is>
          <t>Tricklestar Pte Ltd</t>
        </is>
      </c>
      <c r="C422" s="17" t="n">
        <v>19272212.68772659</v>
      </c>
      <c r="D422" s="16" t="inlineStr">
        <is>
          <t>Information Technology</t>
        </is>
      </c>
      <c r="E422" s="16" t="inlineStr">
        <is>
          <t>Singapore</t>
        </is>
      </c>
    </row>
    <row r="423">
      <c r="A423" s="16" t="inlineStr">
        <is>
          <t>SUNL SP Equity</t>
        </is>
      </c>
      <c r="B423" s="16" t="inlineStr">
        <is>
          <t>H2G Green Ltd</t>
        </is>
      </c>
      <c r="C423" s="17" t="n">
        <v>19091710.576</v>
      </c>
      <c r="D423" s="16" t="inlineStr">
        <is>
          <t>Industrials</t>
        </is>
      </c>
      <c r="E423" s="16" t="inlineStr">
        <is>
          <t>Singapore</t>
        </is>
      </c>
    </row>
    <row r="424">
      <c r="A424" s="16" t="inlineStr">
        <is>
          <t>PRSP SP Equity</t>
        </is>
      </c>
      <c r="B424" s="16" t="inlineStr">
        <is>
          <t>Prospera Global Ltd</t>
        </is>
      </c>
      <c r="C424" s="17" t="n">
        <v>19050687.05702748</v>
      </c>
      <c r="D424" s="16" t="inlineStr">
        <is>
          <t>Financials</t>
        </is>
      </c>
      <c r="E424" s="16" t="inlineStr">
        <is>
          <t>Singapore</t>
        </is>
      </c>
    </row>
    <row r="425">
      <c r="A425" s="16" t="inlineStr">
        <is>
          <t>JFOOD SP Equity</t>
        </is>
      </c>
      <c r="B425" s="16" t="inlineStr">
        <is>
          <t>Japan Foods Holding Ltd</t>
        </is>
      </c>
      <c r="C425" s="17" t="n">
        <v>18758109.6</v>
      </c>
      <c r="D425" s="16" t="inlineStr">
        <is>
          <t>Consumer Discretionary</t>
        </is>
      </c>
      <c r="E425" s="16" t="inlineStr">
        <is>
          <t>Singapore</t>
        </is>
      </c>
    </row>
    <row r="426">
      <c r="A426" s="16" t="inlineStr">
        <is>
          <t>OUHUA SP Equity</t>
        </is>
      </c>
      <c r="B426" s="16" t="inlineStr">
        <is>
          <t>Ouhua Energy Holdings Ltd</t>
        </is>
      </c>
      <c r="C426" s="17" t="n">
        <v>18647555</v>
      </c>
      <c r="D426" s="16" t="inlineStr">
        <is>
          <t>Energy</t>
        </is>
      </c>
      <c r="E426" s="16" t="inlineStr">
        <is>
          <t>Singapore</t>
        </is>
      </c>
    </row>
    <row r="427">
      <c r="A427" s="16" t="inlineStr">
        <is>
          <t>LCL SP Equity</t>
        </is>
      </c>
      <c r="B427" s="16" t="inlineStr">
        <is>
          <t>LY Corp Ltd</t>
        </is>
      </c>
      <c r="C427" s="17" t="n">
        <v>18574369.6</v>
      </c>
      <c r="D427" s="16" t="inlineStr">
        <is>
          <t>Consumer Discretionary</t>
        </is>
      </c>
      <c r="E427" s="16" t="inlineStr">
        <is>
          <t>Singapore</t>
        </is>
      </c>
    </row>
    <row r="428">
      <c r="A428" s="16" t="inlineStr">
        <is>
          <t>PANH SP Equity</t>
        </is>
      </c>
      <c r="B428" s="16" t="inlineStr">
        <is>
          <t>Pan Hong Holdings Group Ltd</t>
        </is>
      </c>
      <c r="C428" s="17" t="n">
        <v>18443196.864</v>
      </c>
      <c r="D428" s="16" t="inlineStr">
        <is>
          <t>Real Estate</t>
        </is>
      </c>
      <c r="E428" s="16" t="inlineStr">
        <is>
          <t>Singapore</t>
        </is>
      </c>
    </row>
    <row r="429">
      <c r="A429" s="16" t="inlineStr">
        <is>
          <t>LET SP Equity</t>
        </is>
      </c>
      <c r="B429" s="16" t="inlineStr">
        <is>
          <t>Leader Environmental Technolog</t>
        </is>
      </c>
      <c r="C429" s="17" t="n">
        <v>18418540.32</v>
      </c>
      <c r="D429" s="16" t="inlineStr">
        <is>
          <t>Industrials</t>
        </is>
      </c>
      <c r="E429" s="16" t="inlineStr">
        <is>
          <t>Singapore</t>
        </is>
      </c>
    </row>
    <row r="430">
      <c r="A430" s="16" t="inlineStr">
        <is>
          <t>SAPP SP Equity</t>
        </is>
      </c>
      <c r="B430" s="16" t="inlineStr">
        <is>
          <t>Sapphire Corp Ltd</t>
        </is>
      </c>
      <c r="C430" s="17" t="n">
        <v>17933955.292</v>
      </c>
      <c r="D430" s="16" t="inlineStr">
        <is>
          <t>Industrials</t>
        </is>
      </c>
      <c r="E430" s="16" t="inlineStr">
        <is>
          <t>Singapore</t>
        </is>
      </c>
    </row>
    <row r="431">
      <c r="A431" s="16" t="inlineStr">
        <is>
          <t>LETREE SP Equity</t>
        </is>
      </c>
      <c r="B431" s="16" t="inlineStr">
        <is>
          <t>Le Tree Holdings Ltd</t>
        </is>
      </c>
      <c r="C431" s="17" t="n">
        <v>17292816.136</v>
      </c>
      <c r="D431" s="16" t="inlineStr">
        <is>
          <t>Materials</t>
        </is>
      </c>
      <c r="E431" s="16" t="inlineStr">
        <is>
          <t>Singapore</t>
        </is>
      </c>
    </row>
    <row r="432">
      <c r="A432" s="16" t="inlineStr">
        <is>
          <t>POL SP Equity</t>
        </is>
      </c>
      <c r="B432" s="16" t="inlineStr">
        <is>
          <t>Polaris Ltd</t>
        </is>
      </c>
      <c r="C432" s="17" t="n">
        <v>17053169.818</v>
      </c>
      <c r="D432" s="16" t="inlineStr">
        <is>
          <t>Consumer Discretionary</t>
        </is>
      </c>
      <c r="E432" s="16" t="inlineStr">
        <is>
          <t>Singapore</t>
        </is>
      </c>
    </row>
    <row r="433">
      <c r="A433" s="16" t="inlineStr">
        <is>
          <t>INCSGD SP Equity</t>
        </is>
      </c>
      <c r="B433" s="16" t="inlineStr">
        <is>
          <t>Lion-China Merchants CSI Divid</t>
        </is>
      </c>
      <c r="C433" s="17" t="n">
        <v>16930395.32751072</v>
      </c>
      <c r="D433" s="16" t="e">
        <v>#N/A</v>
      </c>
      <c r="E433" s="16" t="inlineStr">
        <is>
          <t>Singapore</t>
        </is>
      </c>
    </row>
    <row r="434">
      <c r="A434" s="16" t="inlineStr">
        <is>
          <t>KHLL SP Equity</t>
        </is>
      </c>
      <c r="B434" s="16" t="inlineStr">
        <is>
          <t>Kori Holdings Ltd</t>
        </is>
      </c>
      <c r="C434" s="17" t="n">
        <v>16368000</v>
      </c>
      <c r="D434" s="16" t="inlineStr">
        <is>
          <t>Industrials</t>
        </is>
      </c>
      <c r="E434" s="16" t="inlineStr">
        <is>
          <t>Singapore</t>
        </is>
      </c>
    </row>
    <row r="435">
      <c r="A435" s="16" t="inlineStr">
        <is>
          <t>MSE SP Equity</t>
        </is>
      </c>
      <c r="B435" s="16" t="inlineStr">
        <is>
          <t>Mun Siong Engineering Ltd</t>
        </is>
      </c>
      <c r="C435" s="17" t="n">
        <v>16282347.2</v>
      </c>
      <c r="D435" s="16" t="inlineStr">
        <is>
          <t>Industrials</t>
        </is>
      </c>
      <c r="E435" s="16" t="inlineStr">
        <is>
          <t>Singapore</t>
        </is>
      </c>
    </row>
    <row r="436">
      <c r="A436" s="16" t="inlineStr">
        <is>
          <t>CAPI SP Equity</t>
        </is>
      </c>
      <c r="B436" s="16" t="inlineStr">
        <is>
          <t>Capital World Ltd</t>
        </is>
      </c>
      <c r="C436" s="17" t="n">
        <v>16099980.426</v>
      </c>
      <c r="D436" s="16" t="inlineStr">
        <is>
          <t>Real Estate</t>
        </is>
      </c>
      <c r="E436" s="16" t="inlineStr">
        <is>
          <t>Singapore</t>
        </is>
      </c>
    </row>
    <row r="437">
      <c r="A437" s="16" t="inlineStr">
        <is>
          <t>LSHL SP Equity</t>
        </is>
      </c>
      <c r="B437" s="16" t="inlineStr">
        <is>
          <t>LS 2 Holdings Ltd</t>
        </is>
      </c>
      <c r="C437" s="17" t="n">
        <v>16094999.53687191</v>
      </c>
      <c r="D437" s="16" t="inlineStr">
        <is>
          <t>Industrials</t>
        </is>
      </c>
      <c r="E437" s="16" t="inlineStr">
        <is>
          <t>Singapore</t>
        </is>
      </c>
    </row>
    <row r="438">
      <c r="A438" s="16" t="inlineStr">
        <is>
          <t>YGR SP Equity</t>
        </is>
      </c>
      <c r="B438" s="16" t="inlineStr">
        <is>
          <t>Yamada Green Resources Ltd</t>
        </is>
      </c>
      <c r="C438" s="17" t="n">
        <v>15886634.76</v>
      </c>
      <c r="D438" s="16" t="inlineStr">
        <is>
          <t>Consumer Staples</t>
        </is>
      </c>
      <c r="E438" s="16" t="inlineStr">
        <is>
          <t>Singapore</t>
        </is>
      </c>
    </row>
    <row r="439">
      <c r="A439" s="16" t="inlineStr">
        <is>
          <t>CDW SP Equity</t>
        </is>
      </c>
      <c r="B439" s="16" t="inlineStr">
        <is>
          <t>CDW Holding Ltd</t>
        </is>
      </c>
      <c r="C439" s="17" t="n">
        <v>15784118.62720048</v>
      </c>
      <c r="D439" s="16" t="inlineStr">
        <is>
          <t>Information Technology</t>
        </is>
      </c>
      <c r="E439" s="16" t="inlineStr">
        <is>
          <t>Singapore</t>
        </is>
      </c>
    </row>
    <row r="440">
      <c r="A440" s="16" t="inlineStr">
        <is>
          <t>JMG SP Equity</t>
        </is>
      </c>
      <c r="B440" s="16" t="inlineStr">
        <is>
          <t>Jason Marine Group Ltd</t>
        </is>
      </c>
      <c r="C440" s="17" t="n">
        <v>15695985</v>
      </c>
      <c r="D440" s="16" t="inlineStr">
        <is>
          <t>Information Technology</t>
        </is>
      </c>
      <c r="E440" s="16" t="inlineStr">
        <is>
          <t>Singapore</t>
        </is>
      </c>
    </row>
    <row r="441">
      <c r="A441" s="16" t="inlineStr">
        <is>
          <t>ADV SP Equity</t>
        </is>
      </c>
      <c r="B441" s="16" t="inlineStr">
        <is>
          <t>Advanced Holdings Ltd</t>
        </is>
      </c>
      <c r="C441" s="17" t="n">
        <v>15595328.518</v>
      </c>
      <c r="D441" s="16" t="inlineStr">
        <is>
          <t>Energy</t>
        </is>
      </c>
      <c r="E441" s="16" t="inlineStr">
        <is>
          <t>Singapore</t>
        </is>
      </c>
    </row>
    <row r="442">
      <c r="A442" s="16" t="inlineStr">
        <is>
          <t>ANIK SP Equity</t>
        </is>
      </c>
      <c r="B442" s="16" t="inlineStr">
        <is>
          <t>AnnAik Ltd</t>
        </is>
      </c>
      <c r="C442" s="17" t="n">
        <v>15580095.20013299</v>
      </c>
      <c r="D442" s="16" t="inlineStr">
        <is>
          <t>Materials</t>
        </is>
      </c>
      <c r="E442" s="16" t="inlineStr">
        <is>
          <t>Singapore</t>
        </is>
      </c>
    </row>
    <row r="443">
      <c r="A443" s="16" t="inlineStr">
        <is>
          <t>SCY SP Equity</t>
        </is>
      </c>
      <c r="B443" s="16" t="inlineStr">
        <is>
          <t>CSOP CSI STAR and CHINEXT 50 I</t>
        </is>
      </c>
      <c r="C443" s="17" t="n">
        <v>15363311.89001976</v>
      </c>
      <c r="D443" s="16" t="e">
        <v>#N/A</v>
      </c>
      <c r="E443" s="16" t="inlineStr">
        <is>
          <t>Singapore</t>
        </is>
      </c>
    </row>
    <row r="444">
      <c r="A444" s="16" t="inlineStr">
        <is>
          <t>LHH SP Equity</t>
        </is>
      </c>
      <c r="B444" s="16" t="inlineStr">
        <is>
          <t>Livingstone Health Holdings Lt</t>
        </is>
      </c>
      <c r="C444" s="17" t="n">
        <v>15362767.16553846</v>
      </c>
      <c r="D444" s="16" t="inlineStr">
        <is>
          <t>Health Care</t>
        </is>
      </c>
      <c r="E444" s="16" t="inlineStr">
        <is>
          <t>Singapore</t>
        </is>
      </c>
    </row>
    <row r="445">
      <c r="A445" s="16" t="inlineStr">
        <is>
          <t>AIH SP Equity</t>
        </is>
      </c>
      <c r="B445" s="16" t="inlineStr">
        <is>
          <t>Anchun International Holdings</t>
        </is>
      </c>
      <c r="C445" s="17" t="n">
        <v>15295797</v>
      </c>
      <c r="D445" s="16" t="inlineStr">
        <is>
          <t>Industrials</t>
        </is>
      </c>
      <c r="E445" s="16" t="inlineStr">
        <is>
          <t>Singapore</t>
        </is>
      </c>
    </row>
    <row r="446">
      <c r="A446" s="16" t="inlineStr">
        <is>
          <t>AMPF SP Equity</t>
        </is>
      </c>
      <c r="B446" s="16" t="inlineStr">
        <is>
          <t>Amplefield Ltd</t>
        </is>
      </c>
      <c r="C446" s="17" t="n">
        <v>15268014.24174647</v>
      </c>
      <c r="D446" s="16" t="inlineStr">
        <is>
          <t>Real Estate</t>
        </is>
      </c>
      <c r="E446" s="16" t="inlineStr">
        <is>
          <t>Singapore</t>
        </is>
      </c>
    </row>
    <row r="447">
      <c r="A447" s="16" t="inlineStr">
        <is>
          <t>HOE SP Equity</t>
        </is>
      </c>
      <c r="B447" s="16" t="inlineStr">
        <is>
          <t>Hoe Leong Corp Ltd</t>
        </is>
      </c>
      <c r="C447" s="17" t="n">
        <v>15178851.992</v>
      </c>
      <c r="D447" s="16" t="inlineStr">
        <is>
          <t>Industrials</t>
        </is>
      </c>
      <c r="E447" s="16" t="inlineStr">
        <is>
          <t>Singapore</t>
        </is>
      </c>
    </row>
    <row r="448">
      <c r="A448" s="16" t="inlineStr">
        <is>
          <t>CENR SP Equity</t>
        </is>
      </c>
      <c r="B448" s="16" t="inlineStr">
        <is>
          <t>Metech International Ltd</t>
        </is>
      </c>
      <c r="C448" s="17" t="n">
        <v>14670366.56847298</v>
      </c>
      <c r="D448" s="16" t="inlineStr">
        <is>
          <t>Health Care</t>
        </is>
      </c>
      <c r="E448" s="16" t="inlineStr">
        <is>
          <t>Singapore</t>
        </is>
      </c>
    </row>
    <row r="449">
      <c r="A449" s="16" t="inlineStr">
        <is>
          <t>FUXC SP Equity</t>
        </is>
      </c>
      <c r="B449" s="16" t="inlineStr">
        <is>
          <t>Fuxing China Group Ltd</t>
        </is>
      </c>
      <c r="C449" s="17" t="n">
        <v>14637276.94</v>
      </c>
      <c r="D449" s="16" t="inlineStr">
        <is>
          <t>Consumer Discretionary</t>
        </is>
      </c>
      <c r="E449" s="16" t="inlineStr">
        <is>
          <t>Singapore</t>
        </is>
      </c>
    </row>
    <row r="450">
      <c r="A450" s="16" t="inlineStr">
        <is>
          <t>KOYO SP Equity</t>
        </is>
      </c>
      <c r="B450" s="16" t="inlineStr">
        <is>
          <t>Koyo International Ltd</t>
        </is>
      </c>
      <c r="C450" s="17" t="n">
        <v>14616409.269</v>
      </c>
      <c r="D450" s="16" t="inlineStr">
        <is>
          <t>Industrials</t>
        </is>
      </c>
      <c r="E450" s="16" t="inlineStr">
        <is>
          <t>Singapore</t>
        </is>
      </c>
    </row>
    <row r="451">
      <c r="A451" s="16" t="inlineStr">
        <is>
          <t>ATCO SP Equity</t>
        </is>
      </c>
      <c r="B451" s="16" t="inlineStr">
        <is>
          <t>Autagco Ltd</t>
        </is>
      </c>
      <c r="C451" s="17" t="n">
        <v>14434184.21237083</v>
      </c>
      <c r="D451" s="16" t="inlineStr">
        <is>
          <t>Consumer Discretionary</t>
        </is>
      </c>
      <c r="E451" s="16" t="inlineStr">
        <is>
          <t>Singapore</t>
        </is>
      </c>
    </row>
    <row r="452">
      <c r="A452" s="16" t="inlineStr">
        <is>
          <t>VND SP Equity</t>
        </is>
      </c>
      <c r="B452" s="16" t="inlineStr">
        <is>
          <t>CGS Fullgoal Vietnam 30 Sector</t>
        </is>
      </c>
      <c r="C452" s="17" t="n">
        <v>14418893.4912</v>
      </c>
      <c r="D452" s="16" t="e">
        <v>#N/A</v>
      </c>
      <c r="E452" s="16" t="inlineStr">
        <is>
          <t>Singapore</t>
        </is>
      </c>
    </row>
    <row r="453">
      <c r="A453" s="16" t="inlineStr">
        <is>
          <t>TEHO SP Equity</t>
        </is>
      </c>
      <c r="B453" s="16" t="inlineStr">
        <is>
          <t>Teho International Inc Ltd</t>
        </is>
      </c>
      <c r="C453" s="17" t="n">
        <v>14391401.454</v>
      </c>
      <c r="D453" s="16" t="inlineStr">
        <is>
          <t>Industrials</t>
        </is>
      </c>
      <c r="E453" s="16" t="inlineStr">
        <is>
          <t>Singapore</t>
        </is>
      </c>
    </row>
    <row r="454">
      <c r="A454" s="16" t="inlineStr">
        <is>
          <t>RAD SP Equity</t>
        </is>
      </c>
      <c r="B454" s="16" t="inlineStr">
        <is>
          <t>Global Invacom Group Ltd</t>
        </is>
      </c>
      <c r="C454" s="17" t="n">
        <v>14262266.96072124</v>
      </c>
      <c r="D454" s="16" t="inlineStr">
        <is>
          <t>Information Technology</t>
        </is>
      </c>
      <c r="E454" s="16" t="inlineStr">
        <is>
          <t>Singapore</t>
        </is>
      </c>
    </row>
    <row r="455">
      <c r="A455" s="16" t="inlineStr">
        <is>
          <t>DISA SP Equity</t>
        </is>
      </c>
      <c r="B455" s="16" t="inlineStr">
        <is>
          <t>Disa Ltd</t>
        </is>
      </c>
      <c r="C455" s="17" t="n">
        <v>14089804.08622975</v>
      </c>
      <c r="D455" s="16" t="inlineStr">
        <is>
          <t>Information Technology</t>
        </is>
      </c>
      <c r="E455" s="16" t="inlineStr">
        <is>
          <t>Singapore</t>
        </is>
      </c>
    </row>
    <row r="456">
      <c r="A456" s="16" t="inlineStr">
        <is>
          <t>ECW SP Equity</t>
        </is>
      </c>
      <c r="B456" s="16" t="inlineStr">
        <is>
          <t>ecoWise Holdings Ltd</t>
        </is>
      </c>
      <c r="C456" s="17" t="n">
        <v>13786148.748</v>
      </c>
      <c r="D456" s="16" t="inlineStr">
        <is>
          <t>Industrials</t>
        </is>
      </c>
      <c r="E456" s="16" t="inlineStr">
        <is>
          <t>Singapore</t>
        </is>
      </c>
    </row>
    <row r="457">
      <c r="A457" s="16" t="inlineStr">
        <is>
          <t>JLJ SP Equity</t>
        </is>
      </c>
      <c r="B457" s="16" t="inlineStr">
        <is>
          <t>Jubilee Industries Holdings Lt</t>
        </is>
      </c>
      <c r="C457" s="17" t="n">
        <v>13663589.0030262</v>
      </c>
      <c r="D457" s="16" t="inlineStr">
        <is>
          <t>Information Technology</t>
        </is>
      </c>
      <c r="E457" s="16" t="inlineStr">
        <is>
          <t>Singapore</t>
        </is>
      </c>
    </row>
    <row r="458">
      <c r="A458" s="16" t="inlineStr">
        <is>
          <t>QIAN SP Equity</t>
        </is>
      </c>
      <c r="B458" s="16" t="inlineStr">
        <is>
          <t>Qian Hu Corp Ltd</t>
        </is>
      </c>
      <c r="C458" s="17" t="n">
        <v>13623176.04</v>
      </c>
      <c r="D458" s="16" t="inlineStr">
        <is>
          <t>Consumer Discretionary</t>
        </is>
      </c>
      <c r="E458" s="16" t="inlineStr">
        <is>
          <t>Singapore</t>
        </is>
      </c>
    </row>
    <row r="459">
      <c r="A459" s="16" t="inlineStr">
        <is>
          <t>FEG SP Equity</t>
        </is>
      </c>
      <c r="B459" s="16" t="inlineStr">
        <is>
          <t>Far East Group Ltd</t>
        </is>
      </c>
      <c r="C459" s="17" t="n">
        <v>13486902</v>
      </c>
      <c r="D459" s="16" t="inlineStr">
        <is>
          <t>Industrials</t>
        </is>
      </c>
      <c r="E459" s="16" t="inlineStr">
        <is>
          <t>Singapore</t>
        </is>
      </c>
    </row>
    <row r="460">
      <c r="A460" s="16" t="inlineStr">
        <is>
          <t>ACP SP Equity</t>
        </is>
      </c>
      <c r="B460" s="16" t="inlineStr">
        <is>
          <t>Acesian Partners Ltd</t>
        </is>
      </c>
      <c r="C460" s="17" t="n">
        <v>13234249.728</v>
      </c>
      <c r="D460" s="16" t="inlineStr">
        <is>
          <t>Industrials</t>
        </is>
      </c>
      <c r="E460" s="16" t="inlineStr">
        <is>
          <t>Singapore</t>
        </is>
      </c>
    </row>
    <row r="461">
      <c r="A461" s="16" t="inlineStr">
        <is>
          <t>ADVT SP Equity</t>
        </is>
      </c>
      <c r="B461" s="16" t="inlineStr">
        <is>
          <t>Adventus Holdings Ltd</t>
        </is>
      </c>
      <c r="C461" s="17" t="n">
        <v>13226477.324</v>
      </c>
      <c r="D461" s="16" t="inlineStr">
        <is>
          <t>Consumer Discretionary</t>
        </is>
      </c>
      <c r="E461" s="16" t="inlineStr">
        <is>
          <t>Singapore</t>
        </is>
      </c>
    </row>
    <row r="462">
      <c r="A462" s="16" t="inlineStr">
        <is>
          <t>TTGP SP Equity</t>
        </is>
      </c>
      <c r="B462" s="16" t="inlineStr">
        <is>
          <t>Tritech Group Ltd/Singapore</t>
        </is>
      </c>
      <c r="C462" s="17" t="n">
        <v>13179114.494</v>
      </c>
      <c r="D462" s="16" t="inlineStr">
        <is>
          <t>Industrials</t>
        </is>
      </c>
      <c r="E462" s="16" t="inlineStr">
        <is>
          <t>Singapore</t>
        </is>
      </c>
    </row>
    <row r="463">
      <c r="A463" s="16" t="inlineStr">
        <is>
          <t>IPSS SP Equity</t>
        </is>
      </c>
      <c r="B463" s="16" t="inlineStr">
        <is>
          <t>IPS Securex Holdings Ltd</t>
        </is>
      </c>
      <c r="C463" s="17" t="n">
        <v>13090790.7</v>
      </c>
      <c r="D463" s="16" t="inlineStr">
        <is>
          <t>Information Technology</t>
        </is>
      </c>
      <c r="E463" s="16" t="inlineStr">
        <is>
          <t>Singapore</t>
        </is>
      </c>
    </row>
    <row r="464">
      <c r="A464" s="16" t="inlineStr">
        <is>
          <t>KYB SP Equity</t>
        </is>
      </c>
      <c r="B464" s="16" t="inlineStr">
        <is>
          <t>Food Innovators Holdings Ltd</t>
        </is>
      </c>
      <c r="C464" s="17" t="n">
        <v>13000226.06</v>
      </c>
      <c r="D464" s="16" t="inlineStr">
        <is>
          <t>Consumer Discretionary</t>
        </is>
      </c>
      <c r="E464" s="16" t="inlineStr">
        <is>
          <t>Singapore</t>
        </is>
      </c>
    </row>
    <row r="465">
      <c r="A465" s="16" t="inlineStr">
        <is>
          <t>TCAH SP Equity</t>
        </is>
      </c>
      <c r="B465" s="16" t="inlineStr">
        <is>
          <t>Trans-China Automotive Holding</t>
        </is>
      </c>
      <c r="C465" s="17" t="n">
        <v>12937797.13134697</v>
      </c>
      <c r="D465" s="16" t="inlineStr">
        <is>
          <t>Consumer Discretionary</t>
        </is>
      </c>
      <c r="E465" s="16" t="inlineStr">
        <is>
          <t>Singapore</t>
        </is>
      </c>
    </row>
    <row r="466">
      <c r="A466" s="16" t="inlineStr">
        <is>
          <t>CBH SP Equity</t>
        </is>
      </c>
      <c r="B466" s="16" t="inlineStr">
        <is>
          <t>Clearbridge Health Ltd</t>
        </is>
      </c>
      <c r="C466" s="17" t="n">
        <v>12887462.474</v>
      </c>
      <c r="D466" s="16" t="inlineStr">
        <is>
          <t>Health Care</t>
        </is>
      </c>
      <c r="E466" s="16" t="inlineStr">
        <is>
          <t>Singapore</t>
        </is>
      </c>
    </row>
    <row r="467">
      <c r="A467" s="16" t="inlineStr">
        <is>
          <t>OSI SP Equity</t>
        </is>
      </c>
      <c r="B467" s="16" t="inlineStr">
        <is>
          <t>Ocean Sky International Ltd</t>
        </is>
      </c>
      <c r="C467" s="17" t="n">
        <v>12881546.49</v>
      </c>
      <c r="D467" s="16" t="inlineStr">
        <is>
          <t>Industrials</t>
        </is>
      </c>
      <c r="E467" s="16" t="inlineStr">
        <is>
          <t>Singapore</t>
        </is>
      </c>
    </row>
    <row r="468">
      <c r="A468" s="16" t="inlineStr">
        <is>
          <t>ZHS SP Equity</t>
        </is>
      </c>
      <c r="B468" s="16" t="inlineStr">
        <is>
          <t>Amova-ICBCSG China Bond Index</t>
        </is>
      </c>
      <c r="C468" s="17" t="n">
        <v>12819623.61223793</v>
      </c>
      <c r="D468" s="16" t="e">
        <v>#N/A</v>
      </c>
      <c r="E468" s="16" t="inlineStr">
        <is>
          <t>Singapore</t>
        </is>
      </c>
    </row>
    <row r="469">
      <c r="A469" s="16" t="inlineStr">
        <is>
          <t>QUANH SP Equity</t>
        </is>
      </c>
      <c r="B469" s="16" t="inlineStr">
        <is>
          <t>Quantum Healthcare Ltd</t>
        </is>
      </c>
      <c r="C469" s="17" t="n">
        <v>12587903.544</v>
      </c>
      <c r="D469" s="16" t="inlineStr">
        <is>
          <t>Health Care</t>
        </is>
      </c>
      <c r="E469" s="16" t="inlineStr">
        <is>
          <t>Singapore</t>
        </is>
      </c>
    </row>
    <row r="470">
      <c r="A470" s="16" t="inlineStr">
        <is>
          <t>NTM SP Equity</t>
        </is>
      </c>
      <c r="B470" s="16" t="inlineStr">
        <is>
          <t>NOONTALK MEDIA LTD</t>
        </is>
      </c>
      <c r="C470" s="17" t="n">
        <v>12433090.772</v>
      </c>
      <c r="D470" s="16" t="inlineStr">
        <is>
          <t>Communication Services</t>
        </is>
      </c>
      <c r="E470" s="16" t="inlineStr">
        <is>
          <t>Singapore</t>
        </is>
      </c>
    </row>
    <row r="471">
      <c r="A471" s="16" t="inlineStr">
        <is>
          <t>IPC SP Equity</t>
        </is>
      </c>
      <c r="B471" s="16" t="inlineStr">
        <is>
          <t>IPC Corp Ltd</t>
        </is>
      </c>
      <c r="C471" s="17" t="n">
        <v>12367323.325</v>
      </c>
      <c r="D471" s="16" t="inlineStr">
        <is>
          <t>Real Estate</t>
        </is>
      </c>
      <c r="E471" s="16" t="inlineStr">
        <is>
          <t>Singapore</t>
        </is>
      </c>
    </row>
    <row r="472">
      <c r="A472" s="16" t="inlineStr">
        <is>
          <t>NIP SP Equity</t>
        </is>
      </c>
      <c r="B472" s="16" t="inlineStr">
        <is>
          <t>Nippecraft Ltd</t>
        </is>
      </c>
      <c r="C472" s="17" t="n">
        <v>12298930</v>
      </c>
      <c r="D472" s="16" t="inlineStr">
        <is>
          <t>Industrials</t>
        </is>
      </c>
      <c r="E472" s="16" t="inlineStr">
        <is>
          <t>Singapore</t>
        </is>
      </c>
    </row>
    <row r="473">
      <c r="A473" s="16" t="inlineStr">
        <is>
          <t>REVEZ SP Equity</t>
        </is>
      </c>
      <c r="B473" s="16" t="inlineStr">
        <is>
          <t>Assurance Healthcare Ltd</t>
        </is>
      </c>
      <c r="C473" s="17" t="n">
        <v>11849441.535</v>
      </c>
      <c r="D473" s="16" t="inlineStr">
        <is>
          <t>Health Care</t>
        </is>
      </c>
      <c r="E473" s="16" t="inlineStr">
        <is>
          <t>Singapore</t>
        </is>
      </c>
    </row>
    <row r="474">
      <c r="A474" s="16" t="inlineStr">
        <is>
          <t>SAKAE SP Equity</t>
        </is>
      </c>
      <c r="B474" s="16" t="inlineStr">
        <is>
          <t>Sakae Holdings Ltd</t>
        </is>
      </c>
      <c r="C474" s="17" t="n">
        <v>11812620</v>
      </c>
      <c r="D474" s="16" t="inlineStr">
        <is>
          <t>Consumer Discretionary</t>
        </is>
      </c>
      <c r="E474" s="16" t="inlineStr">
        <is>
          <t>Singapore</t>
        </is>
      </c>
    </row>
    <row r="475">
      <c r="A475" s="16" t="inlineStr">
        <is>
          <t>GSSE SP Equity</t>
        </is>
      </c>
      <c r="B475" s="16" t="inlineStr">
        <is>
          <t>GSS Energy Ltd</t>
        </is>
      </c>
      <c r="C475" s="17" t="n">
        <v>11735489.909</v>
      </c>
      <c r="D475" s="16" t="inlineStr">
        <is>
          <t>Information Technology</t>
        </is>
      </c>
      <c r="E475" s="16" t="inlineStr">
        <is>
          <t>Singapore</t>
        </is>
      </c>
    </row>
    <row r="476">
      <c r="A476" s="16" t="inlineStr">
        <is>
          <t>HBH SP Equity</t>
        </is>
      </c>
      <c r="B476" s="16" t="inlineStr">
        <is>
          <t>HealthBank Holdings Ltd</t>
        </is>
      </c>
      <c r="C476" s="17" t="n">
        <v>11669625</v>
      </c>
      <c r="D476" s="16" t="inlineStr">
        <is>
          <t>Industrials</t>
        </is>
      </c>
      <c r="E476" s="16" t="inlineStr">
        <is>
          <t>Singapore</t>
        </is>
      </c>
    </row>
    <row r="477">
      <c r="A477" s="16" t="inlineStr">
        <is>
          <t>GRP SP Equity</t>
        </is>
      </c>
      <c r="B477" s="16" t="inlineStr">
        <is>
          <t>GRP Ltd</t>
        </is>
      </c>
      <c r="C477" s="17" t="n">
        <v>11532608.64</v>
      </c>
      <c r="D477" s="16" t="inlineStr">
        <is>
          <t>Information Technology</t>
        </is>
      </c>
      <c r="E477" s="16" t="inlineStr">
        <is>
          <t>Singapore</t>
        </is>
      </c>
    </row>
    <row r="478">
      <c r="A478" s="16" t="inlineStr">
        <is>
          <t>MHL SP Equity</t>
        </is>
      </c>
      <c r="B478" s="16" t="inlineStr">
        <is>
          <t>Memiontec Holdings Pte Ltd</t>
        </is>
      </c>
      <c r="C478" s="17" t="n">
        <v>11461300.43</v>
      </c>
      <c r="D478" s="16" t="inlineStr">
        <is>
          <t>Industrials</t>
        </is>
      </c>
      <c r="E478" s="16" t="inlineStr">
        <is>
          <t>Singapore</t>
        </is>
      </c>
    </row>
    <row r="479">
      <c r="A479" s="16" t="inlineStr">
        <is>
          <t>ACHR SP Equity</t>
        </is>
      </c>
      <c r="B479" s="16" t="inlineStr">
        <is>
          <t>VCPlus Ltd</t>
        </is>
      </c>
      <c r="C479" s="17" t="n">
        <v>11441164.74542614</v>
      </c>
      <c r="D479" s="16" t="inlineStr">
        <is>
          <t>Industrials</t>
        </is>
      </c>
      <c r="E479" s="16" t="inlineStr">
        <is>
          <t>Singapore</t>
        </is>
      </c>
    </row>
    <row r="480">
      <c r="A480" s="16" t="inlineStr">
        <is>
          <t>AVH SP Equity</t>
        </is>
      </c>
      <c r="B480" s="16" t="inlineStr">
        <is>
          <t>Asia Vets Holdings Ltd</t>
        </is>
      </c>
      <c r="C480" s="17" t="n">
        <v>11399364.288</v>
      </c>
      <c r="D480" s="16" t="inlineStr">
        <is>
          <t>Health Care</t>
        </is>
      </c>
      <c r="E480" s="16" t="inlineStr">
        <is>
          <t>Singapore</t>
        </is>
      </c>
    </row>
    <row r="481">
      <c r="A481" s="16" t="inlineStr">
        <is>
          <t>SOUP SP Equity</t>
        </is>
      </c>
      <c r="B481" s="16" t="inlineStr">
        <is>
          <t>Soup Holdings Ltd</t>
        </is>
      </c>
      <c r="C481" s="17" t="n">
        <v>11173108</v>
      </c>
      <c r="D481" s="16" t="inlineStr">
        <is>
          <t>Consumer Discretionary</t>
        </is>
      </c>
      <c r="E481" s="16" t="inlineStr">
        <is>
          <t>Singapore</t>
        </is>
      </c>
    </row>
    <row r="482">
      <c r="A482" s="16" t="inlineStr">
        <is>
          <t>FIGT SP Equity</t>
        </is>
      </c>
      <c r="B482" s="16" t="inlineStr">
        <is>
          <t>Figtree Holdings Ltd</t>
        </is>
      </c>
      <c r="C482" s="17" t="n">
        <v>11141025.954</v>
      </c>
      <c r="D482" s="16" t="inlineStr">
        <is>
          <t>Industrials</t>
        </is>
      </c>
      <c r="E482" s="16" t="inlineStr">
        <is>
          <t>Singapore</t>
        </is>
      </c>
    </row>
    <row r="483">
      <c r="A483" s="16" t="inlineStr">
        <is>
          <t>SPCH SP Equity</t>
        </is>
      </c>
      <c r="B483" s="16" t="inlineStr">
        <is>
          <t>Singapore Paincare Holdings Lt</t>
        </is>
      </c>
      <c r="C483" s="17" t="n">
        <v>11115423.54</v>
      </c>
      <c r="D483" s="16" t="inlineStr">
        <is>
          <t>Health Care</t>
        </is>
      </c>
      <c r="E483" s="16" t="inlineStr">
        <is>
          <t>Singapore</t>
        </is>
      </c>
    </row>
    <row r="484">
      <c r="A484" s="16" t="inlineStr">
        <is>
          <t>EURO SP Equity</t>
        </is>
      </c>
      <c r="B484" s="16" t="inlineStr">
        <is>
          <t>Eurosports Global Ltd</t>
        </is>
      </c>
      <c r="C484" s="17" t="n">
        <v>11076999.64381754</v>
      </c>
      <c r="D484" s="16" t="inlineStr">
        <is>
          <t>Consumer Discretionary</t>
        </is>
      </c>
      <c r="E484" s="16" t="inlineStr">
        <is>
          <t>Singapore</t>
        </is>
      </c>
    </row>
    <row r="485">
      <c r="A485" s="16" t="inlineStr">
        <is>
          <t>MGRP SP Equity</t>
        </is>
      </c>
      <c r="B485" s="16" t="inlineStr">
        <is>
          <t>MeGroup Ltd</t>
        </is>
      </c>
      <c r="C485" s="17" t="n">
        <v>10996145.00137243</v>
      </c>
      <c r="D485" s="16" t="inlineStr">
        <is>
          <t>Consumer Discretionary</t>
        </is>
      </c>
      <c r="E485" s="16" t="inlineStr">
        <is>
          <t>Singapore</t>
        </is>
      </c>
    </row>
    <row r="486">
      <c r="A486" s="16" t="inlineStr">
        <is>
          <t>AMH SP Equity</t>
        </is>
      </c>
      <c r="B486" s="16" t="inlineStr">
        <is>
          <t>Asian Micro Holdings Ltd</t>
        </is>
      </c>
      <c r="C486" s="17" t="n">
        <v>10723834.388</v>
      </c>
      <c r="D486" s="16" t="inlineStr">
        <is>
          <t>Energy</t>
        </is>
      </c>
      <c r="E486" s="16" t="inlineStr">
        <is>
          <t>Singapore</t>
        </is>
      </c>
    </row>
    <row r="487">
      <c r="A487" s="16" t="inlineStr">
        <is>
          <t>CFM SP Equity</t>
        </is>
      </c>
      <c r="B487" s="16" t="inlineStr">
        <is>
          <t>CFM Holdings Ltd</t>
        </is>
      </c>
      <c r="C487" s="17" t="n">
        <v>10681369.628</v>
      </c>
      <c r="D487" s="16" t="inlineStr">
        <is>
          <t>Industrials</t>
        </is>
      </c>
      <c r="E487" s="16" t="inlineStr">
        <is>
          <t>Singapore</t>
        </is>
      </c>
    </row>
    <row r="488">
      <c r="A488" s="16" t="inlineStr">
        <is>
          <t>OPFL SP Equity</t>
        </is>
      </c>
      <c r="B488" s="16" t="inlineStr">
        <is>
          <t>OxPay Financial Ltd</t>
        </is>
      </c>
      <c r="C488" s="17" t="n">
        <v>10442184.256</v>
      </c>
      <c r="D488" s="16" t="inlineStr">
        <is>
          <t>Financials</t>
        </is>
      </c>
      <c r="E488" s="16" t="inlineStr">
        <is>
          <t>Singapore</t>
        </is>
      </c>
    </row>
    <row r="489">
      <c r="A489" s="16" t="inlineStr">
        <is>
          <t>AJJM SP Equity</t>
        </is>
      </c>
      <c r="B489" s="16" t="inlineStr">
        <is>
          <t>AJJ Medtech Holdings Ltd</t>
        </is>
      </c>
      <c r="C489" s="17" t="n">
        <v>10389229.89030676</v>
      </c>
      <c r="D489" s="16" t="inlineStr">
        <is>
          <t>Health Care</t>
        </is>
      </c>
      <c r="E489" s="16" t="inlineStr">
        <is>
          <t>Singapore</t>
        </is>
      </c>
    </row>
    <row r="490">
      <c r="A490" s="16" t="inlineStr">
        <is>
          <t>APHOS SP Equity</t>
        </is>
      </c>
      <c r="B490" s="16" t="inlineStr">
        <is>
          <t>Asiaphos Ltd</t>
        </is>
      </c>
      <c r="C490" s="17" t="n">
        <v>10357390.449</v>
      </c>
      <c r="D490" s="16" t="inlineStr">
        <is>
          <t>Industrials</t>
        </is>
      </c>
      <c r="E490" s="16" t="inlineStr">
        <is>
          <t>Singapore</t>
        </is>
      </c>
    </row>
    <row r="491">
      <c r="A491" s="16" t="inlineStr">
        <is>
          <t>PHL SP Equity</t>
        </is>
      </c>
      <c r="B491" s="16" t="inlineStr">
        <is>
          <t>Progen Holdings Ltd</t>
        </is>
      </c>
      <c r="C491" s="17" t="n">
        <v>10153306.228</v>
      </c>
      <c r="D491" s="16" t="inlineStr">
        <is>
          <t>Industrials</t>
        </is>
      </c>
      <c r="E491" s="16" t="inlineStr">
        <is>
          <t>Singapore</t>
        </is>
      </c>
    </row>
    <row r="492">
      <c r="A492" s="16" t="inlineStr">
        <is>
          <t>CAMS SP Equity</t>
        </is>
      </c>
      <c r="B492" s="16" t="inlineStr">
        <is>
          <t>Camsing Healthcare Ltd</t>
        </is>
      </c>
      <c r="C492" s="17" t="n">
        <v>9940000</v>
      </c>
      <c r="D492" s="16" t="inlineStr">
        <is>
          <t>Consumer Discretionary</t>
        </is>
      </c>
      <c r="E492" s="16" t="inlineStr">
        <is>
          <t>Singapore</t>
        </is>
      </c>
    </row>
    <row r="493">
      <c r="A493" s="16" t="inlineStr">
        <is>
          <t>PASH SP Equity</t>
        </is>
      </c>
      <c r="B493" s="16" t="inlineStr">
        <is>
          <t>Pasture Holdings Ltd</t>
        </is>
      </c>
      <c r="C493" s="17" t="n">
        <v>9900000</v>
      </c>
      <c r="D493" s="16" t="e">
        <v>#N/A</v>
      </c>
      <c r="E493" s="16" t="inlineStr">
        <is>
          <t>Singapore</t>
        </is>
      </c>
    </row>
    <row r="494">
      <c r="A494" s="16" t="inlineStr">
        <is>
          <t>PAREIT SP Equity</t>
        </is>
      </c>
      <c r="B494" s="16" t="inlineStr">
        <is>
          <t>Phillip SGX APAC Dividend Lead</t>
        </is>
      </c>
      <c r="C494" s="17" t="n">
        <v>9414991.872</v>
      </c>
      <c r="D494" s="16" t="e">
        <v>#N/A</v>
      </c>
      <c r="E494" s="16" t="inlineStr">
        <is>
          <t>Singapore</t>
        </is>
      </c>
    </row>
    <row r="495">
      <c r="A495" s="16" t="inlineStr">
        <is>
          <t>BTI SP Equity</t>
        </is>
      </c>
      <c r="B495" s="16" t="inlineStr">
        <is>
          <t>Bacui Technologies Internation</t>
        </is>
      </c>
      <c r="C495" s="17" t="n">
        <v>8716057.184</v>
      </c>
      <c r="D495" s="16" t="inlineStr">
        <is>
          <t>Industrials</t>
        </is>
      </c>
      <c r="E495" s="16" t="inlineStr">
        <is>
          <t>Singapore</t>
        </is>
      </c>
    </row>
    <row r="496">
      <c r="A496" s="16" t="inlineStr">
        <is>
          <t>SUNSH SP Equity</t>
        </is>
      </c>
      <c r="B496" s="16" t="inlineStr">
        <is>
          <t>Sunrise Shares Holdings Ltd</t>
        </is>
      </c>
      <c r="C496" s="17" t="n">
        <v>8567892.658</v>
      </c>
      <c r="D496" s="16" t="inlineStr">
        <is>
          <t>Real Estate</t>
        </is>
      </c>
      <c r="E496" s="16" t="inlineStr">
        <is>
          <t>Singapore</t>
        </is>
      </c>
    </row>
    <row r="497">
      <c r="A497" s="16" t="inlineStr">
        <is>
          <t>GBUT SP Equity</t>
        </is>
      </c>
      <c r="B497" s="16" t="inlineStr">
        <is>
          <t>Green Build Technology Ltd</t>
        </is>
      </c>
      <c r="C497" s="17" t="n">
        <v>8556486.677501585</v>
      </c>
      <c r="D497" s="16" t="inlineStr">
        <is>
          <t>Industrials</t>
        </is>
      </c>
      <c r="E497" s="16" t="inlineStr">
        <is>
          <t>Singapore</t>
        </is>
      </c>
    </row>
    <row r="498">
      <c r="A498" s="16" t="inlineStr">
        <is>
          <t>MIT SP Equity</t>
        </is>
      </c>
      <c r="B498" s="16" t="inlineStr">
        <is>
          <t>Manufacturing Integration Tech</t>
        </is>
      </c>
      <c r="C498" s="17" t="n">
        <v>8459866.450000001</v>
      </c>
      <c r="D498" s="16" t="inlineStr">
        <is>
          <t>Information Technology</t>
        </is>
      </c>
      <c r="E498" s="16" t="inlineStr">
        <is>
          <t>Singapore</t>
        </is>
      </c>
    </row>
    <row r="499">
      <c r="A499" s="16" t="inlineStr">
        <is>
          <t>SECO SP Equity</t>
        </is>
      </c>
      <c r="B499" s="16" t="inlineStr">
        <is>
          <t>Suntar Eco-City Ltd</t>
        </is>
      </c>
      <c r="C499" s="17" t="n">
        <v>8347080</v>
      </c>
      <c r="D499" s="16" t="inlineStr">
        <is>
          <t>Health Care</t>
        </is>
      </c>
      <c r="E499" s="16" t="inlineStr">
        <is>
          <t>Singapore</t>
        </is>
      </c>
    </row>
    <row r="500">
      <c r="A500" s="16" t="inlineStr">
        <is>
          <t>ESG SP Equity</t>
        </is>
      </c>
      <c r="B500" s="16" t="inlineStr">
        <is>
          <t>ES Group Holdings Ltd</t>
        </is>
      </c>
      <c r="C500" s="17" t="n">
        <v>8189600.000000002</v>
      </c>
      <c r="D500" s="16" t="inlineStr">
        <is>
          <t>Industrials</t>
        </is>
      </c>
      <c r="E500" s="16" t="inlineStr">
        <is>
          <t>Singapore</t>
        </is>
      </c>
    </row>
    <row r="501">
      <c r="A501" s="16" t="inlineStr">
        <is>
          <t>FJB SP Equity</t>
        </is>
      </c>
      <c r="B501" s="16" t="inlineStr">
        <is>
          <t>FJ Benjamin Holdings Ltd</t>
        </is>
      </c>
      <c r="C501" s="17" t="n">
        <v>8047883.487954971</v>
      </c>
      <c r="D501" s="16" t="inlineStr">
        <is>
          <t>Consumer Discretionary</t>
        </is>
      </c>
      <c r="E501" s="16" t="inlineStr">
        <is>
          <t>Singapore</t>
        </is>
      </c>
    </row>
    <row r="502">
      <c r="A502" s="16" t="inlineStr">
        <is>
          <t>SUNS SP Equity</t>
        </is>
      </c>
      <c r="B502" s="16" t="inlineStr">
        <is>
          <t>China Mining International Ltd</t>
        </is>
      </c>
      <c r="C502" s="17" t="n">
        <v>7751781.250740402</v>
      </c>
      <c r="D502" s="16" t="inlineStr">
        <is>
          <t>Real Estate</t>
        </is>
      </c>
      <c r="E502" s="16" t="inlineStr">
        <is>
          <t>Singapore</t>
        </is>
      </c>
    </row>
    <row r="503">
      <c r="A503" s="16" t="inlineStr">
        <is>
          <t>GCCP SP Equity</t>
        </is>
      </c>
      <c r="B503" s="16" t="inlineStr">
        <is>
          <t>GCCP Resources Ltd</t>
        </is>
      </c>
      <c r="C503" s="17" t="n">
        <v>7666744.76</v>
      </c>
      <c r="D503" s="16" t="inlineStr">
        <is>
          <t>Materials</t>
        </is>
      </c>
      <c r="E503" s="16" t="inlineStr">
        <is>
          <t>Singapore</t>
        </is>
      </c>
    </row>
    <row r="504">
      <c r="A504" s="16" t="inlineStr">
        <is>
          <t>HJT SP Equity</t>
        </is>
      </c>
      <c r="B504" s="16" t="inlineStr">
        <is>
          <t>Heatec Jietong Holdings Ltd</t>
        </is>
      </c>
      <c r="C504" s="17" t="n">
        <v>7576768.559645533</v>
      </c>
      <c r="D504" s="16" t="inlineStr">
        <is>
          <t>Energy</t>
        </is>
      </c>
      <c r="E504" s="16" t="inlineStr">
        <is>
          <t>Singapore</t>
        </is>
      </c>
    </row>
    <row r="505">
      <c r="A505" s="16" t="inlineStr">
        <is>
          <t>EDT SP Equity</t>
        </is>
      </c>
      <c r="B505" s="16" t="inlineStr">
        <is>
          <t>Edition Ltd</t>
        </is>
      </c>
      <c r="C505" s="17" t="n">
        <v>7532771.070000001</v>
      </c>
      <c r="D505" s="16" t="inlineStr">
        <is>
          <t>Consumer Staples</t>
        </is>
      </c>
      <c r="E505" s="16" t="inlineStr">
        <is>
          <t>Singapore</t>
        </is>
      </c>
    </row>
    <row r="506">
      <c r="A506" s="16" t="inlineStr">
        <is>
          <t>MSM SP Equity</t>
        </is>
      </c>
      <c r="B506" s="16" t="inlineStr">
        <is>
          <t>MSM International Ltd</t>
        </is>
      </c>
      <c r="C506" s="17" t="n">
        <v>7377383.02</v>
      </c>
      <c r="D506" s="16" t="inlineStr">
        <is>
          <t>Industrials</t>
        </is>
      </c>
      <c r="E506" s="16" t="inlineStr">
        <is>
          <t>Singapore</t>
        </is>
      </c>
    </row>
    <row r="507">
      <c r="A507" s="16" t="inlineStr">
        <is>
          <t>KUNDA SP Equity</t>
        </is>
      </c>
      <c r="B507" s="16" t="inlineStr">
        <is>
          <t>China Kunda Technology Holding</t>
        </is>
      </c>
      <c r="C507" s="17" t="n">
        <v>7376399.999999999</v>
      </c>
      <c r="D507" s="16" t="inlineStr">
        <is>
          <t>Industrials</t>
        </is>
      </c>
      <c r="E507" s="16" t="inlineStr">
        <is>
          <t>Singapore</t>
        </is>
      </c>
    </row>
    <row r="508">
      <c r="A508" s="16" t="inlineStr">
        <is>
          <t>S360 SP Equity</t>
        </is>
      </c>
      <c r="B508" s="16" t="inlineStr">
        <is>
          <t>Shopper360 Ltd</t>
        </is>
      </c>
      <c r="C508" s="17" t="n">
        <v>7072234.000000001</v>
      </c>
      <c r="D508" s="16" t="inlineStr">
        <is>
          <t>Communication Services</t>
        </is>
      </c>
      <c r="E508" s="16" t="inlineStr">
        <is>
          <t>Singapore</t>
        </is>
      </c>
    </row>
    <row r="509">
      <c r="A509" s="16" t="inlineStr">
        <is>
          <t>ACRO SP Equity</t>
        </is>
      </c>
      <c r="B509" s="16" t="inlineStr">
        <is>
          <t>Acrometa Group Ltd</t>
        </is>
      </c>
      <c r="C509" s="17" t="n">
        <v>7048190.009554296</v>
      </c>
      <c r="D509" s="16" t="inlineStr">
        <is>
          <t>Industrials</t>
        </is>
      </c>
      <c r="E509" s="16" t="inlineStr">
        <is>
          <t>Singapore</t>
        </is>
      </c>
    </row>
    <row r="510">
      <c r="A510" s="16" t="inlineStr">
        <is>
          <t>FOI SP Equity</t>
        </is>
      </c>
      <c r="B510" s="16" t="inlineStr">
        <is>
          <t>Heptamax International Ltd</t>
        </is>
      </c>
      <c r="C510" s="17" t="n">
        <v>7035599.96187687</v>
      </c>
      <c r="D510" s="16" t="inlineStr">
        <is>
          <t>Financials</t>
        </is>
      </c>
      <c r="E510" s="16" t="inlineStr">
        <is>
          <t>Singapore</t>
        </is>
      </c>
    </row>
    <row r="511">
      <c r="A511" s="16" t="inlineStr">
        <is>
          <t>TVL SP Equity</t>
        </is>
      </c>
      <c r="B511" s="16" t="inlineStr">
        <is>
          <t>Travelite Holdings Ltd</t>
        </is>
      </c>
      <c r="C511" s="17" t="n">
        <v>7003923.362</v>
      </c>
      <c r="D511" s="16" t="inlineStr">
        <is>
          <t>Consumer Discretionary</t>
        </is>
      </c>
      <c r="E511" s="16" t="inlineStr">
        <is>
          <t>Singapore</t>
        </is>
      </c>
    </row>
    <row r="512">
      <c r="A512" s="16" t="inlineStr">
        <is>
          <t>MIYO SP Equity</t>
        </is>
      </c>
      <c r="B512" s="16" t="inlineStr">
        <is>
          <t>Miyoshi Ltd</t>
        </is>
      </c>
      <c r="C512" s="17" t="n">
        <v>6962955.162</v>
      </c>
      <c r="D512" s="16" t="inlineStr">
        <is>
          <t>Industrials</t>
        </is>
      </c>
      <c r="E512" s="16" t="inlineStr">
        <is>
          <t>Singapore</t>
        </is>
      </c>
    </row>
    <row r="513">
      <c r="A513" s="16" t="inlineStr">
        <is>
          <t>I2I SP Equity</t>
        </is>
      </c>
      <c r="B513" s="16" t="inlineStr">
        <is>
          <t>Digilife Technologies Ltd</t>
        </is>
      </c>
      <c r="C513" s="17" t="n">
        <v>6894569.195</v>
      </c>
      <c r="D513" s="16" t="inlineStr">
        <is>
          <t>Communication Services</t>
        </is>
      </c>
      <c r="E513" s="16" t="inlineStr">
        <is>
          <t>Singapore</t>
        </is>
      </c>
    </row>
    <row r="514">
      <c r="A514" s="16" t="inlineStr">
        <is>
          <t>CAP SP Equity</t>
        </is>
      </c>
      <c r="B514" s="16" t="inlineStr">
        <is>
          <t>Captii Ltd</t>
        </is>
      </c>
      <c r="C514" s="17" t="n">
        <v>6711026.070471823</v>
      </c>
      <c r="D514" s="16" t="inlineStr">
        <is>
          <t>Information Technology</t>
        </is>
      </c>
      <c r="E514" s="16" t="inlineStr">
        <is>
          <t>Singapore</t>
        </is>
      </c>
    </row>
    <row r="515">
      <c r="A515" s="16" t="inlineStr">
        <is>
          <t>DKNG SP Equity</t>
        </is>
      </c>
      <c r="B515" s="16" t="inlineStr">
        <is>
          <t>China Shenshan Orchard Holding</t>
        </is>
      </c>
      <c r="C515" s="17" t="n">
        <v>6705629.868</v>
      </c>
      <c r="D515" s="16" t="inlineStr">
        <is>
          <t>Consumer Staples</t>
        </is>
      </c>
      <c r="E515" s="16" t="inlineStr">
        <is>
          <t>Singapore</t>
        </is>
      </c>
    </row>
    <row r="516">
      <c r="A516" s="16" t="inlineStr">
        <is>
          <t>ATG SP Equity</t>
        </is>
      </c>
      <c r="B516" s="16" t="inlineStr">
        <is>
          <t>Asiatic Group Holdings Ltd</t>
        </is>
      </c>
      <c r="C516" s="17" t="n">
        <v>6466845.217158651</v>
      </c>
      <c r="D516" s="16" t="inlineStr">
        <is>
          <t>Utilities</t>
        </is>
      </c>
      <c r="E516" s="16" t="inlineStr">
        <is>
          <t>Singapore</t>
        </is>
      </c>
    </row>
    <row r="517">
      <c r="A517" s="16" t="inlineStr">
        <is>
          <t>TSHC SP Equity</t>
        </is>
      </c>
      <c r="B517" s="16" t="inlineStr">
        <is>
          <t>TSH Corp Ltd</t>
        </is>
      </c>
      <c r="C517" s="17" t="n">
        <v>6387193.584</v>
      </c>
      <c r="D517" s="16" t="inlineStr">
        <is>
          <t>Consumer Discretionary</t>
        </is>
      </c>
      <c r="E517" s="16" t="inlineStr">
        <is>
          <t>Singapore</t>
        </is>
      </c>
    </row>
    <row r="518">
      <c r="A518" s="16" t="inlineStr">
        <is>
          <t>DWT SP Equity</t>
        </is>
      </c>
      <c r="B518" s="16" t="inlineStr">
        <is>
          <t>Darco Water Technologies Ltd</t>
        </is>
      </c>
      <c r="C518" s="17" t="n">
        <v>6192878.472</v>
      </c>
      <c r="D518" s="16" t="inlineStr">
        <is>
          <t>Industrials</t>
        </is>
      </c>
      <c r="E518" s="16" t="inlineStr">
        <is>
          <t>Singapore</t>
        </is>
      </c>
    </row>
    <row r="519">
      <c r="A519" s="16" t="inlineStr">
        <is>
          <t>RENUN SP Equity</t>
        </is>
      </c>
      <c r="B519" s="16" t="inlineStr">
        <is>
          <t>Renaissance United Ltd</t>
        </is>
      </c>
      <c r="C519" s="17" t="n">
        <v>6180799.986</v>
      </c>
      <c r="D519" s="16" t="inlineStr">
        <is>
          <t>Utilities</t>
        </is>
      </c>
      <c r="E519" s="16" t="inlineStr">
        <is>
          <t>Singapore</t>
        </is>
      </c>
    </row>
    <row r="520">
      <c r="A520" s="16" t="inlineStr">
        <is>
          <t>VTH SP Equity</t>
        </is>
      </c>
      <c r="B520" s="16" t="inlineStr">
        <is>
          <t>Vividthree Holdings Ltd</t>
        </is>
      </c>
      <c r="C520" s="17" t="n">
        <v>6015043.56</v>
      </c>
      <c r="D520" s="16" t="inlineStr">
        <is>
          <t>Communication Services</t>
        </is>
      </c>
      <c r="E520" s="16" t="inlineStr">
        <is>
          <t>Singapore</t>
        </is>
      </c>
    </row>
    <row r="521">
      <c r="A521" s="16" t="inlineStr">
        <is>
          <t>SHANAYA SP Equity</t>
        </is>
      </c>
      <c r="B521" s="16" t="inlineStr">
        <is>
          <t>SHANAYA Ltd</t>
        </is>
      </c>
      <c r="C521" s="17" t="n">
        <v>6007761.24</v>
      </c>
      <c r="D521" s="16" t="inlineStr">
        <is>
          <t>Information Technology</t>
        </is>
      </c>
      <c r="E521" s="16" t="inlineStr">
        <is>
          <t>Singapore</t>
        </is>
      </c>
    </row>
    <row r="522">
      <c r="A522" s="16" t="inlineStr">
        <is>
          <t>NPAC SP Equity</t>
        </is>
      </c>
      <c r="B522" s="16" t="inlineStr">
        <is>
          <t>Net Pacific Holdings Ltd</t>
        </is>
      </c>
      <c r="C522" s="17" t="n">
        <v>5781933.872</v>
      </c>
      <c r="D522" s="16" t="inlineStr">
        <is>
          <t>Financials</t>
        </is>
      </c>
      <c r="E522" s="16" t="inlineStr">
        <is>
          <t>Singapore</t>
        </is>
      </c>
    </row>
    <row r="523">
      <c r="A523" s="16" t="inlineStr">
        <is>
          <t>OIO SP Equity</t>
        </is>
      </c>
      <c r="B523" s="16" t="inlineStr">
        <is>
          <t>OIO Holdings Ltd</t>
        </is>
      </c>
      <c r="C523" s="17" t="n">
        <v>5501646.850000001</v>
      </c>
      <c r="D523" s="16" t="inlineStr">
        <is>
          <t>Financials</t>
        </is>
      </c>
      <c r="E523" s="16" t="inlineStr">
        <is>
          <t>Singapore</t>
        </is>
      </c>
    </row>
    <row r="524">
      <c r="A524" s="16" t="inlineStr">
        <is>
          <t>MCOM SP Equity</t>
        </is>
      </c>
      <c r="B524" s="16" t="inlineStr">
        <is>
          <t>Meta Health Ltd</t>
        </is>
      </c>
      <c r="C524" s="17" t="n">
        <v>5281560.830860665</v>
      </c>
      <c r="D524" s="16" t="inlineStr">
        <is>
          <t>Health Care</t>
        </is>
      </c>
      <c r="E524" s="16" t="inlineStr">
        <is>
          <t>Singapore</t>
        </is>
      </c>
    </row>
    <row r="525">
      <c r="A525" s="16" t="inlineStr">
        <is>
          <t>CXN SP Equity</t>
        </is>
      </c>
      <c r="B525" s="16" t="inlineStr">
        <is>
          <t>Amova E Fund ChiNext Index ETF</t>
        </is>
      </c>
      <c r="C525" s="17" t="n">
        <v>5218868.208643284</v>
      </c>
      <c r="D525" s="16" t="e">
        <v>#N/A</v>
      </c>
      <c r="E525" s="16" t="inlineStr">
        <is>
          <t>Singapore</t>
        </is>
      </c>
    </row>
    <row r="526">
      <c r="A526" s="16" t="inlineStr">
        <is>
          <t>NWT SP Equity</t>
        </is>
      </c>
      <c r="B526" s="16" t="inlineStr">
        <is>
          <t>New Wave Holdings Ltd</t>
        </is>
      </c>
      <c r="C526" s="17" t="n">
        <v>5182409.130047283</v>
      </c>
      <c r="D526" s="16" t="inlineStr">
        <is>
          <t>Industrials</t>
        </is>
      </c>
      <c r="E526" s="16" t="inlineStr">
        <is>
          <t>Singapore</t>
        </is>
      </c>
    </row>
    <row r="527">
      <c r="A527" s="16" t="inlineStr">
        <is>
          <t>ASA SP Equity</t>
        </is>
      </c>
      <c r="B527" s="16" t="inlineStr">
        <is>
          <t>Advanced Systems Automation Lt</t>
        </is>
      </c>
      <c r="C527" s="17" t="n">
        <v>5143948.257</v>
      </c>
      <c r="D527" s="16" t="inlineStr">
        <is>
          <t>Information Technology</t>
        </is>
      </c>
      <c r="E527" s="16" t="inlineStr">
        <is>
          <t>Singapore</t>
        </is>
      </c>
    </row>
    <row r="528">
      <c r="A528" s="16" t="inlineStr">
        <is>
          <t>MCH SP Equity</t>
        </is>
      </c>
      <c r="B528" s="16" t="inlineStr">
        <is>
          <t>Mary Chia Holdings Ltd</t>
        </is>
      </c>
      <c r="C528" s="17" t="n">
        <v>5093358.681154559</v>
      </c>
      <c r="D528" s="16" t="inlineStr">
        <is>
          <t>Consumer Discretionary</t>
        </is>
      </c>
      <c r="E528" s="16" t="inlineStr">
        <is>
          <t>Singapore</t>
        </is>
      </c>
    </row>
    <row r="529">
      <c r="A529" s="16" t="inlineStr">
        <is>
          <t>JCGI SP Equity</t>
        </is>
      </c>
      <c r="B529" s="16" t="inlineStr">
        <is>
          <t>Beverly Wilshire Ltd</t>
        </is>
      </c>
      <c r="C529" s="17" t="n">
        <v>4779080.122994115</v>
      </c>
      <c r="D529" s="16" t="inlineStr">
        <is>
          <t>Industrials</t>
        </is>
      </c>
      <c r="E529" s="16" t="inlineStr">
        <is>
          <t>Singapore</t>
        </is>
      </c>
    </row>
    <row r="530">
      <c r="A530" s="16" t="inlineStr">
        <is>
          <t>KTMG SP Equity</t>
        </is>
      </c>
      <c r="B530" s="16" t="inlineStr">
        <is>
          <t>KTMG Ltd</t>
        </is>
      </c>
      <c r="C530" s="17" t="n">
        <v>4581403.038</v>
      </c>
      <c r="D530" s="16" t="inlineStr">
        <is>
          <t>Consumer Discretionary</t>
        </is>
      </c>
      <c r="E530" s="16" t="inlineStr">
        <is>
          <t>Singapore</t>
        </is>
      </c>
    </row>
    <row r="531">
      <c r="A531" s="16" t="inlineStr">
        <is>
          <t>SHD SP Equity</t>
        </is>
      </c>
      <c r="B531" s="16" t="inlineStr">
        <is>
          <t>CSOP Huatai-PB SSE Dividend In</t>
        </is>
      </c>
      <c r="C531" s="17" t="n">
        <v>4501800</v>
      </c>
      <c r="D531" s="16" t="e">
        <v>#N/A</v>
      </c>
      <c r="E531" s="16" t="inlineStr">
        <is>
          <t>Singapore</t>
        </is>
      </c>
    </row>
    <row r="532">
      <c r="A532" s="16" t="inlineStr">
        <is>
          <t>RCH SP Equity</t>
        </is>
      </c>
      <c r="B532" s="16" t="inlineStr">
        <is>
          <t>Rich Capital Holdings Ltd</t>
        </is>
      </c>
      <c r="C532" s="17" t="n">
        <v>4431781.916999999</v>
      </c>
      <c r="D532" s="16" t="inlineStr">
        <is>
          <t>Real Estate</t>
        </is>
      </c>
      <c r="E532" s="16" t="inlineStr">
        <is>
          <t>Singapore</t>
        </is>
      </c>
    </row>
    <row r="533">
      <c r="A533" s="16" t="inlineStr">
        <is>
          <t>JOYAS SP Equity</t>
        </is>
      </c>
      <c r="B533" s="16" t="inlineStr">
        <is>
          <t>Joyas International Holdings L</t>
        </is>
      </c>
      <c r="C533" s="17" t="n">
        <v>4427553.946</v>
      </c>
      <c r="D533" s="16" t="inlineStr">
        <is>
          <t>Financials</t>
        </is>
      </c>
      <c r="E533" s="16" t="inlineStr">
        <is>
          <t>Singapore</t>
        </is>
      </c>
    </row>
    <row r="534">
      <c r="A534" s="16" t="inlineStr">
        <is>
          <t>LUX SP Equity</t>
        </is>
      </c>
      <c r="B534" s="16" t="inlineStr">
        <is>
          <t>Luxking Group Holdings Ltd</t>
        </is>
      </c>
      <c r="C534" s="17" t="n">
        <v>3984749.96984005</v>
      </c>
      <c r="D534" s="16" t="inlineStr">
        <is>
          <t>Industrials</t>
        </is>
      </c>
      <c r="E534" s="16" t="inlineStr">
        <is>
          <t>Singapore</t>
        </is>
      </c>
    </row>
    <row r="535">
      <c r="A535" s="16" t="inlineStr">
        <is>
          <t>VIB SP Equity</t>
        </is>
      </c>
      <c r="B535" s="16" t="inlineStr">
        <is>
          <t>Vibropower Corp Ltd</t>
        </is>
      </c>
      <c r="C535" s="17" t="n">
        <v>3979590.155999999</v>
      </c>
      <c r="D535" s="16" t="inlineStr">
        <is>
          <t>Industrials</t>
        </is>
      </c>
      <c r="E535" s="16" t="inlineStr">
        <is>
          <t>Singapore</t>
        </is>
      </c>
    </row>
    <row r="536">
      <c r="A536" s="16" t="inlineStr">
        <is>
          <t>PHM SP Equity</t>
        </is>
      </c>
      <c r="B536" s="16" t="inlineStr">
        <is>
          <t>Pharmesis International Ltd</t>
        </is>
      </c>
      <c r="C536" s="17" t="n">
        <v>3962500</v>
      </c>
      <c r="D536" s="16" t="inlineStr">
        <is>
          <t>Health Care</t>
        </is>
      </c>
      <c r="E536" s="16" t="inlineStr">
        <is>
          <t>Singapore</t>
        </is>
      </c>
    </row>
    <row r="537">
      <c r="A537" s="16" t="inlineStr">
        <is>
          <t>CXS SP Equity</t>
        </is>
      </c>
      <c r="B537" s="16" t="inlineStr">
        <is>
          <t>UOBAM Ping An ChiNext ETF</t>
        </is>
      </c>
      <c r="C537" s="17" t="n">
        <v>3787669.745836638</v>
      </c>
      <c r="D537" s="16" t="e">
        <v>#N/A</v>
      </c>
      <c r="E537" s="16" t="inlineStr">
        <is>
          <t>Singapore</t>
        </is>
      </c>
    </row>
    <row r="538">
      <c r="A538" s="16" t="inlineStr">
        <is>
          <t>SEVENS SP Equity</t>
        </is>
      </c>
      <c r="B538" s="16" t="inlineStr">
        <is>
          <t>Sevens Atelier Ltd</t>
        </is>
      </c>
      <c r="C538" s="17" t="n">
        <v>3653577.457</v>
      </c>
      <c r="D538" s="16" t="inlineStr">
        <is>
          <t>Consumer Discretionary</t>
        </is>
      </c>
      <c r="E538" s="16" t="inlineStr">
        <is>
          <t>Singapore</t>
        </is>
      </c>
    </row>
    <row r="539">
      <c r="A539" s="16" t="inlineStr">
        <is>
          <t>SNTK SP Equity</t>
        </is>
      </c>
      <c r="B539" s="16" t="inlineStr">
        <is>
          <t>Santak Holdings Ltd</t>
        </is>
      </c>
      <c r="C539" s="17" t="n">
        <v>3550172.320763022</v>
      </c>
      <c r="D539" s="16" t="inlineStr">
        <is>
          <t>Industrials</t>
        </is>
      </c>
      <c r="E539" s="16" t="inlineStr">
        <is>
          <t>Singapore</t>
        </is>
      </c>
    </row>
    <row r="540">
      <c r="A540" s="16" t="inlineStr">
        <is>
          <t>ACM SP Equity</t>
        </is>
      </c>
      <c r="B540" s="16" t="inlineStr">
        <is>
          <t>Acma Ltd</t>
        </is>
      </c>
      <c r="C540" s="17" t="n">
        <v>3509974.593</v>
      </c>
      <c r="D540" s="16" t="inlineStr">
        <is>
          <t>Information Technology</t>
        </is>
      </c>
      <c r="E540" s="16" t="inlineStr">
        <is>
          <t>Singapore</t>
        </is>
      </c>
    </row>
    <row r="541">
      <c r="A541" s="16" t="inlineStr">
        <is>
          <t>YVEN SP Equity</t>
        </is>
      </c>
      <c r="B541" s="16" t="inlineStr">
        <is>
          <t>Y Ventures Group Ltd</t>
        </is>
      </c>
      <c r="C541" s="17" t="n">
        <v>3455956</v>
      </c>
      <c r="D541" s="16" t="inlineStr">
        <is>
          <t>Consumer Discretionary</t>
        </is>
      </c>
      <c r="E541" s="16" t="inlineStr">
        <is>
          <t>Singapore</t>
        </is>
      </c>
    </row>
    <row r="542">
      <c r="A542" s="16" t="inlineStr">
        <is>
          <t>AHL SP Equity</t>
        </is>
      </c>
      <c r="B542" s="16" t="inlineStr">
        <is>
          <t>Annica Holdings Ltd</t>
        </is>
      </c>
      <c r="C542" s="17" t="n">
        <v>3341751.520948275</v>
      </c>
      <c r="D542" s="16" t="inlineStr">
        <is>
          <t>Energy</t>
        </is>
      </c>
      <c r="E542" s="16" t="inlineStr">
        <is>
          <t>Singapore</t>
        </is>
      </c>
    </row>
    <row r="543">
      <c r="A543" s="16" t="inlineStr">
        <is>
          <t>KTG SP Equity</t>
        </is>
      </c>
      <c r="B543" s="16" t="inlineStr">
        <is>
          <t>Katrina Group Ltd</t>
        </is>
      </c>
      <c r="C543" s="17" t="n">
        <v>3022244.522270389</v>
      </c>
      <c r="D543" s="16" t="inlineStr">
        <is>
          <t>Consumer Discretionary</t>
        </is>
      </c>
      <c r="E543" s="16" t="inlineStr">
        <is>
          <t>Singapore</t>
        </is>
      </c>
    </row>
    <row r="544">
      <c r="A544" s="16" t="inlineStr">
        <is>
          <t>CHIH SP Equity</t>
        </is>
      </c>
      <c r="B544" s="16" t="inlineStr">
        <is>
          <t>China International Holdings L</t>
        </is>
      </c>
      <c r="C544" s="17" t="n">
        <v>2508665.559155215</v>
      </c>
      <c r="D544" s="16" t="inlineStr">
        <is>
          <t>Utilities</t>
        </is>
      </c>
      <c r="E544" s="16" t="inlineStr">
        <is>
          <t>Singapore</t>
        </is>
      </c>
    </row>
    <row r="545">
      <c r="A545" s="16" t="inlineStr">
        <is>
          <t>SEG SP Equity</t>
        </is>
      </c>
      <c r="B545" s="16" t="inlineStr">
        <is>
          <t>Polaris E&amp;M Ltd</t>
        </is>
      </c>
      <c r="C545" s="17" t="n">
        <v>2424036.527945106</v>
      </c>
      <c r="D545" s="16" t="inlineStr">
        <is>
          <t>Communication Services</t>
        </is>
      </c>
      <c r="E545" s="16" t="inlineStr">
        <is>
          <t>Singapore</t>
        </is>
      </c>
    </row>
    <row r="546">
      <c r="A546" s="16" t="inlineStr">
        <is>
          <t>EIN SP Equity</t>
        </is>
      </c>
      <c r="B546" s="16" t="inlineStr">
        <is>
          <t>Eindec Corp Ltd</t>
        </is>
      </c>
      <c r="C546" s="17" t="n">
        <v>2261700</v>
      </c>
      <c r="D546" s="16" t="inlineStr">
        <is>
          <t>Industrials</t>
        </is>
      </c>
      <c r="E546" s="16" t="inlineStr">
        <is>
          <t>Singapore</t>
        </is>
      </c>
    </row>
    <row r="547">
      <c r="A547" s="16" t="inlineStr">
        <is>
          <t>VERSA SP Equity</t>
        </is>
      </c>
      <c r="B547" s="16" t="inlineStr">
        <is>
          <t>Versalink Holdings Ltd</t>
        </is>
      </c>
      <c r="C547" s="17" t="n">
        <v>1890000.058338046</v>
      </c>
      <c r="D547" s="16" t="inlineStr">
        <is>
          <t>Industrials</t>
        </is>
      </c>
      <c r="E547" s="16" t="inlineStr">
        <is>
          <t>Singapore</t>
        </is>
      </c>
    </row>
    <row r="548">
      <c r="A548" s="16" t="inlineStr">
        <is>
          <t>BULLSG2X SP Equity</t>
        </is>
      </c>
      <c r="B548" s="16" t="inlineStr">
        <is>
          <t>Phillip-Nova MSCI Singapore Da</t>
        </is>
      </c>
      <c r="C548" s="17" t="n">
        <v>1265563.3</v>
      </c>
      <c r="D548" s="16" t="e">
        <v>#N/A</v>
      </c>
      <c r="E548" s="16" t="inlineStr">
        <is>
          <t>Singapore</t>
        </is>
      </c>
    </row>
    <row r="549">
      <c r="A549" s="16" t="inlineStr">
        <is>
          <t>SHTE SP Equity</t>
        </is>
      </c>
      <c r="B549" s="16" t="inlineStr">
        <is>
          <t>Shanghai Turbo Enterprises Ltd</t>
        </is>
      </c>
      <c r="C549" s="17" t="n">
        <v>1068200.105</v>
      </c>
      <c r="D549" s="16" t="inlineStr">
        <is>
          <t>Industrials</t>
        </is>
      </c>
      <c r="E549" s="16" t="inlineStr">
        <is>
          <t>Singapore</t>
        </is>
      </c>
    </row>
    <row r="550">
      <c r="A550" s="16" t="inlineStr">
        <is>
          <t>BEARSG1X SP Equity</t>
        </is>
      </c>
      <c r="B550" s="16" t="inlineStr">
        <is>
          <t>Phillip-Nova MSCI Singapore Da</t>
        </is>
      </c>
      <c r="C550" s="17" t="n">
        <v>837276.4</v>
      </c>
      <c r="D550" s="16" t="e">
        <v>#N/A</v>
      </c>
      <c r="E550" s="16" t="inlineStr">
        <is>
          <t>Singapore</t>
        </is>
      </c>
    </row>
    <row r="551">
      <c r="A551" s="16" t="inlineStr">
        <is>
          <t>8TEL SP Equity</t>
        </is>
      </c>
      <c r="B551" s="16" t="inlineStr">
        <is>
          <t>8Telecom International Holding</t>
        </is>
      </c>
      <c r="C551" s="17" t="e">
        <v>#N/A</v>
      </c>
      <c r="D551" s="16" t="inlineStr">
        <is>
          <t>Information Technology</t>
        </is>
      </c>
      <c r="E551" s="16" t="inlineStr">
        <is>
          <t>Singapore</t>
        </is>
      </c>
    </row>
    <row r="552">
      <c r="A552" s="16" t="inlineStr">
        <is>
          <t>ALEN SP Equity</t>
        </is>
      </c>
      <c r="B552" s="16" t="inlineStr">
        <is>
          <t>Alpha DX Group Ltd</t>
        </is>
      </c>
      <c r="C552" s="17" t="e">
        <v>#N/A</v>
      </c>
      <c r="D552" s="16" t="inlineStr">
        <is>
          <t>Consumer Discretionary</t>
        </is>
      </c>
      <c r="E552" s="16" t="inlineStr">
        <is>
          <t>Singapore</t>
        </is>
      </c>
    </row>
    <row r="553">
      <c r="A553" s="16" t="inlineStr">
        <is>
          <t>AMOS SP Equity</t>
        </is>
      </c>
      <c r="B553" s="16" t="inlineStr">
        <is>
          <t>AMOS Group Ltd</t>
        </is>
      </c>
      <c r="C553" s="17" t="e">
        <v>#N/A</v>
      </c>
      <c r="D553" s="16" t="inlineStr">
        <is>
          <t>Energy</t>
        </is>
      </c>
      <c r="E553" s="16" t="inlineStr">
        <is>
          <t>Singapore</t>
        </is>
      </c>
    </row>
    <row r="554">
      <c r="A554" s="16" t="inlineStr">
        <is>
          <t>AMS SP Equity</t>
        </is>
      </c>
      <c r="B554" s="16" t="inlineStr">
        <is>
          <t>Alita Resources Ltd</t>
        </is>
      </c>
      <c r="C554" s="17" t="e">
        <v>#N/A</v>
      </c>
      <c r="D554" s="16" t="inlineStr">
        <is>
          <t>Materials</t>
        </is>
      </c>
      <c r="E554" s="16" t="inlineStr">
        <is>
          <t>Singapore</t>
        </is>
      </c>
    </row>
    <row r="555">
      <c r="A555" s="16" t="inlineStr">
        <is>
          <t>APSI SP Equity</t>
        </is>
      </c>
      <c r="B555" s="16" t="inlineStr">
        <is>
          <t>Asia-Pacific Strategic Investm</t>
        </is>
      </c>
      <c r="C555" s="17" t="e">
        <v>#N/A</v>
      </c>
      <c r="D555" s="16" t="inlineStr">
        <is>
          <t>Real Estate</t>
        </is>
      </c>
      <c r="E555" s="16" t="inlineStr">
        <is>
          <t>Singapore</t>
        </is>
      </c>
    </row>
    <row r="556">
      <c r="A556" s="16" t="inlineStr">
        <is>
          <t>AUSG SP Equity</t>
        </is>
      </c>
      <c r="B556" s="16" t="inlineStr">
        <is>
          <t>AusGroup Ltd</t>
        </is>
      </c>
      <c r="C556" s="17" t="e">
        <v>#N/A</v>
      </c>
      <c r="D556" s="16" t="inlineStr">
        <is>
          <t>Industrials</t>
        </is>
      </c>
      <c r="E556" s="16" t="inlineStr">
        <is>
          <t>Singapore</t>
        </is>
      </c>
    </row>
    <row r="557">
      <c r="A557" s="16" t="inlineStr">
        <is>
          <t>BDTK SP Equity</t>
        </is>
      </c>
      <c r="B557" s="16" t="inlineStr">
        <is>
          <t>Boldtek Holdings Ltd</t>
        </is>
      </c>
      <c r="C557" s="17" t="e">
        <v>#N/A</v>
      </c>
      <c r="D557" s="16" t="inlineStr">
        <is>
          <t>Industrials</t>
        </is>
      </c>
      <c r="E557" s="16" t="inlineStr">
        <is>
          <t>Singapore</t>
        </is>
      </c>
    </row>
    <row r="558">
      <c r="A558" s="16" t="inlineStr">
        <is>
          <t>BHR SP Equity</t>
        </is>
      </c>
      <c r="B558" s="16" t="inlineStr">
        <is>
          <t>BlackGold Natural Resources Lt</t>
        </is>
      </c>
      <c r="C558" s="17" t="e">
        <v>#N/A</v>
      </c>
      <c r="D558" s="16" t="inlineStr">
        <is>
          <t>Energy</t>
        </is>
      </c>
      <c r="E558" s="16" t="inlineStr">
        <is>
          <t>Singapore</t>
        </is>
      </c>
    </row>
    <row r="559">
      <c r="A559" s="16" t="inlineStr">
        <is>
          <t>CFG SP Equity</t>
        </is>
      </c>
      <c r="B559" s="16" t="inlineStr">
        <is>
          <t>China Fishery Group Ltd</t>
        </is>
      </c>
      <c r="C559" s="17" t="e">
        <v>#N/A</v>
      </c>
      <c r="D559" s="16" t="inlineStr">
        <is>
          <t>Consumer Staples</t>
        </is>
      </c>
      <c r="E559" s="16" t="inlineStr">
        <is>
          <t>Singapore</t>
        </is>
      </c>
    </row>
    <row r="560">
      <c r="A560" s="16" t="inlineStr">
        <is>
          <t>CLNG SP Equity</t>
        </is>
      </c>
      <c r="B560" s="16" t="inlineStr">
        <is>
          <t>Coolan Group Ltd</t>
        </is>
      </c>
      <c r="C560" s="17" t="e">
        <v>#N/A</v>
      </c>
      <c r="D560" s="16" t="inlineStr">
        <is>
          <t>Energy</t>
        </is>
      </c>
      <c r="E560" s="16" t="inlineStr">
        <is>
          <t>Singapore</t>
        </is>
      </c>
    </row>
    <row r="561">
      <c r="A561" s="16" t="inlineStr">
        <is>
          <t>CYBP SP Equity</t>
        </is>
      </c>
      <c r="B561" s="16" t="inlineStr">
        <is>
          <t>China Yuanbang Property Holdin</t>
        </is>
      </c>
      <c r="C561" s="17" t="e">
        <v>#N/A</v>
      </c>
      <c r="D561" s="16" t="inlineStr">
        <is>
          <t>Real Estate</t>
        </is>
      </c>
      <c r="E561" s="16" t="inlineStr">
        <is>
          <t>Singapore</t>
        </is>
      </c>
    </row>
    <row r="562">
      <c r="A562" s="16" t="inlineStr">
        <is>
          <t>DASIN SP Equity</t>
        </is>
      </c>
      <c r="B562" s="16" t="inlineStr">
        <is>
          <t>Dasin Retail Trust</t>
        </is>
      </c>
      <c r="C562" s="17" t="e">
        <v>#N/A</v>
      </c>
      <c r="D562" s="16" t="inlineStr">
        <is>
          <t>Real Estate</t>
        </is>
      </c>
      <c r="E562" s="16" t="inlineStr">
        <is>
          <t>Singapore</t>
        </is>
      </c>
    </row>
    <row r="563">
      <c r="A563" s="16" t="inlineStr">
        <is>
          <t>DEBAO SP Equity</t>
        </is>
      </c>
      <c r="B563" s="16" t="inlineStr">
        <is>
          <t>Debao Property Development Ltd</t>
        </is>
      </c>
      <c r="C563" s="17" t="e">
        <v>#N/A</v>
      </c>
      <c r="D563" s="16" t="inlineStr">
        <is>
          <t>Real Estate</t>
        </is>
      </c>
      <c r="E563" s="16" t="inlineStr">
        <is>
          <t>Singapore</t>
        </is>
      </c>
    </row>
    <row r="564">
      <c r="A564" s="16" t="inlineStr">
        <is>
          <t>ECWREIT SP Equity</t>
        </is>
      </c>
      <c r="B564" s="16" t="inlineStr">
        <is>
          <t>EC World Real Estate Investmen</t>
        </is>
      </c>
      <c r="C564" s="17" t="e">
        <v>#N/A</v>
      </c>
      <c r="D564" s="16" t="inlineStr">
        <is>
          <t>Real Estate</t>
        </is>
      </c>
      <c r="E564" s="16" t="inlineStr">
        <is>
          <t>Singapore</t>
        </is>
      </c>
    </row>
    <row r="565">
      <c r="A565" s="16" t="inlineStr">
        <is>
          <t>ETL SP Equity</t>
        </is>
      </c>
      <c r="B565" s="16" t="inlineStr">
        <is>
          <t>Triyards Holdings Ltd</t>
        </is>
      </c>
      <c r="C565" s="17" t="e">
        <v>#N/A</v>
      </c>
      <c r="D565" s="16" t="inlineStr">
        <is>
          <t>Industrials</t>
        </is>
      </c>
      <c r="E565" s="16" t="inlineStr">
        <is>
          <t>Singapore</t>
        </is>
      </c>
    </row>
    <row r="566">
      <c r="A566" s="16" t="inlineStr">
        <is>
          <t>EZRA SP Equity</t>
        </is>
      </c>
      <c r="B566" s="16" t="inlineStr">
        <is>
          <t>Ezra Holdings Ltd</t>
        </is>
      </c>
      <c r="C566" s="17" t="e">
        <v>#N/A</v>
      </c>
      <c r="D566" s="16" t="inlineStr">
        <is>
          <t>Energy</t>
        </is>
      </c>
      <c r="E566" s="16" t="inlineStr">
        <is>
          <t>Singapore</t>
        </is>
      </c>
    </row>
    <row r="567">
      <c r="A567" s="16" t="inlineStr">
        <is>
          <t>HACL SP Equity</t>
        </is>
      </c>
      <c r="B567" s="16" t="inlineStr">
        <is>
          <t>Halcyon Agri Corp Ltd</t>
        </is>
      </c>
      <c r="C567" s="17" t="e">
        <v>#N/A</v>
      </c>
      <c r="D567" s="16" t="inlineStr">
        <is>
          <t>Materials</t>
        </is>
      </c>
      <c r="E567" s="16" t="inlineStr">
        <is>
          <t>Singapore</t>
        </is>
      </c>
    </row>
    <row r="568">
      <c r="A568" s="16" t="inlineStr">
        <is>
          <t>HATT SP Equity</t>
        </is>
      </c>
      <c r="B568" s="16" t="inlineStr">
        <is>
          <t>Metrocon Holdings Ltd</t>
        </is>
      </c>
      <c r="C568" s="17" t="e">
        <v>#N/A</v>
      </c>
      <c r="D568" s="16" t="inlineStr">
        <is>
          <t>Real Estate</t>
        </is>
      </c>
      <c r="E568" s="16" t="inlineStr">
        <is>
          <t>Singapore</t>
        </is>
      </c>
    </row>
    <row r="569">
      <c r="A569" s="16" t="inlineStr">
        <is>
          <t>HYF SP Equity</t>
        </is>
      </c>
      <c r="B569" s="16" t="inlineStr">
        <is>
          <t>Hyflux Ltd</t>
        </is>
      </c>
      <c r="C569" s="17" t="e">
        <v>#N/A</v>
      </c>
      <c r="D569" s="16" t="inlineStr">
        <is>
          <t>Utilities</t>
        </is>
      </c>
      <c r="E569" s="16" t="inlineStr">
        <is>
          <t>Singapore</t>
        </is>
      </c>
    </row>
    <row r="570">
      <c r="A570" s="16" t="inlineStr">
        <is>
          <t>HYNG SP Equity</t>
        </is>
      </c>
      <c r="B570" s="16" t="inlineStr">
        <is>
          <t>Hengyang Petrochemical Logisti</t>
        </is>
      </c>
      <c r="C570" s="17" t="e">
        <v>#N/A</v>
      </c>
      <c r="D570" s="16" t="inlineStr">
        <is>
          <t>Energy</t>
        </is>
      </c>
      <c r="E570" s="16" t="inlineStr">
        <is>
          <t>Singapore</t>
        </is>
      </c>
    </row>
    <row r="571">
      <c r="A571" s="16" t="inlineStr">
        <is>
          <t>INCR SP Equity</t>
        </is>
      </c>
      <c r="B571" s="16" t="inlineStr">
        <is>
          <t>Incredible Holdings Ltd</t>
        </is>
      </c>
      <c r="C571" s="17" t="e">
        <v>#N/A</v>
      </c>
      <c r="D571" s="16" t="inlineStr">
        <is>
          <t>Industrials</t>
        </is>
      </c>
      <c r="E571" s="16" t="inlineStr">
        <is>
          <t>Singapore</t>
        </is>
      </c>
    </row>
    <row r="572">
      <c r="A572" s="16" t="inlineStr">
        <is>
          <t>ITRR SP Equity</t>
        </is>
      </c>
      <c r="B572" s="16" t="inlineStr">
        <is>
          <t>Interra Resources Ltd</t>
        </is>
      </c>
      <c r="C572" s="17" t="e">
        <v>#N/A</v>
      </c>
      <c r="D572" s="16" t="inlineStr">
        <is>
          <t>Energy</t>
        </is>
      </c>
      <c r="E572" s="16" t="inlineStr">
        <is>
          <t>Singapore</t>
        </is>
      </c>
    </row>
    <row r="573">
      <c r="A573" s="16" t="inlineStr">
        <is>
          <t>LOREN SP Equity</t>
        </is>
      </c>
      <c r="B573" s="16" t="inlineStr">
        <is>
          <t>Lorenzo International Ltd</t>
        </is>
      </c>
      <c r="C573" s="17" t="e">
        <v>#N/A</v>
      </c>
      <c r="D573" s="16" t="inlineStr">
        <is>
          <t>Consumer Discretionary</t>
        </is>
      </c>
      <c r="E573" s="16" t="inlineStr">
        <is>
          <t>Singapore</t>
        </is>
      </c>
    </row>
    <row r="574">
      <c r="A574" s="16" t="inlineStr">
        <is>
          <t>MCI SP Equity</t>
        </is>
      </c>
      <c r="B574" s="16" t="inlineStr">
        <is>
          <t>Mercurius Capital Investment L</t>
        </is>
      </c>
      <c r="C574" s="17" t="e">
        <v>#N/A</v>
      </c>
      <c r="D574" s="16" t="inlineStr">
        <is>
          <t>Real Estate</t>
        </is>
      </c>
      <c r="E574" s="16" t="inlineStr">
        <is>
          <t>Singapore</t>
        </is>
      </c>
    </row>
    <row r="575">
      <c r="A575" s="16" t="inlineStr">
        <is>
          <t>MM2 SP Equity</t>
        </is>
      </c>
      <c r="B575" s="16" t="inlineStr">
        <is>
          <t>mm2 Asia Ltd</t>
        </is>
      </c>
      <c r="C575" s="17" t="e">
        <v>#N/A</v>
      </c>
      <c r="D575" s="16" t="inlineStr">
        <is>
          <t>Communication Services</t>
        </is>
      </c>
      <c r="E575" s="16" t="inlineStr">
        <is>
          <t>Singapore</t>
        </is>
      </c>
    </row>
    <row r="576">
      <c r="A576" s="16" t="inlineStr">
        <is>
          <t>MTEX SP Equity</t>
        </is>
      </c>
      <c r="B576" s="16" t="inlineStr">
        <is>
          <t>Nanyang New Development Ltd</t>
        </is>
      </c>
      <c r="C576" s="17" t="e">
        <v>#N/A</v>
      </c>
      <c r="D576" s="16" t="inlineStr">
        <is>
          <t>Materials</t>
        </is>
      </c>
      <c r="E576" s="16" t="inlineStr">
        <is>
          <t>Singapore</t>
        </is>
      </c>
    </row>
    <row r="577">
      <c r="A577" s="16" t="inlineStr">
        <is>
          <t>NUF SP Equity</t>
        </is>
      </c>
      <c r="B577" s="16" t="inlineStr">
        <is>
          <t>NutryFarm International Ltd</t>
        </is>
      </c>
      <c r="C577" s="17" t="e">
        <v>#N/A</v>
      </c>
      <c r="D577" s="16" t="inlineStr">
        <is>
          <t>Consumer Staples</t>
        </is>
      </c>
      <c r="E577" s="16" t="inlineStr">
        <is>
          <t>Singapore</t>
        </is>
      </c>
    </row>
    <row r="578">
      <c r="A578" s="16" t="inlineStr">
        <is>
          <t>OTE SP Equity</t>
        </is>
      </c>
      <c r="B578" s="16" t="inlineStr">
        <is>
          <t>Evologic International Ltd</t>
        </is>
      </c>
      <c r="C578" s="17" t="e">
        <v>#N/A</v>
      </c>
      <c r="D578" s="16" t="inlineStr">
        <is>
          <t>Real Estate</t>
        </is>
      </c>
      <c r="E578" s="16" t="inlineStr">
        <is>
          <t>Singapore</t>
        </is>
      </c>
    </row>
    <row r="579">
      <c r="A579" s="16" t="inlineStr">
        <is>
          <t>PAH SP Equity</t>
        </is>
      </c>
      <c r="B579" s="16" t="inlineStr">
        <is>
          <t>Pacific Andes Resources Develo</t>
        </is>
      </c>
      <c r="C579" s="17" t="e">
        <v>#N/A</v>
      </c>
      <c r="D579" s="16" t="inlineStr">
        <is>
          <t>Consumer Staples</t>
        </is>
      </c>
      <c r="E579" s="16" t="inlineStr">
        <is>
          <t>Singapore</t>
        </is>
      </c>
    </row>
    <row r="580">
      <c r="A580" s="16" t="inlineStr">
        <is>
          <t>REGAL SP Equity</t>
        </is>
      </c>
      <c r="B580" s="16" t="inlineStr">
        <is>
          <t>Regal International Group Ltd</t>
        </is>
      </c>
      <c r="C580" s="17" t="e">
        <v>#N/A</v>
      </c>
      <c r="D580" s="16" t="inlineStr">
        <is>
          <t>Real Estate</t>
        </is>
      </c>
      <c r="E580" s="16" t="inlineStr">
        <is>
          <t>Singapore</t>
        </is>
      </c>
    </row>
    <row r="581">
      <c r="A581" s="16" t="inlineStr">
        <is>
          <t>RIHL SP Equity</t>
        </is>
      </c>
      <c r="B581" s="16" t="inlineStr">
        <is>
          <t>Raffles Infrastructure Holding</t>
        </is>
      </c>
      <c r="C581" s="17" t="e">
        <v>#N/A</v>
      </c>
      <c r="D581" s="16" t="inlineStr">
        <is>
          <t>Industrials</t>
        </is>
      </c>
      <c r="E581" s="16" t="inlineStr">
        <is>
          <t>Singapore</t>
        </is>
      </c>
    </row>
    <row r="582">
      <c r="A582" s="16" t="inlineStr">
        <is>
          <t>SDAI SP Equity</t>
        </is>
      </c>
      <c r="B582" s="16" t="inlineStr">
        <is>
          <t>SDAI Ltd</t>
        </is>
      </c>
      <c r="C582" s="17" t="e">
        <v>#N/A</v>
      </c>
      <c r="D582" s="16" t="inlineStr">
        <is>
          <t>Consumer Discretionary</t>
        </is>
      </c>
      <c r="E582" s="16" t="inlineStr">
        <is>
          <t>Singapore</t>
        </is>
      </c>
    </row>
    <row r="583">
      <c r="A583" s="16" t="inlineStr">
        <is>
          <t>SFGI SP Equity</t>
        </is>
      </c>
      <c r="B583" s="16" t="inlineStr">
        <is>
          <t>Sino Grandness Food Industry G</t>
        </is>
      </c>
      <c r="C583" s="17" t="e">
        <v>#N/A</v>
      </c>
      <c r="D583" s="16" t="inlineStr">
        <is>
          <t>Consumer Staples</t>
        </is>
      </c>
      <c r="E583" s="16" t="inlineStr">
        <is>
          <t>Singapore</t>
        </is>
      </c>
    </row>
    <row r="584">
      <c r="A584" s="16" t="inlineStr">
        <is>
          <t>SIGL SP Equity</t>
        </is>
      </c>
      <c r="B584" s="16" t="inlineStr">
        <is>
          <t>SinoCloud Group Ltd</t>
        </is>
      </c>
      <c r="C584" s="17" t="e">
        <v>#N/A</v>
      </c>
      <c r="D584" s="16" t="inlineStr">
        <is>
          <t>Information Technology</t>
        </is>
      </c>
      <c r="E584" s="16" t="inlineStr">
        <is>
          <t>Singapore</t>
        </is>
      </c>
    </row>
    <row r="585">
      <c r="A585" s="16" t="inlineStr">
        <is>
          <t>SKE SP Equity</t>
        </is>
      </c>
      <c r="B585" s="16" t="inlineStr">
        <is>
          <t>Singapore Kitchen Equipment Lt</t>
        </is>
      </c>
      <c r="C585" s="17" t="e">
        <v>#N/A</v>
      </c>
      <c r="D585" s="16" t="inlineStr">
        <is>
          <t>Industrials</t>
        </is>
      </c>
      <c r="E585" s="16" t="inlineStr">
        <is>
          <t>Singapore</t>
        </is>
      </c>
    </row>
    <row r="586">
      <c r="A586" s="16" t="inlineStr">
        <is>
          <t>STHL SP Equity</t>
        </is>
      </c>
      <c r="B586" s="16" t="inlineStr">
        <is>
          <t>Luminor Financial Holdings Ltd</t>
        </is>
      </c>
      <c r="C586" s="17" t="e">
        <v>#N/A</v>
      </c>
      <c r="D586" s="16" t="inlineStr">
        <is>
          <t>Real Estate</t>
        </is>
      </c>
      <c r="E586" s="16" t="inlineStr">
        <is>
          <t>Singapore</t>
        </is>
      </c>
    </row>
    <row r="587">
      <c r="A587" s="16" t="inlineStr">
        <is>
          <t>SYHD SP Equity</t>
        </is>
      </c>
      <c r="B587" s="16" t="inlineStr">
        <is>
          <t>Shen Yao Holdings Ltd</t>
        </is>
      </c>
      <c r="C587" s="17" t="e">
        <v>#N/A</v>
      </c>
      <c r="D587" s="16" t="inlineStr">
        <is>
          <t>Materials</t>
        </is>
      </c>
      <c r="E587" s="16" t="inlineStr">
        <is>
          <t>Singapore</t>
        </is>
      </c>
    </row>
    <row r="588">
      <c r="A588" s="16" t="inlineStr">
        <is>
          <t>UFH SP Equity</t>
        </is>
      </c>
      <c r="B588" s="16" t="inlineStr">
        <is>
          <t>United Food Holdings Ltd</t>
        </is>
      </c>
      <c r="C588" s="17" t="e">
        <v>#N/A</v>
      </c>
      <c r="D588" s="16" t="inlineStr">
        <is>
          <t>Consumer Staples</t>
        </is>
      </c>
      <c r="E588" s="16" t="inlineStr">
        <is>
          <t>Singapore</t>
        </is>
      </c>
    </row>
    <row r="589">
      <c r="A589" s="16" t="inlineStr">
        <is>
          <t>UMS SP Equity</t>
        </is>
      </c>
      <c r="B589" s="16" t="inlineStr">
        <is>
          <t>USP Group Ltd</t>
        </is>
      </c>
      <c r="C589" s="17" t="e">
        <v>#N/A</v>
      </c>
      <c r="D589" s="16" t="inlineStr">
        <is>
          <t>Industrials</t>
        </is>
      </c>
      <c r="E589" s="16" t="inlineStr">
        <is>
          <t>Singapore</t>
        </is>
      </c>
    </row>
    <row r="590">
      <c r="A590" s="16" t="inlineStr">
        <is>
          <t>URS SP Equity</t>
        </is>
      </c>
      <c r="B590" s="16" t="inlineStr">
        <is>
          <t>Universal Resource &amp; Services</t>
        </is>
      </c>
      <c r="C590" s="17" t="e">
        <v>#N/A</v>
      </c>
      <c r="D590" s="16" t="inlineStr">
        <is>
          <t>Energy</t>
        </is>
      </c>
      <c r="E590" s="16" t="inlineStr">
        <is>
          <t>Singapore</t>
        </is>
      </c>
    </row>
    <row r="591">
      <c r="A591" s="16" t="inlineStr">
        <is>
          <t>V2Y SP Equity</t>
        </is>
      </c>
      <c r="B591" s="16" t="inlineStr">
        <is>
          <t>Oceanscape International Ltd</t>
        </is>
      </c>
      <c r="C591" s="17" t="e">
        <v>#N/A</v>
      </c>
      <c r="D591" s="16" t="inlineStr">
        <is>
          <t>Financials</t>
        </is>
      </c>
      <c r="E591" s="16" t="inlineStr">
        <is>
          <t>Singapore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6" customWidth="1" min="4" max="4"/>
    <col width="10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22" customHeight="1">
      <c r="A1" s="13" t="inlineStr">
        <is>
          <t>Share Buyback Tracker — SGX Ex-STI30</t>
        </is>
      </c>
    </row>
    <row r="3">
      <c r="A3" s="14" t="inlineStr">
        <is>
          <t>Ticker</t>
        </is>
      </c>
      <c r="B3" s="14" t="inlineStr">
        <is>
          <t>Company Name</t>
        </is>
      </c>
      <c r="C3" s="14" t="inlineStr">
        <is>
          <t>Shares Out
Today</t>
        </is>
      </c>
      <c r="D3" s="14">
        <f>CONCATENATE("Shares Out ",Settings!B4, IF(Settings!B4&gt;1," Wks Ago"," Wk Ago"))</f>
        <v/>
      </c>
      <c r="E3" s="14" t="inlineStr">
        <is>
          <t>% Change</t>
        </is>
      </c>
      <c r="F3" s="14" t="inlineStr">
        <is>
          <t>Buyback Flag</t>
        </is>
      </c>
      <c r="G3" s="14" t="inlineStr">
        <is>
          <t>Avg Vol (30D)</t>
        </is>
      </c>
      <c r="H3" s="14" t="inlineStr">
        <is>
          <t>Volume — Today</t>
        </is>
      </c>
      <c r="I3" s="14" t="inlineStr">
        <is>
          <t>Vol vs Avg (x)</t>
        </is>
      </c>
      <c r="J3" s="14" t="inlineStr">
        <is>
          <t>Volume Flag</t>
        </is>
      </c>
    </row>
    <row r="4">
      <c r="A4" s="16">
        <f>'Rest Universe'!A5</f>
        <v/>
      </c>
      <c r="B4" s="22">
        <f>IFERROR(_xll.BDP(A4,"NAME"),"")</f>
        <v/>
      </c>
      <c r="C4" s="22">
        <f>IFERROR(_xll.BDP(A4,"EQY_SH_OUT"),NA())</f>
        <v/>
      </c>
      <c r="D4" s="22">
        <f>IFERROR(_xll.BDH(A4,"EQY_SH_OUT","-"&amp;Settings!$B$4&amp;"AW","-"&amp;Settings!$B$4&amp;"AW","days=a","fill=p"),NA())</f>
        <v/>
      </c>
      <c r="E4" s="23">
        <f>IFERROR((C4-D4)/D4,NA())</f>
        <v/>
      </c>
      <c r="F4" s="16">
        <f>IF(ISNUMBER(E4),IF(E4&lt;=Settings!$B$6,"BUYBACK ACTIVITY",""),"")</f>
        <v/>
      </c>
      <c r="G4" s="22">
        <f>IFERROR(_xll.BDP(A4,"VOLUME_AVG_30D"),NA())</f>
        <v/>
      </c>
      <c r="H4" s="22">
        <f>IFERROR(_xll.BDP(A4,"PX_VOLUME"),NA())</f>
        <v/>
      </c>
      <c r="I4" s="16">
        <f>IFERROR(H4/G4,NA())</f>
        <v/>
      </c>
      <c r="J4" s="16">
        <f>IF(ISNUMBER(I4),IF(I4&gt;=Settings!$B$7,"VOL SPIKE",""),"")</f>
        <v/>
      </c>
    </row>
    <row r="5">
      <c r="A5" s="16">
        <f>'Rest Universe'!A6</f>
        <v/>
      </c>
      <c r="B5" s="22">
        <f>IFERROR(_xll.BDP(A5,"NAME"),"")</f>
        <v/>
      </c>
      <c r="C5" s="22">
        <f>IFERROR(_xll.BDP(A5,"EQY_SH_OUT"),NA())</f>
        <v/>
      </c>
      <c r="D5" s="22">
        <f>IFERROR(_xll.BDH(A5,"EQY_SH_OUT","-"&amp;Settings!$B$4&amp;"AW","-"&amp;Settings!$B$4&amp;"AW","days=a","fill=p"),NA())</f>
        <v/>
      </c>
      <c r="E5" s="23">
        <f>IFERROR((C5-D5)/D5,NA())</f>
        <v/>
      </c>
      <c r="F5" s="16">
        <f>IF(ISNUMBER(E5),IF(E5&lt;=Settings!$B$6,"BUYBACK ACTIVITY",""),"")</f>
        <v/>
      </c>
      <c r="G5" s="22">
        <f>IFERROR(_xll.BDP(A5,"VOLUME_AVG_30D"),NA())</f>
        <v/>
      </c>
      <c r="H5" s="22">
        <f>IFERROR(_xll.BDP(A5,"PX_VOLUME"),NA())</f>
        <v/>
      </c>
      <c r="I5" s="16">
        <f>IFERROR(H5/G5,NA())</f>
        <v/>
      </c>
      <c r="J5" s="16">
        <f>IF(ISNUMBER(I5),IF(I5&gt;=Settings!$B$7,"VOL SPIKE",""),"")</f>
        <v/>
      </c>
    </row>
    <row r="6">
      <c r="A6" s="16">
        <f>'Rest Universe'!A7</f>
        <v/>
      </c>
      <c r="B6" s="22">
        <f>IFERROR(_xll.BDP(A6,"NAME"),"")</f>
        <v/>
      </c>
      <c r="C6" s="22">
        <f>IFERROR(_xll.BDP(A6,"EQY_SH_OUT"),NA())</f>
        <v/>
      </c>
      <c r="D6" s="22">
        <f>IFERROR(_xll.BDH(A6,"EQY_SH_OUT","-"&amp;Settings!$B$4&amp;"AW","-"&amp;Settings!$B$4&amp;"AW","days=a","fill=p"),NA())</f>
        <v/>
      </c>
      <c r="E6" s="23">
        <f>IFERROR((C6-D6)/D6,NA())</f>
        <v/>
      </c>
      <c r="F6" s="16">
        <f>IF(ISNUMBER(E6),IF(E6&lt;=Settings!$B$6,"BUYBACK ACTIVITY",""),"")</f>
        <v/>
      </c>
      <c r="G6" s="22">
        <f>IFERROR(_xll.BDP(A6,"VOLUME_AVG_30D"),NA())</f>
        <v/>
      </c>
      <c r="H6" s="22">
        <f>IFERROR(_xll.BDP(A6,"PX_VOLUME"),NA())</f>
        <v/>
      </c>
      <c r="I6" s="16">
        <f>IFERROR(H6/G6,NA())</f>
        <v/>
      </c>
      <c r="J6" s="16">
        <f>IF(ISNUMBER(I6),IF(I6&gt;=Settings!$B$7,"VOL SPIKE",""),"")</f>
        <v/>
      </c>
    </row>
    <row r="7">
      <c r="A7" s="16">
        <f>'Rest Universe'!A8</f>
        <v/>
      </c>
      <c r="B7" s="22">
        <f>IFERROR(_xll.BDP(A7,"NAME"),"")</f>
        <v/>
      </c>
      <c r="C7" s="22">
        <f>IFERROR(_xll.BDP(A7,"EQY_SH_OUT"),NA())</f>
        <v/>
      </c>
      <c r="D7" s="22">
        <f>IFERROR(_xll.BDH(A7,"EQY_SH_OUT","-"&amp;Settings!$B$4&amp;"AW","-"&amp;Settings!$B$4&amp;"AW","days=a","fill=p"),NA())</f>
        <v/>
      </c>
      <c r="E7" s="23">
        <f>IFERROR((C7-D7)/D7,NA())</f>
        <v/>
      </c>
      <c r="F7" s="16">
        <f>IF(ISNUMBER(E7),IF(E7&lt;=Settings!$B$6,"BUYBACK ACTIVITY",""),"")</f>
        <v/>
      </c>
      <c r="G7" s="22">
        <f>IFERROR(_xll.BDP(A7,"VOLUME_AVG_30D"),NA())</f>
        <v/>
      </c>
      <c r="H7" s="22">
        <f>IFERROR(_xll.BDP(A7,"PX_VOLUME"),NA())</f>
        <v/>
      </c>
      <c r="I7" s="16">
        <f>IFERROR(H7/G7,NA())</f>
        <v/>
      </c>
      <c r="J7" s="16">
        <f>IF(ISNUMBER(I7),IF(I7&gt;=Settings!$B$7,"VOL SPIKE",""),"")</f>
        <v/>
      </c>
    </row>
    <row r="8">
      <c r="A8" s="16">
        <f>'Rest Universe'!A9</f>
        <v/>
      </c>
      <c r="B8" s="22">
        <f>IFERROR(_xll.BDP(A8,"NAME"),"")</f>
        <v/>
      </c>
      <c r="C8" s="22">
        <f>IFERROR(_xll.BDP(A8,"EQY_SH_OUT"),NA())</f>
        <v/>
      </c>
      <c r="D8" s="22">
        <f>IFERROR(_xll.BDH(A8,"EQY_SH_OUT","-"&amp;Settings!$B$4&amp;"AW","-"&amp;Settings!$B$4&amp;"AW","days=a","fill=p"),NA())</f>
        <v/>
      </c>
      <c r="E8" s="23">
        <f>IFERROR((C8-D8)/D8,NA())</f>
        <v/>
      </c>
      <c r="F8" s="16">
        <f>IF(ISNUMBER(E8),IF(E8&lt;=Settings!$B$6,"BUYBACK ACTIVITY",""),"")</f>
        <v/>
      </c>
      <c r="G8" s="22">
        <f>IFERROR(_xll.BDP(A8,"VOLUME_AVG_30D"),NA())</f>
        <v/>
      </c>
      <c r="H8" s="22">
        <f>IFERROR(_xll.BDP(A8,"PX_VOLUME"),NA())</f>
        <v/>
      </c>
      <c r="I8" s="16">
        <f>IFERROR(H8/G8,NA())</f>
        <v/>
      </c>
      <c r="J8" s="16">
        <f>IF(ISNUMBER(I8),IF(I8&gt;=Settings!$B$7,"VOL SPIKE",""),"")</f>
        <v/>
      </c>
    </row>
    <row r="9">
      <c r="A9" s="16">
        <f>'Rest Universe'!A10</f>
        <v/>
      </c>
      <c r="B9" s="22">
        <f>IFERROR(_xll.BDP(A9,"NAME"),"")</f>
        <v/>
      </c>
      <c r="C9" s="22">
        <f>IFERROR(_xll.BDP(A9,"EQY_SH_OUT"),NA())</f>
        <v/>
      </c>
      <c r="D9" s="22">
        <f>IFERROR(_xll.BDH(A9,"EQY_SH_OUT","-"&amp;Settings!$B$4&amp;"AW","-"&amp;Settings!$B$4&amp;"AW","days=a","fill=p"),NA())</f>
        <v/>
      </c>
      <c r="E9" s="23">
        <f>IFERROR((C9-D9)/D9,NA())</f>
        <v/>
      </c>
      <c r="F9" s="16">
        <f>IF(ISNUMBER(E9),IF(E9&lt;=Settings!$B$6,"BUYBACK ACTIVITY",""),"")</f>
        <v/>
      </c>
      <c r="G9" s="22">
        <f>IFERROR(_xll.BDP(A9,"VOLUME_AVG_30D"),NA())</f>
        <v/>
      </c>
      <c r="H9" s="22">
        <f>IFERROR(_xll.BDP(A9,"PX_VOLUME"),NA())</f>
        <v/>
      </c>
      <c r="I9" s="16">
        <f>IFERROR(H9/G9,NA())</f>
        <v/>
      </c>
      <c r="J9" s="16">
        <f>IF(ISNUMBER(I9),IF(I9&gt;=Settings!$B$7,"VOL SPIKE",""),"")</f>
        <v/>
      </c>
    </row>
    <row r="10">
      <c r="A10" s="16">
        <f>'Rest Universe'!A11</f>
        <v/>
      </c>
      <c r="B10" s="22">
        <f>IFERROR(_xll.BDP(A10,"NAME"),"")</f>
        <v/>
      </c>
      <c r="C10" s="22">
        <f>IFERROR(_xll.BDP(A10,"EQY_SH_OUT"),NA())</f>
        <v/>
      </c>
      <c r="D10" s="22">
        <f>IFERROR(_xll.BDH(A10,"EQY_SH_OUT","-"&amp;Settings!$B$4&amp;"AW","-"&amp;Settings!$B$4&amp;"AW","days=a","fill=p"),NA())</f>
        <v/>
      </c>
      <c r="E10" s="23">
        <f>IFERROR((C10-D10)/D10,NA())</f>
        <v/>
      </c>
      <c r="F10" s="16">
        <f>IF(ISNUMBER(E10),IF(E10&lt;=Settings!$B$6,"BUYBACK ACTIVITY",""),"")</f>
        <v/>
      </c>
      <c r="G10" s="22">
        <f>IFERROR(_xll.BDP(A10,"VOLUME_AVG_30D"),NA())</f>
        <v/>
      </c>
      <c r="H10" s="22">
        <f>IFERROR(_xll.BDP(A10,"PX_VOLUME"),NA())</f>
        <v/>
      </c>
      <c r="I10" s="16">
        <f>IFERROR(H10/G10,NA())</f>
        <v/>
      </c>
      <c r="J10" s="16">
        <f>IF(ISNUMBER(I10),IF(I10&gt;=Settings!$B$7,"VOL SPIKE",""),"")</f>
        <v/>
      </c>
    </row>
    <row r="11">
      <c r="A11" s="16">
        <f>'Rest Universe'!A12</f>
        <v/>
      </c>
      <c r="B11" s="22">
        <f>IFERROR(_xll.BDP(A11,"NAME"),"")</f>
        <v/>
      </c>
      <c r="C11" s="22">
        <f>IFERROR(_xll.BDP(A11,"EQY_SH_OUT"),NA())</f>
        <v/>
      </c>
      <c r="D11" s="22">
        <f>IFERROR(_xll.BDH(A11,"EQY_SH_OUT","-"&amp;Settings!$B$4&amp;"AW","-"&amp;Settings!$B$4&amp;"AW","days=a","fill=p"),NA())</f>
        <v/>
      </c>
      <c r="E11" s="23">
        <f>IFERROR((C11-D11)/D11,NA())</f>
        <v/>
      </c>
      <c r="F11" s="16">
        <f>IF(ISNUMBER(E11),IF(E11&lt;=Settings!$B$6,"BUYBACK ACTIVITY",""),"")</f>
        <v/>
      </c>
      <c r="G11" s="22">
        <f>IFERROR(_xll.BDP(A11,"VOLUME_AVG_30D"),NA())</f>
        <v/>
      </c>
      <c r="H11" s="22">
        <f>IFERROR(_xll.BDP(A11,"PX_VOLUME"),NA())</f>
        <v/>
      </c>
      <c r="I11" s="16">
        <f>IFERROR(H11/G11,NA())</f>
        <v/>
      </c>
      <c r="J11" s="16">
        <f>IF(ISNUMBER(I11),IF(I11&gt;=Settings!$B$7,"VOL SPIKE",""),"")</f>
        <v/>
      </c>
    </row>
    <row r="12">
      <c r="A12" s="16">
        <f>'Rest Universe'!A13</f>
        <v/>
      </c>
      <c r="B12" s="22">
        <f>IFERROR(_xll.BDP(A12,"NAME"),"")</f>
        <v/>
      </c>
      <c r="C12" s="22">
        <f>IFERROR(_xll.BDP(A12,"EQY_SH_OUT"),NA())</f>
        <v/>
      </c>
      <c r="D12" s="22">
        <f>IFERROR(_xll.BDH(A12,"EQY_SH_OUT","-"&amp;Settings!$B$4&amp;"AW","-"&amp;Settings!$B$4&amp;"AW","days=a","fill=p"),NA())</f>
        <v/>
      </c>
      <c r="E12" s="23">
        <f>IFERROR((C12-D12)/D12,NA())</f>
        <v/>
      </c>
      <c r="F12" s="16">
        <f>IF(ISNUMBER(E12),IF(E12&lt;=Settings!$B$6,"BUYBACK ACTIVITY",""),"")</f>
        <v/>
      </c>
      <c r="G12" s="22">
        <f>IFERROR(_xll.BDP(A12,"VOLUME_AVG_30D"),NA())</f>
        <v/>
      </c>
      <c r="H12" s="22">
        <f>IFERROR(_xll.BDP(A12,"PX_VOLUME"),NA())</f>
        <v/>
      </c>
      <c r="I12" s="16">
        <f>IFERROR(H12/G12,NA())</f>
        <v/>
      </c>
      <c r="J12" s="16">
        <f>IF(ISNUMBER(I12),IF(I12&gt;=Settings!$B$7,"VOL SPIKE",""),"")</f>
        <v/>
      </c>
    </row>
    <row r="13">
      <c r="A13" s="16">
        <f>'Rest Universe'!A14</f>
        <v/>
      </c>
      <c r="B13" s="22">
        <f>IFERROR(_xll.BDP(A13,"NAME"),"")</f>
        <v/>
      </c>
      <c r="C13" s="22">
        <f>IFERROR(_xll.BDP(A13,"EQY_SH_OUT"),NA())</f>
        <v/>
      </c>
      <c r="D13" s="22">
        <f>IFERROR(_xll.BDH(A13,"EQY_SH_OUT","-"&amp;Settings!$B$4&amp;"AW","-"&amp;Settings!$B$4&amp;"AW","days=a","fill=p"),NA())</f>
        <v/>
      </c>
      <c r="E13" s="23">
        <f>IFERROR((C13-D13)/D13,NA())</f>
        <v/>
      </c>
      <c r="F13" s="16">
        <f>IF(ISNUMBER(E13),IF(E13&lt;=Settings!$B$6,"BUYBACK ACTIVITY",""),"")</f>
        <v/>
      </c>
      <c r="G13" s="22">
        <f>IFERROR(_xll.BDP(A13,"VOLUME_AVG_30D"),NA())</f>
        <v/>
      </c>
      <c r="H13" s="22">
        <f>IFERROR(_xll.BDP(A13,"PX_VOLUME"),NA())</f>
        <v/>
      </c>
      <c r="I13" s="16">
        <f>IFERROR(H13/G13,NA())</f>
        <v/>
      </c>
      <c r="J13" s="16">
        <f>IF(ISNUMBER(I13),IF(I13&gt;=Settings!$B$7,"VOL SPIKE",""),"")</f>
        <v/>
      </c>
    </row>
    <row r="14">
      <c r="A14" s="16">
        <f>'Rest Universe'!A15</f>
        <v/>
      </c>
      <c r="B14" s="22">
        <f>IFERROR(_xll.BDP(A14,"NAME"),"")</f>
        <v/>
      </c>
      <c r="C14" s="22">
        <f>IFERROR(_xll.BDP(A14,"EQY_SH_OUT"),NA())</f>
        <v/>
      </c>
      <c r="D14" s="22">
        <f>IFERROR(_xll.BDH(A14,"EQY_SH_OUT","-"&amp;Settings!$B$4&amp;"AW","-"&amp;Settings!$B$4&amp;"AW","days=a","fill=p"),NA())</f>
        <v/>
      </c>
      <c r="E14" s="23">
        <f>IFERROR((C14-D14)/D14,NA())</f>
        <v/>
      </c>
      <c r="F14" s="16">
        <f>IF(ISNUMBER(E14),IF(E14&lt;=Settings!$B$6,"BUYBACK ACTIVITY",""),"")</f>
        <v/>
      </c>
      <c r="G14" s="22">
        <f>IFERROR(_xll.BDP(A14,"VOLUME_AVG_30D"),NA())</f>
        <v/>
      </c>
      <c r="H14" s="22">
        <f>IFERROR(_xll.BDP(A14,"PX_VOLUME"),NA())</f>
        <v/>
      </c>
      <c r="I14" s="16">
        <f>IFERROR(H14/G14,NA())</f>
        <v/>
      </c>
      <c r="J14" s="16">
        <f>IF(ISNUMBER(I14),IF(I14&gt;=Settings!$B$7,"VOL SPIKE",""),"")</f>
        <v/>
      </c>
    </row>
    <row r="15">
      <c r="A15" s="16">
        <f>'Rest Universe'!A16</f>
        <v/>
      </c>
      <c r="B15" s="22">
        <f>IFERROR(_xll.BDP(A15,"NAME"),"")</f>
        <v/>
      </c>
      <c r="C15" s="22">
        <f>IFERROR(_xll.BDP(A15,"EQY_SH_OUT"),NA())</f>
        <v/>
      </c>
      <c r="D15" s="22">
        <f>IFERROR(_xll.BDH(A15,"EQY_SH_OUT","-"&amp;Settings!$B$4&amp;"AW","-"&amp;Settings!$B$4&amp;"AW","days=a","fill=p"),NA())</f>
        <v/>
      </c>
      <c r="E15" s="23">
        <f>IFERROR((C15-D15)/D15,NA())</f>
        <v/>
      </c>
      <c r="F15" s="16">
        <f>IF(ISNUMBER(E15),IF(E15&lt;=Settings!$B$6,"BUYBACK ACTIVITY",""),"")</f>
        <v/>
      </c>
      <c r="G15" s="22">
        <f>IFERROR(_xll.BDP(A15,"VOLUME_AVG_30D"),NA())</f>
        <v/>
      </c>
      <c r="H15" s="22">
        <f>IFERROR(_xll.BDP(A15,"PX_VOLUME"),NA())</f>
        <v/>
      </c>
      <c r="I15" s="16">
        <f>IFERROR(H15/G15,NA())</f>
        <v/>
      </c>
      <c r="J15" s="16">
        <f>IF(ISNUMBER(I15),IF(I15&gt;=Settings!$B$7,"VOL SPIKE",""),"")</f>
        <v/>
      </c>
    </row>
    <row r="16">
      <c r="A16" s="16">
        <f>'Rest Universe'!A17</f>
        <v/>
      </c>
      <c r="B16" s="22">
        <f>IFERROR(_xll.BDP(A16,"NAME"),"")</f>
        <v/>
      </c>
      <c r="C16" s="22">
        <f>IFERROR(_xll.BDP(A16,"EQY_SH_OUT"),NA())</f>
        <v/>
      </c>
      <c r="D16" s="22">
        <f>IFERROR(_xll.BDH(A16,"EQY_SH_OUT","-"&amp;Settings!$B$4&amp;"AW","-"&amp;Settings!$B$4&amp;"AW","days=a","fill=p"),NA())</f>
        <v/>
      </c>
      <c r="E16" s="23">
        <f>IFERROR((C16-D16)/D16,NA())</f>
        <v/>
      </c>
      <c r="F16" s="16">
        <f>IF(ISNUMBER(E16),IF(E16&lt;=Settings!$B$6,"BUYBACK ACTIVITY",""),"")</f>
        <v/>
      </c>
      <c r="G16" s="22">
        <f>IFERROR(_xll.BDP(A16,"VOLUME_AVG_30D"),NA())</f>
        <v/>
      </c>
      <c r="H16" s="22">
        <f>IFERROR(_xll.BDP(A16,"PX_VOLUME"),NA())</f>
        <v/>
      </c>
      <c r="I16" s="16">
        <f>IFERROR(H16/G16,NA())</f>
        <v/>
      </c>
      <c r="J16" s="16">
        <f>IF(ISNUMBER(I16),IF(I16&gt;=Settings!$B$7,"VOL SPIKE",""),"")</f>
        <v/>
      </c>
    </row>
    <row r="17">
      <c r="A17" s="16">
        <f>'Rest Universe'!A18</f>
        <v/>
      </c>
      <c r="B17" s="22">
        <f>IFERROR(_xll.BDP(A17,"NAME"),"")</f>
        <v/>
      </c>
      <c r="C17" s="22">
        <f>IFERROR(_xll.BDP(A17,"EQY_SH_OUT"),NA())</f>
        <v/>
      </c>
      <c r="D17" s="22">
        <f>IFERROR(_xll.BDH(A17,"EQY_SH_OUT","-"&amp;Settings!$B$4&amp;"AW","-"&amp;Settings!$B$4&amp;"AW","days=a","fill=p"),NA())</f>
        <v/>
      </c>
      <c r="E17" s="23">
        <f>IFERROR((C17-D17)/D17,NA())</f>
        <v/>
      </c>
      <c r="F17" s="16">
        <f>IF(ISNUMBER(E17),IF(E17&lt;=Settings!$B$6,"BUYBACK ACTIVITY",""),"")</f>
        <v/>
      </c>
      <c r="G17" s="22">
        <f>IFERROR(_xll.BDP(A17,"VOLUME_AVG_30D"),NA())</f>
        <v/>
      </c>
      <c r="H17" s="22">
        <f>IFERROR(_xll.BDP(A17,"PX_VOLUME"),NA())</f>
        <v/>
      </c>
      <c r="I17" s="16">
        <f>IFERROR(H17/G17,NA())</f>
        <v/>
      </c>
      <c r="J17" s="16">
        <f>IF(ISNUMBER(I17),IF(I17&gt;=Settings!$B$7,"VOL SPIKE",""),"")</f>
        <v/>
      </c>
    </row>
    <row r="18">
      <c r="A18" s="16">
        <f>'Rest Universe'!A19</f>
        <v/>
      </c>
      <c r="B18" s="22">
        <f>IFERROR(_xll.BDP(A18,"NAME"),"")</f>
        <v/>
      </c>
      <c r="C18" s="22">
        <f>IFERROR(_xll.BDP(A18,"EQY_SH_OUT"),NA())</f>
        <v/>
      </c>
      <c r="D18" s="22">
        <f>IFERROR(_xll.BDH(A18,"EQY_SH_OUT","-"&amp;Settings!$B$4&amp;"AW","-"&amp;Settings!$B$4&amp;"AW","days=a","fill=p"),NA())</f>
        <v/>
      </c>
      <c r="E18" s="23">
        <f>IFERROR((C18-D18)/D18,NA())</f>
        <v/>
      </c>
      <c r="F18" s="16">
        <f>IF(ISNUMBER(E18),IF(E18&lt;=Settings!$B$6,"BUYBACK ACTIVITY",""),"")</f>
        <v/>
      </c>
      <c r="G18" s="22">
        <f>IFERROR(_xll.BDP(A18,"VOLUME_AVG_30D"),NA())</f>
        <v/>
      </c>
      <c r="H18" s="22">
        <f>IFERROR(_xll.BDP(A18,"PX_VOLUME"),NA())</f>
        <v/>
      </c>
      <c r="I18" s="16">
        <f>IFERROR(H18/G18,NA())</f>
        <v/>
      </c>
      <c r="J18" s="16">
        <f>IF(ISNUMBER(I18),IF(I18&gt;=Settings!$B$7,"VOL SPIKE",""),"")</f>
        <v/>
      </c>
    </row>
    <row r="19">
      <c r="A19" s="16">
        <f>'Rest Universe'!A20</f>
        <v/>
      </c>
      <c r="B19" s="22">
        <f>IFERROR(_xll.BDP(A19,"NAME"),"")</f>
        <v/>
      </c>
      <c r="C19" s="22">
        <f>IFERROR(_xll.BDP(A19,"EQY_SH_OUT"),NA())</f>
        <v/>
      </c>
      <c r="D19" s="22">
        <f>IFERROR(_xll.BDH(A19,"EQY_SH_OUT","-"&amp;Settings!$B$4&amp;"AW","-"&amp;Settings!$B$4&amp;"AW","days=a","fill=p"),NA())</f>
        <v/>
      </c>
      <c r="E19" s="23">
        <f>IFERROR((C19-D19)/D19,NA())</f>
        <v/>
      </c>
      <c r="F19" s="16">
        <f>IF(ISNUMBER(E19),IF(E19&lt;=Settings!$B$6,"BUYBACK ACTIVITY",""),"")</f>
        <v/>
      </c>
      <c r="G19" s="22">
        <f>IFERROR(_xll.BDP(A19,"VOLUME_AVG_30D"),NA())</f>
        <v/>
      </c>
      <c r="H19" s="22">
        <f>IFERROR(_xll.BDP(A19,"PX_VOLUME"),NA())</f>
        <v/>
      </c>
      <c r="I19" s="16">
        <f>IFERROR(H19/G19,NA())</f>
        <v/>
      </c>
      <c r="J19" s="16">
        <f>IF(ISNUMBER(I19),IF(I19&gt;=Settings!$B$7,"VOL SPIKE",""),"")</f>
        <v/>
      </c>
    </row>
    <row r="20">
      <c r="A20" s="16">
        <f>'Rest Universe'!A21</f>
        <v/>
      </c>
      <c r="B20" s="22">
        <f>IFERROR(_xll.BDP(A20,"NAME"),"")</f>
        <v/>
      </c>
      <c r="C20" s="22">
        <f>IFERROR(_xll.BDP(A20,"EQY_SH_OUT"),NA())</f>
        <v/>
      </c>
      <c r="D20" s="22">
        <f>IFERROR(_xll.BDH(A20,"EQY_SH_OUT","-"&amp;Settings!$B$4&amp;"AW","-"&amp;Settings!$B$4&amp;"AW","days=a","fill=p"),NA())</f>
        <v/>
      </c>
      <c r="E20" s="23">
        <f>IFERROR((C20-D20)/D20,NA())</f>
        <v/>
      </c>
      <c r="F20" s="16">
        <f>IF(ISNUMBER(E20),IF(E20&lt;=Settings!$B$6,"BUYBACK ACTIVITY",""),"")</f>
        <v/>
      </c>
      <c r="G20" s="22">
        <f>IFERROR(_xll.BDP(A20,"VOLUME_AVG_30D"),NA())</f>
        <v/>
      </c>
      <c r="H20" s="22">
        <f>IFERROR(_xll.BDP(A20,"PX_VOLUME"),NA())</f>
        <v/>
      </c>
      <c r="I20" s="16">
        <f>IFERROR(H20/G20,NA())</f>
        <v/>
      </c>
      <c r="J20" s="16">
        <f>IF(ISNUMBER(I20),IF(I20&gt;=Settings!$B$7,"VOL SPIKE",""),"")</f>
        <v/>
      </c>
    </row>
    <row r="21">
      <c r="A21" s="16">
        <f>'Rest Universe'!A22</f>
        <v/>
      </c>
      <c r="B21" s="22">
        <f>IFERROR(_xll.BDP(A21,"NAME"),"")</f>
        <v/>
      </c>
      <c r="C21" s="22">
        <f>IFERROR(_xll.BDP(A21,"EQY_SH_OUT"),NA())</f>
        <v/>
      </c>
      <c r="D21" s="22">
        <f>IFERROR(_xll.BDH(A21,"EQY_SH_OUT","-"&amp;Settings!$B$4&amp;"AW","-"&amp;Settings!$B$4&amp;"AW","days=a","fill=p"),NA())</f>
        <v/>
      </c>
      <c r="E21" s="23">
        <f>IFERROR((C21-D21)/D21,NA())</f>
        <v/>
      </c>
      <c r="F21" s="16">
        <f>IF(ISNUMBER(E21),IF(E21&lt;=Settings!$B$6,"BUYBACK ACTIVITY",""),"")</f>
        <v/>
      </c>
      <c r="G21" s="22">
        <f>IFERROR(_xll.BDP(A21,"VOLUME_AVG_30D"),NA())</f>
        <v/>
      </c>
      <c r="H21" s="22">
        <f>IFERROR(_xll.BDP(A21,"PX_VOLUME"),NA())</f>
        <v/>
      </c>
      <c r="I21" s="16">
        <f>IFERROR(H21/G21,NA())</f>
        <v/>
      </c>
      <c r="J21" s="16">
        <f>IF(ISNUMBER(I21),IF(I21&gt;=Settings!$B$7,"VOL SPIKE",""),"")</f>
        <v/>
      </c>
    </row>
    <row r="22">
      <c r="A22" s="16">
        <f>'Rest Universe'!A23</f>
        <v/>
      </c>
      <c r="B22" s="22">
        <f>IFERROR(_xll.BDP(A22,"NAME"),"")</f>
        <v/>
      </c>
      <c r="C22" s="22">
        <f>IFERROR(_xll.BDP(A22,"EQY_SH_OUT"),NA())</f>
        <v/>
      </c>
      <c r="D22" s="22">
        <f>IFERROR(_xll.BDH(A22,"EQY_SH_OUT","-"&amp;Settings!$B$4&amp;"AW","-"&amp;Settings!$B$4&amp;"AW","days=a","fill=p"),NA())</f>
        <v/>
      </c>
      <c r="E22" s="23">
        <f>IFERROR((C22-D22)/D22,NA())</f>
        <v/>
      </c>
      <c r="F22" s="16">
        <f>IF(ISNUMBER(E22),IF(E22&lt;=Settings!$B$6,"BUYBACK ACTIVITY",""),"")</f>
        <v/>
      </c>
      <c r="G22" s="22">
        <f>IFERROR(_xll.BDP(A22,"VOLUME_AVG_30D"),NA())</f>
        <v/>
      </c>
      <c r="H22" s="22">
        <f>IFERROR(_xll.BDP(A22,"PX_VOLUME"),NA())</f>
        <v/>
      </c>
      <c r="I22" s="16">
        <f>IFERROR(H22/G22,NA())</f>
        <v/>
      </c>
      <c r="J22" s="16">
        <f>IF(ISNUMBER(I22),IF(I22&gt;=Settings!$B$7,"VOL SPIKE",""),"")</f>
        <v/>
      </c>
    </row>
    <row r="23">
      <c r="A23" s="16">
        <f>'Rest Universe'!A24</f>
        <v/>
      </c>
      <c r="B23" s="22">
        <f>IFERROR(_xll.BDP(A23,"NAME"),"")</f>
        <v/>
      </c>
      <c r="C23" s="22">
        <f>IFERROR(_xll.BDP(A23,"EQY_SH_OUT"),NA())</f>
        <v/>
      </c>
      <c r="D23" s="22">
        <f>IFERROR(_xll.BDH(A23,"EQY_SH_OUT","-"&amp;Settings!$B$4&amp;"AW","-"&amp;Settings!$B$4&amp;"AW","days=a","fill=p"),NA())</f>
        <v/>
      </c>
      <c r="E23" s="23">
        <f>IFERROR((C23-D23)/D23,NA())</f>
        <v/>
      </c>
      <c r="F23" s="16">
        <f>IF(ISNUMBER(E23),IF(E23&lt;=Settings!$B$6,"BUYBACK ACTIVITY",""),"")</f>
        <v/>
      </c>
      <c r="G23" s="22">
        <f>IFERROR(_xll.BDP(A23,"VOLUME_AVG_30D"),NA())</f>
        <v/>
      </c>
      <c r="H23" s="22">
        <f>IFERROR(_xll.BDP(A23,"PX_VOLUME"),NA())</f>
        <v/>
      </c>
      <c r="I23" s="16">
        <f>IFERROR(H23/G23,NA())</f>
        <v/>
      </c>
      <c r="J23" s="16">
        <f>IF(ISNUMBER(I23),IF(I23&gt;=Settings!$B$7,"VOL SPIKE",""),"")</f>
        <v/>
      </c>
    </row>
    <row r="24">
      <c r="A24" s="16">
        <f>'Rest Universe'!A25</f>
        <v/>
      </c>
      <c r="B24" s="22">
        <f>IFERROR(_xll.BDP(A24,"NAME"),"")</f>
        <v/>
      </c>
      <c r="C24" s="22">
        <f>IFERROR(_xll.BDP(A24,"EQY_SH_OUT"),NA())</f>
        <v/>
      </c>
      <c r="D24" s="22">
        <f>IFERROR(_xll.BDH(A24,"EQY_SH_OUT","-"&amp;Settings!$B$4&amp;"AW","-"&amp;Settings!$B$4&amp;"AW","days=a","fill=p"),NA())</f>
        <v/>
      </c>
      <c r="E24" s="23">
        <f>IFERROR((C24-D24)/D24,NA())</f>
        <v/>
      </c>
      <c r="F24" s="16">
        <f>IF(ISNUMBER(E24),IF(E24&lt;=Settings!$B$6,"BUYBACK ACTIVITY",""),"")</f>
        <v/>
      </c>
      <c r="G24" s="22">
        <f>IFERROR(_xll.BDP(A24,"VOLUME_AVG_30D"),NA())</f>
        <v/>
      </c>
      <c r="H24" s="22">
        <f>IFERROR(_xll.BDP(A24,"PX_VOLUME"),NA())</f>
        <v/>
      </c>
      <c r="I24" s="16">
        <f>IFERROR(H24/G24,NA())</f>
        <v/>
      </c>
      <c r="J24" s="16">
        <f>IF(ISNUMBER(I24),IF(I24&gt;=Settings!$B$7,"VOL SPIKE",""),"")</f>
        <v/>
      </c>
    </row>
    <row r="25">
      <c r="A25" s="16">
        <f>'Rest Universe'!A26</f>
        <v/>
      </c>
      <c r="B25" s="22">
        <f>IFERROR(_xll.BDP(A25,"NAME"),"")</f>
        <v/>
      </c>
      <c r="C25" s="22">
        <f>IFERROR(_xll.BDP(A25,"EQY_SH_OUT"),NA())</f>
        <v/>
      </c>
      <c r="D25" s="22">
        <f>IFERROR(_xll.BDH(A25,"EQY_SH_OUT","-"&amp;Settings!$B$4&amp;"AW","-"&amp;Settings!$B$4&amp;"AW","days=a","fill=p"),NA())</f>
        <v/>
      </c>
      <c r="E25" s="23">
        <f>IFERROR((C25-D25)/D25,NA())</f>
        <v/>
      </c>
      <c r="F25" s="16">
        <f>IF(ISNUMBER(E25),IF(E25&lt;=Settings!$B$6,"BUYBACK ACTIVITY",""),"")</f>
        <v/>
      </c>
      <c r="G25" s="22">
        <f>IFERROR(_xll.BDP(A25,"VOLUME_AVG_30D"),NA())</f>
        <v/>
      </c>
      <c r="H25" s="22">
        <f>IFERROR(_xll.BDP(A25,"PX_VOLUME"),NA())</f>
        <v/>
      </c>
      <c r="I25" s="16">
        <f>IFERROR(H25/G25,NA())</f>
        <v/>
      </c>
      <c r="J25" s="16">
        <f>IF(ISNUMBER(I25),IF(I25&gt;=Settings!$B$7,"VOL SPIKE",""),"")</f>
        <v/>
      </c>
    </row>
    <row r="26">
      <c r="A26" s="16">
        <f>'Rest Universe'!A27</f>
        <v/>
      </c>
      <c r="B26" s="22">
        <f>IFERROR(_xll.BDP(A26,"NAME"),"")</f>
        <v/>
      </c>
      <c r="C26" s="22">
        <f>IFERROR(_xll.BDP(A26,"EQY_SH_OUT"),NA())</f>
        <v/>
      </c>
      <c r="D26" s="22">
        <f>IFERROR(_xll.BDH(A26,"EQY_SH_OUT","-"&amp;Settings!$B$4&amp;"AW","-"&amp;Settings!$B$4&amp;"AW","days=a","fill=p"),NA())</f>
        <v/>
      </c>
      <c r="E26" s="23">
        <f>IFERROR((C26-D26)/D26,NA())</f>
        <v/>
      </c>
      <c r="F26" s="16">
        <f>IF(ISNUMBER(E26),IF(E26&lt;=Settings!$B$6,"BUYBACK ACTIVITY",""),"")</f>
        <v/>
      </c>
      <c r="G26" s="22">
        <f>IFERROR(_xll.BDP(A26,"VOLUME_AVG_30D"),NA())</f>
        <v/>
      </c>
      <c r="H26" s="22">
        <f>IFERROR(_xll.BDP(A26,"PX_VOLUME"),NA())</f>
        <v/>
      </c>
      <c r="I26" s="16">
        <f>IFERROR(H26/G26,NA())</f>
        <v/>
      </c>
      <c r="J26" s="16">
        <f>IF(ISNUMBER(I26),IF(I26&gt;=Settings!$B$7,"VOL SPIKE",""),"")</f>
        <v/>
      </c>
    </row>
    <row r="27">
      <c r="A27" s="16">
        <f>'Rest Universe'!A28</f>
        <v/>
      </c>
      <c r="B27" s="22">
        <f>IFERROR(_xll.BDP(A27,"NAME"),"")</f>
        <v/>
      </c>
      <c r="C27" s="22">
        <f>IFERROR(_xll.BDP(A27,"EQY_SH_OUT"),NA())</f>
        <v/>
      </c>
      <c r="D27" s="22">
        <f>IFERROR(_xll.BDH(A27,"EQY_SH_OUT","-"&amp;Settings!$B$4&amp;"AW","-"&amp;Settings!$B$4&amp;"AW","days=a","fill=p"),NA())</f>
        <v/>
      </c>
      <c r="E27" s="23">
        <f>IFERROR((C27-D27)/D27,NA())</f>
        <v/>
      </c>
      <c r="F27" s="16">
        <f>IF(ISNUMBER(E27),IF(E27&lt;=Settings!$B$6,"BUYBACK ACTIVITY",""),"")</f>
        <v/>
      </c>
      <c r="G27" s="22">
        <f>IFERROR(_xll.BDP(A27,"VOLUME_AVG_30D"),NA())</f>
        <v/>
      </c>
      <c r="H27" s="22">
        <f>IFERROR(_xll.BDP(A27,"PX_VOLUME"),NA())</f>
        <v/>
      </c>
      <c r="I27" s="16">
        <f>IFERROR(H27/G27,NA())</f>
        <v/>
      </c>
      <c r="J27" s="16">
        <f>IF(ISNUMBER(I27),IF(I27&gt;=Settings!$B$7,"VOL SPIKE",""),"")</f>
        <v/>
      </c>
    </row>
    <row r="28">
      <c r="A28" s="16">
        <f>'Rest Universe'!A29</f>
        <v/>
      </c>
      <c r="B28" s="22">
        <f>IFERROR(_xll.BDP(A28,"NAME"),"")</f>
        <v/>
      </c>
      <c r="C28" s="22">
        <f>IFERROR(_xll.BDP(A28,"EQY_SH_OUT"),NA())</f>
        <v/>
      </c>
      <c r="D28" s="22">
        <f>IFERROR(_xll.BDH(A28,"EQY_SH_OUT","-"&amp;Settings!$B$4&amp;"AW","-"&amp;Settings!$B$4&amp;"AW","days=a","fill=p"),NA())</f>
        <v/>
      </c>
      <c r="E28" s="23">
        <f>IFERROR((C28-D28)/D28,NA())</f>
        <v/>
      </c>
      <c r="F28" s="16">
        <f>IF(ISNUMBER(E28),IF(E28&lt;=Settings!$B$6,"BUYBACK ACTIVITY",""),"")</f>
        <v/>
      </c>
      <c r="G28" s="22">
        <f>IFERROR(_xll.BDP(A28,"VOLUME_AVG_30D"),NA())</f>
        <v/>
      </c>
      <c r="H28" s="22">
        <f>IFERROR(_xll.BDP(A28,"PX_VOLUME"),NA())</f>
        <v/>
      </c>
      <c r="I28" s="16">
        <f>IFERROR(H28/G28,NA())</f>
        <v/>
      </c>
      <c r="J28" s="16">
        <f>IF(ISNUMBER(I28),IF(I28&gt;=Settings!$B$7,"VOL SPIKE",""),"")</f>
        <v/>
      </c>
    </row>
    <row r="29">
      <c r="A29" s="16">
        <f>'Rest Universe'!A30</f>
        <v/>
      </c>
      <c r="B29" s="22">
        <f>IFERROR(_xll.BDP(A29,"NAME"),"")</f>
        <v/>
      </c>
      <c r="C29" s="22">
        <f>IFERROR(_xll.BDP(A29,"EQY_SH_OUT"),NA())</f>
        <v/>
      </c>
      <c r="D29" s="22">
        <f>IFERROR(_xll.BDH(A29,"EQY_SH_OUT","-"&amp;Settings!$B$4&amp;"AW","-"&amp;Settings!$B$4&amp;"AW","days=a","fill=p"),NA())</f>
        <v/>
      </c>
      <c r="E29" s="23">
        <f>IFERROR((C29-D29)/D29,NA())</f>
        <v/>
      </c>
      <c r="F29" s="16">
        <f>IF(ISNUMBER(E29),IF(E29&lt;=Settings!$B$6,"BUYBACK ACTIVITY",""),"")</f>
        <v/>
      </c>
      <c r="G29" s="22">
        <f>IFERROR(_xll.BDP(A29,"VOLUME_AVG_30D"),NA())</f>
        <v/>
      </c>
      <c r="H29" s="22">
        <f>IFERROR(_xll.BDP(A29,"PX_VOLUME"),NA())</f>
        <v/>
      </c>
      <c r="I29" s="16">
        <f>IFERROR(H29/G29,NA())</f>
        <v/>
      </c>
      <c r="J29" s="16">
        <f>IF(ISNUMBER(I29),IF(I29&gt;=Settings!$B$7,"VOL SPIKE",""),"")</f>
        <v/>
      </c>
    </row>
    <row r="30">
      <c r="A30" s="16">
        <f>'Rest Universe'!A31</f>
        <v/>
      </c>
      <c r="B30" s="22">
        <f>IFERROR(_xll.BDP(A30,"NAME"),"")</f>
        <v/>
      </c>
      <c r="C30" s="22">
        <f>IFERROR(_xll.BDP(A30,"EQY_SH_OUT"),NA())</f>
        <v/>
      </c>
      <c r="D30" s="22">
        <f>IFERROR(_xll.BDH(A30,"EQY_SH_OUT","-"&amp;Settings!$B$4&amp;"AW","-"&amp;Settings!$B$4&amp;"AW","days=a","fill=p"),NA())</f>
        <v/>
      </c>
      <c r="E30" s="23">
        <f>IFERROR((C30-D30)/D30,NA())</f>
        <v/>
      </c>
      <c r="F30" s="16">
        <f>IF(ISNUMBER(E30),IF(E30&lt;=Settings!$B$6,"BUYBACK ACTIVITY",""),"")</f>
        <v/>
      </c>
      <c r="G30" s="22">
        <f>IFERROR(_xll.BDP(A30,"VOLUME_AVG_30D"),NA())</f>
        <v/>
      </c>
      <c r="H30" s="22">
        <f>IFERROR(_xll.BDP(A30,"PX_VOLUME"),NA())</f>
        <v/>
      </c>
      <c r="I30" s="16">
        <f>IFERROR(H30/G30,NA())</f>
        <v/>
      </c>
      <c r="J30" s="16">
        <f>IF(ISNUMBER(I30),IF(I30&gt;=Settings!$B$7,"VOL SPIKE",""),"")</f>
        <v/>
      </c>
    </row>
    <row r="31">
      <c r="A31" s="16">
        <f>'Rest Universe'!A32</f>
        <v/>
      </c>
      <c r="B31" s="22">
        <f>IFERROR(_xll.BDP(A31,"NAME"),"")</f>
        <v/>
      </c>
      <c r="C31" s="22">
        <f>IFERROR(_xll.BDP(A31,"EQY_SH_OUT"),NA())</f>
        <v/>
      </c>
      <c r="D31" s="22">
        <f>IFERROR(_xll.BDH(A31,"EQY_SH_OUT","-"&amp;Settings!$B$4&amp;"AW","-"&amp;Settings!$B$4&amp;"AW","days=a","fill=p"),NA())</f>
        <v/>
      </c>
      <c r="E31" s="23">
        <f>IFERROR((C31-D31)/D31,NA())</f>
        <v/>
      </c>
      <c r="F31" s="16">
        <f>IF(ISNUMBER(E31),IF(E31&lt;=Settings!$B$6,"BUYBACK ACTIVITY",""),"")</f>
        <v/>
      </c>
      <c r="G31" s="22">
        <f>IFERROR(_xll.BDP(A31,"VOLUME_AVG_30D"),NA())</f>
        <v/>
      </c>
      <c r="H31" s="22">
        <f>IFERROR(_xll.BDP(A31,"PX_VOLUME"),NA())</f>
        <v/>
      </c>
      <c r="I31" s="16">
        <f>IFERROR(H31/G31,NA())</f>
        <v/>
      </c>
      <c r="J31" s="16">
        <f>IF(ISNUMBER(I31),IF(I31&gt;=Settings!$B$7,"VOL SPIKE",""),"")</f>
        <v/>
      </c>
    </row>
    <row r="32">
      <c r="A32" s="16">
        <f>'Rest Universe'!A33</f>
        <v/>
      </c>
      <c r="B32" s="22">
        <f>IFERROR(_xll.BDP(A32,"NAME"),"")</f>
        <v/>
      </c>
      <c r="C32" s="22">
        <f>IFERROR(_xll.BDP(A32,"EQY_SH_OUT"),NA())</f>
        <v/>
      </c>
      <c r="D32" s="22">
        <f>IFERROR(_xll.BDH(A32,"EQY_SH_OUT","-"&amp;Settings!$B$4&amp;"AW","-"&amp;Settings!$B$4&amp;"AW","days=a","fill=p"),NA())</f>
        <v/>
      </c>
      <c r="E32" s="23">
        <f>IFERROR((C32-D32)/D32,NA())</f>
        <v/>
      </c>
      <c r="F32" s="16">
        <f>IF(ISNUMBER(E32),IF(E32&lt;=Settings!$B$6,"BUYBACK ACTIVITY",""),"")</f>
        <v/>
      </c>
      <c r="G32" s="22">
        <f>IFERROR(_xll.BDP(A32,"VOLUME_AVG_30D"),NA())</f>
        <v/>
      </c>
      <c r="H32" s="22">
        <f>IFERROR(_xll.BDP(A32,"PX_VOLUME"),NA())</f>
        <v/>
      </c>
      <c r="I32" s="16">
        <f>IFERROR(H32/G32,NA())</f>
        <v/>
      </c>
      <c r="J32" s="16">
        <f>IF(ISNUMBER(I32),IF(I32&gt;=Settings!$B$7,"VOL SPIKE",""),"")</f>
        <v/>
      </c>
    </row>
    <row r="33">
      <c r="A33" s="16">
        <f>'Rest Universe'!A34</f>
        <v/>
      </c>
      <c r="B33" s="22">
        <f>IFERROR(_xll.BDP(A33,"NAME"),"")</f>
        <v/>
      </c>
      <c r="C33" s="22">
        <f>IFERROR(_xll.BDP(A33,"EQY_SH_OUT"),NA())</f>
        <v/>
      </c>
      <c r="D33" s="22">
        <f>IFERROR(_xll.BDH(A33,"EQY_SH_OUT","-"&amp;Settings!$B$4&amp;"AW","-"&amp;Settings!$B$4&amp;"AW","days=a","fill=p"),NA())</f>
        <v/>
      </c>
      <c r="E33" s="23">
        <f>IFERROR((C33-D33)/D33,NA())</f>
        <v/>
      </c>
      <c r="F33" s="16">
        <f>IF(ISNUMBER(E33),IF(E33&lt;=Settings!$B$6,"BUYBACK ACTIVITY",""),"")</f>
        <v/>
      </c>
      <c r="G33" s="22">
        <f>IFERROR(_xll.BDP(A33,"VOLUME_AVG_30D"),NA())</f>
        <v/>
      </c>
      <c r="H33" s="22">
        <f>IFERROR(_xll.BDP(A33,"PX_VOLUME"),NA())</f>
        <v/>
      </c>
      <c r="I33" s="16">
        <f>IFERROR(H33/G33,NA())</f>
        <v/>
      </c>
      <c r="J33" s="16">
        <f>IF(ISNUMBER(I33),IF(I33&gt;=Settings!$B$7,"VOL SPIKE",""),"")</f>
        <v/>
      </c>
    </row>
    <row r="34">
      <c r="A34" s="16">
        <f>'Rest Universe'!A35</f>
        <v/>
      </c>
      <c r="B34" s="22">
        <f>IFERROR(_xll.BDP(A34,"NAME"),"")</f>
        <v/>
      </c>
      <c r="C34" s="22">
        <f>IFERROR(_xll.BDP(A34,"EQY_SH_OUT"),NA())</f>
        <v/>
      </c>
      <c r="D34" s="22">
        <f>IFERROR(_xll.BDH(A34,"EQY_SH_OUT","-"&amp;Settings!$B$4&amp;"AW","-"&amp;Settings!$B$4&amp;"AW","days=a","fill=p"),NA())</f>
        <v/>
      </c>
      <c r="E34" s="23">
        <f>IFERROR((C34-D34)/D34,NA())</f>
        <v/>
      </c>
      <c r="F34" s="16">
        <f>IF(ISNUMBER(E34),IF(E34&lt;=Settings!$B$6,"BUYBACK ACTIVITY",""),"")</f>
        <v/>
      </c>
      <c r="G34" s="22">
        <f>IFERROR(_xll.BDP(A34,"VOLUME_AVG_30D"),NA())</f>
        <v/>
      </c>
      <c r="H34" s="22">
        <f>IFERROR(_xll.BDP(A34,"PX_VOLUME"),NA())</f>
        <v/>
      </c>
      <c r="I34" s="16">
        <f>IFERROR(H34/G34,NA())</f>
        <v/>
      </c>
      <c r="J34" s="16">
        <f>IF(ISNUMBER(I34),IF(I34&gt;=Settings!$B$7,"VOL SPIKE",""),"")</f>
        <v/>
      </c>
    </row>
    <row r="35">
      <c r="A35" s="16">
        <f>'Rest Universe'!A36</f>
        <v/>
      </c>
      <c r="B35" s="22">
        <f>IFERROR(_xll.BDP(A35,"NAME"),"")</f>
        <v/>
      </c>
      <c r="C35" s="22">
        <f>IFERROR(_xll.BDP(A35,"EQY_SH_OUT"),NA())</f>
        <v/>
      </c>
      <c r="D35" s="22">
        <f>IFERROR(_xll.BDH(A35,"EQY_SH_OUT","-"&amp;Settings!$B$4&amp;"AW","-"&amp;Settings!$B$4&amp;"AW","days=a","fill=p"),NA())</f>
        <v/>
      </c>
      <c r="E35" s="23">
        <f>IFERROR((C35-D35)/D35,NA())</f>
        <v/>
      </c>
      <c r="F35" s="16">
        <f>IF(ISNUMBER(E35),IF(E35&lt;=Settings!$B$6,"BUYBACK ACTIVITY",""),"")</f>
        <v/>
      </c>
      <c r="G35" s="22">
        <f>IFERROR(_xll.BDP(A35,"VOLUME_AVG_30D"),NA())</f>
        <v/>
      </c>
      <c r="H35" s="22">
        <f>IFERROR(_xll.BDP(A35,"PX_VOLUME"),NA())</f>
        <v/>
      </c>
      <c r="I35" s="16">
        <f>IFERROR(H35/G35,NA())</f>
        <v/>
      </c>
      <c r="J35" s="16">
        <f>IF(ISNUMBER(I35),IF(I35&gt;=Settings!$B$7,"VOL SPIKE",""),"")</f>
        <v/>
      </c>
    </row>
    <row r="36">
      <c r="A36" s="16">
        <f>'Rest Universe'!A37</f>
        <v/>
      </c>
      <c r="B36" s="22">
        <f>IFERROR(_xll.BDP(A36,"NAME"),"")</f>
        <v/>
      </c>
      <c r="C36" s="22">
        <f>IFERROR(_xll.BDP(A36,"EQY_SH_OUT"),NA())</f>
        <v/>
      </c>
      <c r="D36" s="22">
        <f>IFERROR(_xll.BDH(A36,"EQY_SH_OUT","-"&amp;Settings!$B$4&amp;"AW","-"&amp;Settings!$B$4&amp;"AW","days=a","fill=p"),NA())</f>
        <v/>
      </c>
      <c r="E36" s="23">
        <f>IFERROR((C36-D36)/D36,NA())</f>
        <v/>
      </c>
      <c r="F36" s="16">
        <f>IF(ISNUMBER(E36),IF(E36&lt;=Settings!$B$6,"BUYBACK ACTIVITY",""),"")</f>
        <v/>
      </c>
      <c r="G36" s="22">
        <f>IFERROR(_xll.BDP(A36,"VOLUME_AVG_30D"),NA())</f>
        <v/>
      </c>
      <c r="H36" s="22">
        <f>IFERROR(_xll.BDP(A36,"PX_VOLUME"),NA())</f>
        <v/>
      </c>
      <c r="I36" s="16">
        <f>IFERROR(H36/G36,NA())</f>
        <v/>
      </c>
      <c r="J36" s="16">
        <f>IF(ISNUMBER(I36),IF(I36&gt;=Settings!$B$7,"VOL SPIKE",""),"")</f>
        <v/>
      </c>
    </row>
    <row r="37">
      <c r="A37" s="16">
        <f>'Rest Universe'!A38</f>
        <v/>
      </c>
      <c r="B37" s="22">
        <f>IFERROR(_xll.BDP(A37,"NAME"),"")</f>
        <v/>
      </c>
      <c r="C37" s="22">
        <f>IFERROR(_xll.BDP(A37,"EQY_SH_OUT"),NA())</f>
        <v/>
      </c>
      <c r="D37" s="22">
        <f>IFERROR(_xll.BDH(A37,"EQY_SH_OUT","-"&amp;Settings!$B$4&amp;"AW","-"&amp;Settings!$B$4&amp;"AW","days=a","fill=p"),NA())</f>
        <v/>
      </c>
      <c r="E37" s="23">
        <f>IFERROR((C37-D37)/D37,NA())</f>
        <v/>
      </c>
      <c r="F37" s="16">
        <f>IF(ISNUMBER(E37),IF(E37&lt;=Settings!$B$6,"BUYBACK ACTIVITY",""),"")</f>
        <v/>
      </c>
      <c r="G37" s="22">
        <f>IFERROR(_xll.BDP(A37,"VOLUME_AVG_30D"),NA())</f>
        <v/>
      </c>
      <c r="H37" s="22">
        <f>IFERROR(_xll.BDP(A37,"PX_VOLUME"),NA())</f>
        <v/>
      </c>
      <c r="I37" s="16">
        <f>IFERROR(H37/G37,NA())</f>
        <v/>
      </c>
      <c r="J37" s="16">
        <f>IF(ISNUMBER(I37),IF(I37&gt;=Settings!$B$7,"VOL SPIKE",""),"")</f>
        <v/>
      </c>
    </row>
    <row r="38">
      <c r="A38" s="16">
        <f>'Rest Universe'!A39</f>
        <v/>
      </c>
      <c r="B38" s="22">
        <f>IFERROR(_xll.BDP(A38,"NAME"),"")</f>
        <v/>
      </c>
      <c r="C38" s="22">
        <f>IFERROR(_xll.BDP(A38,"EQY_SH_OUT"),NA())</f>
        <v/>
      </c>
      <c r="D38" s="22">
        <f>IFERROR(_xll.BDH(A38,"EQY_SH_OUT","-"&amp;Settings!$B$4&amp;"AW","-"&amp;Settings!$B$4&amp;"AW","days=a","fill=p"),NA())</f>
        <v/>
      </c>
      <c r="E38" s="23">
        <f>IFERROR((C38-D38)/D38,NA())</f>
        <v/>
      </c>
      <c r="F38" s="16">
        <f>IF(ISNUMBER(E38),IF(E38&lt;=Settings!$B$6,"BUYBACK ACTIVITY",""),"")</f>
        <v/>
      </c>
      <c r="G38" s="22">
        <f>IFERROR(_xll.BDP(A38,"VOLUME_AVG_30D"),NA())</f>
        <v/>
      </c>
      <c r="H38" s="22">
        <f>IFERROR(_xll.BDP(A38,"PX_VOLUME"),NA())</f>
        <v/>
      </c>
      <c r="I38" s="16">
        <f>IFERROR(H38/G38,NA())</f>
        <v/>
      </c>
      <c r="J38" s="16">
        <f>IF(ISNUMBER(I38),IF(I38&gt;=Settings!$B$7,"VOL SPIKE",""),"")</f>
        <v/>
      </c>
    </row>
    <row r="39">
      <c r="A39" s="16">
        <f>'Rest Universe'!A40</f>
        <v/>
      </c>
      <c r="B39" s="22">
        <f>IFERROR(_xll.BDP(A39,"NAME"),"")</f>
        <v/>
      </c>
      <c r="C39" s="22">
        <f>IFERROR(_xll.BDP(A39,"EQY_SH_OUT"),NA())</f>
        <v/>
      </c>
      <c r="D39" s="22">
        <f>IFERROR(_xll.BDH(A39,"EQY_SH_OUT","-"&amp;Settings!$B$4&amp;"AW","-"&amp;Settings!$B$4&amp;"AW","days=a","fill=p"),NA())</f>
        <v/>
      </c>
      <c r="E39" s="23">
        <f>IFERROR((C39-D39)/D39,NA())</f>
        <v/>
      </c>
      <c r="F39" s="16">
        <f>IF(ISNUMBER(E39),IF(E39&lt;=Settings!$B$6,"BUYBACK ACTIVITY",""),"")</f>
        <v/>
      </c>
      <c r="G39" s="22">
        <f>IFERROR(_xll.BDP(A39,"VOLUME_AVG_30D"),NA())</f>
        <v/>
      </c>
      <c r="H39" s="22">
        <f>IFERROR(_xll.BDP(A39,"PX_VOLUME"),NA())</f>
        <v/>
      </c>
      <c r="I39" s="16">
        <f>IFERROR(H39/G39,NA())</f>
        <v/>
      </c>
      <c r="J39" s="16">
        <f>IF(ISNUMBER(I39),IF(I39&gt;=Settings!$B$7,"VOL SPIKE",""),"")</f>
        <v/>
      </c>
    </row>
    <row r="40">
      <c r="A40" s="16">
        <f>'Rest Universe'!A41</f>
        <v/>
      </c>
      <c r="B40" s="22">
        <f>IFERROR(_xll.BDP(A40,"NAME"),"")</f>
        <v/>
      </c>
      <c r="C40" s="22">
        <f>IFERROR(_xll.BDP(A40,"EQY_SH_OUT"),NA())</f>
        <v/>
      </c>
      <c r="D40" s="22">
        <f>IFERROR(_xll.BDH(A40,"EQY_SH_OUT","-"&amp;Settings!$B$4&amp;"AW","-"&amp;Settings!$B$4&amp;"AW","days=a","fill=p"),NA())</f>
        <v/>
      </c>
      <c r="E40" s="23">
        <f>IFERROR((C40-D40)/D40,NA())</f>
        <v/>
      </c>
      <c r="F40" s="16">
        <f>IF(ISNUMBER(E40),IF(E40&lt;=Settings!$B$6,"BUYBACK ACTIVITY",""),"")</f>
        <v/>
      </c>
      <c r="G40" s="22">
        <f>IFERROR(_xll.BDP(A40,"VOLUME_AVG_30D"),NA())</f>
        <v/>
      </c>
      <c r="H40" s="22">
        <f>IFERROR(_xll.BDP(A40,"PX_VOLUME"),NA())</f>
        <v/>
      </c>
      <c r="I40" s="16">
        <f>IFERROR(H40/G40,NA())</f>
        <v/>
      </c>
      <c r="J40" s="16">
        <f>IF(ISNUMBER(I40),IF(I40&gt;=Settings!$B$7,"VOL SPIKE",""),"")</f>
        <v/>
      </c>
    </row>
    <row r="41">
      <c r="A41" s="16">
        <f>'Rest Universe'!A42</f>
        <v/>
      </c>
      <c r="B41" s="22">
        <f>IFERROR(_xll.BDP(A41,"NAME"),"")</f>
        <v/>
      </c>
      <c r="C41" s="22">
        <f>IFERROR(_xll.BDP(A41,"EQY_SH_OUT"),NA())</f>
        <v/>
      </c>
      <c r="D41" s="22">
        <f>IFERROR(_xll.BDH(A41,"EQY_SH_OUT","-"&amp;Settings!$B$4&amp;"AW","-"&amp;Settings!$B$4&amp;"AW","days=a","fill=p"),NA())</f>
        <v/>
      </c>
      <c r="E41" s="23">
        <f>IFERROR((C41-D41)/D41,NA())</f>
        <v/>
      </c>
      <c r="F41" s="16">
        <f>IF(ISNUMBER(E41),IF(E41&lt;=Settings!$B$6,"BUYBACK ACTIVITY",""),"")</f>
        <v/>
      </c>
      <c r="G41" s="22">
        <f>IFERROR(_xll.BDP(A41,"VOLUME_AVG_30D"),NA())</f>
        <v/>
      </c>
      <c r="H41" s="22">
        <f>IFERROR(_xll.BDP(A41,"PX_VOLUME"),NA())</f>
        <v/>
      </c>
      <c r="I41" s="16">
        <f>IFERROR(H41/G41,NA())</f>
        <v/>
      </c>
      <c r="J41" s="16">
        <f>IF(ISNUMBER(I41),IF(I41&gt;=Settings!$B$7,"VOL SPIKE",""),"")</f>
        <v/>
      </c>
    </row>
    <row r="42">
      <c r="A42" s="16">
        <f>'Rest Universe'!A43</f>
        <v/>
      </c>
      <c r="B42" s="22">
        <f>IFERROR(_xll.BDP(A42,"NAME"),"")</f>
        <v/>
      </c>
      <c r="C42" s="22">
        <f>IFERROR(_xll.BDP(A42,"EQY_SH_OUT"),NA())</f>
        <v/>
      </c>
      <c r="D42" s="22">
        <f>IFERROR(_xll.BDH(A42,"EQY_SH_OUT","-"&amp;Settings!$B$4&amp;"AW","-"&amp;Settings!$B$4&amp;"AW","days=a","fill=p"),NA())</f>
        <v/>
      </c>
      <c r="E42" s="23">
        <f>IFERROR((C42-D42)/D42,NA())</f>
        <v/>
      </c>
      <c r="F42" s="16">
        <f>IF(ISNUMBER(E42),IF(E42&lt;=Settings!$B$6,"BUYBACK ACTIVITY",""),"")</f>
        <v/>
      </c>
      <c r="G42" s="22">
        <f>IFERROR(_xll.BDP(A42,"VOLUME_AVG_30D"),NA())</f>
        <v/>
      </c>
      <c r="H42" s="22">
        <f>IFERROR(_xll.BDP(A42,"PX_VOLUME"),NA())</f>
        <v/>
      </c>
      <c r="I42" s="16">
        <f>IFERROR(H42/G42,NA())</f>
        <v/>
      </c>
      <c r="J42" s="16">
        <f>IF(ISNUMBER(I42),IF(I42&gt;=Settings!$B$7,"VOL SPIKE",""),"")</f>
        <v/>
      </c>
    </row>
    <row r="43">
      <c r="A43" s="16">
        <f>'Rest Universe'!A44</f>
        <v/>
      </c>
      <c r="B43" s="22">
        <f>IFERROR(_xll.BDP(A43,"NAME"),"")</f>
        <v/>
      </c>
      <c r="C43" s="22">
        <f>IFERROR(_xll.BDP(A43,"EQY_SH_OUT"),NA())</f>
        <v/>
      </c>
      <c r="D43" s="22">
        <f>IFERROR(_xll.BDH(A43,"EQY_SH_OUT","-"&amp;Settings!$B$4&amp;"AW","-"&amp;Settings!$B$4&amp;"AW","days=a","fill=p"),NA())</f>
        <v/>
      </c>
      <c r="E43" s="23">
        <f>IFERROR((C43-D43)/D43,NA())</f>
        <v/>
      </c>
      <c r="F43" s="16">
        <f>IF(ISNUMBER(E43),IF(E43&lt;=Settings!$B$6,"BUYBACK ACTIVITY",""),"")</f>
        <v/>
      </c>
      <c r="G43" s="22">
        <f>IFERROR(_xll.BDP(A43,"VOLUME_AVG_30D"),NA())</f>
        <v/>
      </c>
      <c r="H43" s="22">
        <f>IFERROR(_xll.BDP(A43,"PX_VOLUME"),NA())</f>
        <v/>
      </c>
      <c r="I43" s="16">
        <f>IFERROR(H43/G43,NA())</f>
        <v/>
      </c>
      <c r="J43" s="16">
        <f>IF(ISNUMBER(I43),IF(I43&gt;=Settings!$B$7,"VOL SPIKE",""),"")</f>
        <v/>
      </c>
    </row>
    <row r="44">
      <c r="A44" s="16">
        <f>'Rest Universe'!A45</f>
        <v/>
      </c>
      <c r="B44" s="22">
        <f>IFERROR(_xll.BDP(A44,"NAME"),"")</f>
        <v/>
      </c>
      <c r="C44" s="22">
        <f>IFERROR(_xll.BDP(A44,"EQY_SH_OUT"),NA())</f>
        <v/>
      </c>
      <c r="D44" s="22">
        <f>IFERROR(_xll.BDH(A44,"EQY_SH_OUT","-"&amp;Settings!$B$4&amp;"AW","-"&amp;Settings!$B$4&amp;"AW","days=a","fill=p"),NA())</f>
        <v/>
      </c>
      <c r="E44" s="23">
        <f>IFERROR((C44-D44)/D44,NA())</f>
        <v/>
      </c>
      <c r="F44" s="16">
        <f>IF(ISNUMBER(E44),IF(E44&lt;=Settings!$B$6,"BUYBACK ACTIVITY",""),"")</f>
        <v/>
      </c>
      <c r="G44" s="22">
        <f>IFERROR(_xll.BDP(A44,"VOLUME_AVG_30D"),NA())</f>
        <v/>
      </c>
      <c r="H44" s="22">
        <f>IFERROR(_xll.BDP(A44,"PX_VOLUME"),NA())</f>
        <v/>
      </c>
      <c r="I44" s="16">
        <f>IFERROR(H44/G44,NA())</f>
        <v/>
      </c>
      <c r="J44" s="16">
        <f>IF(ISNUMBER(I44),IF(I44&gt;=Settings!$B$7,"VOL SPIKE",""),"")</f>
        <v/>
      </c>
    </row>
    <row r="45">
      <c r="A45" s="16">
        <f>'Rest Universe'!A46</f>
        <v/>
      </c>
      <c r="B45" s="22">
        <f>IFERROR(_xll.BDP(A45,"NAME"),"")</f>
        <v/>
      </c>
      <c r="C45" s="22">
        <f>IFERROR(_xll.BDP(A45,"EQY_SH_OUT"),NA())</f>
        <v/>
      </c>
      <c r="D45" s="22">
        <f>IFERROR(_xll.BDH(A45,"EQY_SH_OUT","-"&amp;Settings!$B$4&amp;"AW","-"&amp;Settings!$B$4&amp;"AW","days=a","fill=p"),NA())</f>
        <v/>
      </c>
      <c r="E45" s="23">
        <f>IFERROR((C45-D45)/D45,NA())</f>
        <v/>
      </c>
      <c r="F45" s="16">
        <f>IF(ISNUMBER(E45),IF(E45&lt;=Settings!$B$6,"BUYBACK ACTIVITY",""),"")</f>
        <v/>
      </c>
      <c r="G45" s="22">
        <f>IFERROR(_xll.BDP(A45,"VOLUME_AVG_30D"),NA())</f>
        <v/>
      </c>
      <c r="H45" s="22">
        <f>IFERROR(_xll.BDP(A45,"PX_VOLUME"),NA())</f>
        <v/>
      </c>
      <c r="I45" s="16">
        <f>IFERROR(H45/G45,NA())</f>
        <v/>
      </c>
      <c r="J45" s="16">
        <f>IF(ISNUMBER(I45),IF(I45&gt;=Settings!$B$7,"VOL SPIKE",""),"")</f>
        <v/>
      </c>
    </row>
    <row r="46">
      <c r="A46" s="16">
        <f>'Rest Universe'!A47</f>
        <v/>
      </c>
      <c r="B46" s="22">
        <f>IFERROR(_xll.BDP(A46,"NAME"),"")</f>
        <v/>
      </c>
      <c r="C46" s="22">
        <f>IFERROR(_xll.BDP(A46,"EQY_SH_OUT"),NA())</f>
        <v/>
      </c>
      <c r="D46" s="22">
        <f>IFERROR(_xll.BDH(A46,"EQY_SH_OUT","-"&amp;Settings!$B$4&amp;"AW","-"&amp;Settings!$B$4&amp;"AW","days=a","fill=p"),NA())</f>
        <v/>
      </c>
      <c r="E46" s="23">
        <f>IFERROR((C46-D46)/D46,NA())</f>
        <v/>
      </c>
      <c r="F46" s="16">
        <f>IF(ISNUMBER(E46),IF(E46&lt;=Settings!$B$6,"BUYBACK ACTIVITY",""),"")</f>
        <v/>
      </c>
      <c r="G46" s="22">
        <f>IFERROR(_xll.BDP(A46,"VOLUME_AVG_30D"),NA())</f>
        <v/>
      </c>
      <c r="H46" s="22">
        <f>IFERROR(_xll.BDP(A46,"PX_VOLUME"),NA())</f>
        <v/>
      </c>
      <c r="I46" s="16">
        <f>IFERROR(H46/G46,NA())</f>
        <v/>
      </c>
      <c r="J46" s="16">
        <f>IF(ISNUMBER(I46),IF(I46&gt;=Settings!$B$7,"VOL SPIKE",""),"")</f>
        <v/>
      </c>
    </row>
    <row r="47">
      <c r="A47" s="16">
        <f>'Rest Universe'!A48</f>
        <v/>
      </c>
      <c r="B47" s="22">
        <f>IFERROR(_xll.BDP(A47,"NAME"),"")</f>
        <v/>
      </c>
      <c r="C47" s="22">
        <f>IFERROR(_xll.BDP(A47,"EQY_SH_OUT"),NA())</f>
        <v/>
      </c>
      <c r="D47" s="22">
        <f>IFERROR(_xll.BDH(A47,"EQY_SH_OUT","-"&amp;Settings!$B$4&amp;"AW","-"&amp;Settings!$B$4&amp;"AW","days=a","fill=p"),NA())</f>
        <v/>
      </c>
      <c r="E47" s="23">
        <f>IFERROR((C47-D47)/D47,NA())</f>
        <v/>
      </c>
      <c r="F47" s="16">
        <f>IF(ISNUMBER(E47),IF(E47&lt;=Settings!$B$6,"BUYBACK ACTIVITY",""),"")</f>
        <v/>
      </c>
      <c r="G47" s="22">
        <f>IFERROR(_xll.BDP(A47,"VOLUME_AVG_30D"),NA())</f>
        <v/>
      </c>
      <c r="H47" s="22">
        <f>IFERROR(_xll.BDP(A47,"PX_VOLUME"),NA())</f>
        <v/>
      </c>
      <c r="I47" s="16">
        <f>IFERROR(H47/G47,NA())</f>
        <v/>
      </c>
      <c r="J47" s="16">
        <f>IF(ISNUMBER(I47),IF(I47&gt;=Settings!$B$7,"VOL SPIKE",""),"")</f>
        <v/>
      </c>
    </row>
    <row r="48">
      <c r="A48" s="16">
        <f>'Rest Universe'!A49</f>
        <v/>
      </c>
      <c r="B48" s="22">
        <f>IFERROR(_xll.BDP(A48,"NAME"),"")</f>
        <v/>
      </c>
      <c r="C48" s="22">
        <f>IFERROR(_xll.BDP(A48,"EQY_SH_OUT"),NA())</f>
        <v/>
      </c>
      <c r="D48" s="22">
        <f>IFERROR(_xll.BDH(A48,"EQY_SH_OUT","-"&amp;Settings!$B$4&amp;"AW","-"&amp;Settings!$B$4&amp;"AW","days=a","fill=p"),NA())</f>
        <v/>
      </c>
      <c r="E48" s="23">
        <f>IFERROR((C48-D48)/D48,NA())</f>
        <v/>
      </c>
      <c r="F48" s="16">
        <f>IF(ISNUMBER(E48),IF(E48&lt;=Settings!$B$6,"BUYBACK ACTIVITY",""),"")</f>
        <v/>
      </c>
      <c r="G48" s="22">
        <f>IFERROR(_xll.BDP(A48,"VOLUME_AVG_30D"),NA())</f>
        <v/>
      </c>
      <c r="H48" s="22">
        <f>IFERROR(_xll.BDP(A48,"PX_VOLUME"),NA())</f>
        <v/>
      </c>
      <c r="I48" s="16">
        <f>IFERROR(H48/G48,NA())</f>
        <v/>
      </c>
      <c r="J48" s="16">
        <f>IF(ISNUMBER(I48),IF(I48&gt;=Settings!$B$7,"VOL SPIKE",""),"")</f>
        <v/>
      </c>
    </row>
    <row r="49">
      <c r="A49" s="16">
        <f>'Rest Universe'!A50</f>
        <v/>
      </c>
      <c r="B49" s="22">
        <f>IFERROR(_xll.BDP(A49,"NAME"),"")</f>
        <v/>
      </c>
      <c r="C49" s="22">
        <f>IFERROR(_xll.BDP(A49,"EQY_SH_OUT"),NA())</f>
        <v/>
      </c>
      <c r="D49" s="22">
        <f>IFERROR(_xll.BDH(A49,"EQY_SH_OUT","-"&amp;Settings!$B$4&amp;"AW","-"&amp;Settings!$B$4&amp;"AW","days=a","fill=p"),NA())</f>
        <v/>
      </c>
      <c r="E49" s="23">
        <f>IFERROR((C49-D49)/D49,NA())</f>
        <v/>
      </c>
      <c r="F49" s="16">
        <f>IF(ISNUMBER(E49),IF(E49&lt;=Settings!$B$6,"BUYBACK ACTIVITY",""),"")</f>
        <v/>
      </c>
      <c r="G49" s="22">
        <f>IFERROR(_xll.BDP(A49,"VOLUME_AVG_30D"),NA())</f>
        <v/>
      </c>
      <c r="H49" s="22">
        <f>IFERROR(_xll.BDP(A49,"PX_VOLUME"),NA())</f>
        <v/>
      </c>
      <c r="I49" s="16">
        <f>IFERROR(H49/G49,NA())</f>
        <v/>
      </c>
      <c r="J49" s="16">
        <f>IF(ISNUMBER(I49),IF(I49&gt;=Settings!$B$7,"VOL SPIKE",""),"")</f>
        <v/>
      </c>
    </row>
    <row r="50">
      <c r="A50" s="16">
        <f>'Rest Universe'!A51</f>
        <v/>
      </c>
      <c r="B50" s="22">
        <f>IFERROR(_xll.BDP(A50,"NAME"),"")</f>
        <v/>
      </c>
      <c r="C50" s="22">
        <f>IFERROR(_xll.BDP(A50,"EQY_SH_OUT"),NA())</f>
        <v/>
      </c>
      <c r="D50" s="22">
        <f>IFERROR(_xll.BDH(A50,"EQY_SH_OUT","-"&amp;Settings!$B$4&amp;"AW","-"&amp;Settings!$B$4&amp;"AW","days=a","fill=p"),NA())</f>
        <v/>
      </c>
      <c r="E50" s="23">
        <f>IFERROR((C50-D50)/D50,NA())</f>
        <v/>
      </c>
      <c r="F50" s="16">
        <f>IF(ISNUMBER(E50),IF(E50&lt;=Settings!$B$6,"BUYBACK ACTIVITY",""),"")</f>
        <v/>
      </c>
      <c r="G50" s="22">
        <f>IFERROR(_xll.BDP(A50,"VOLUME_AVG_30D"),NA())</f>
        <v/>
      </c>
      <c r="H50" s="22">
        <f>IFERROR(_xll.BDP(A50,"PX_VOLUME"),NA())</f>
        <v/>
      </c>
      <c r="I50" s="16">
        <f>IFERROR(H50/G50,NA())</f>
        <v/>
      </c>
      <c r="J50" s="16">
        <f>IF(ISNUMBER(I50),IF(I50&gt;=Settings!$B$7,"VOL SPIKE",""),"")</f>
        <v/>
      </c>
    </row>
    <row r="51">
      <c r="A51" s="16">
        <f>'Rest Universe'!A52</f>
        <v/>
      </c>
      <c r="B51" s="22">
        <f>IFERROR(_xll.BDP(A51,"NAME"),"")</f>
        <v/>
      </c>
      <c r="C51" s="22">
        <f>IFERROR(_xll.BDP(A51,"EQY_SH_OUT"),NA())</f>
        <v/>
      </c>
      <c r="D51" s="22">
        <f>IFERROR(_xll.BDH(A51,"EQY_SH_OUT","-"&amp;Settings!$B$4&amp;"AW","-"&amp;Settings!$B$4&amp;"AW","days=a","fill=p"),NA())</f>
        <v/>
      </c>
      <c r="E51" s="23">
        <f>IFERROR((C51-D51)/D51,NA())</f>
        <v/>
      </c>
      <c r="F51" s="16">
        <f>IF(ISNUMBER(E51),IF(E51&lt;=Settings!$B$6,"BUYBACK ACTIVITY",""),"")</f>
        <v/>
      </c>
      <c r="G51" s="22">
        <f>IFERROR(_xll.BDP(A51,"VOLUME_AVG_30D"),NA())</f>
        <v/>
      </c>
      <c r="H51" s="22">
        <f>IFERROR(_xll.BDP(A51,"PX_VOLUME"),NA())</f>
        <v/>
      </c>
      <c r="I51" s="16">
        <f>IFERROR(H51/G51,NA())</f>
        <v/>
      </c>
      <c r="J51" s="16">
        <f>IF(ISNUMBER(I51),IF(I51&gt;=Settings!$B$7,"VOL SPIKE",""),"")</f>
        <v/>
      </c>
    </row>
    <row r="52">
      <c r="A52" s="16">
        <f>'Rest Universe'!A53</f>
        <v/>
      </c>
      <c r="B52" s="22">
        <f>IFERROR(_xll.BDP(A52,"NAME"),"")</f>
        <v/>
      </c>
      <c r="C52" s="22">
        <f>IFERROR(_xll.BDP(A52,"EQY_SH_OUT"),NA())</f>
        <v/>
      </c>
      <c r="D52" s="22">
        <f>IFERROR(_xll.BDH(A52,"EQY_SH_OUT","-"&amp;Settings!$B$4&amp;"AW","-"&amp;Settings!$B$4&amp;"AW","days=a","fill=p"),NA())</f>
        <v/>
      </c>
      <c r="E52" s="23">
        <f>IFERROR((C52-D52)/D52,NA())</f>
        <v/>
      </c>
      <c r="F52" s="16">
        <f>IF(ISNUMBER(E52),IF(E52&lt;=Settings!$B$6,"BUYBACK ACTIVITY",""),"")</f>
        <v/>
      </c>
      <c r="G52" s="22">
        <f>IFERROR(_xll.BDP(A52,"VOLUME_AVG_30D"),NA())</f>
        <v/>
      </c>
      <c r="H52" s="22">
        <f>IFERROR(_xll.BDP(A52,"PX_VOLUME"),NA())</f>
        <v/>
      </c>
      <c r="I52" s="16">
        <f>IFERROR(H52/G52,NA())</f>
        <v/>
      </c>
      <c r="J52" s="16">
        <f>IF(ISNUMBER(I52),IF(I52&gt;=Settings!$B$7,"VOL SPIKE",""),"")</f>
        <v/>
      </c>
    </row>
    <row r="53">
      <c r="A53" s="16">
        <f>'Rest Universe'!A54</f>
        <v/>
      </c>
      <c r="B53" s="22">
        <f>IFERROR(_xll.BDP(A53,"NAME"),"")</f>
        <v/>
      </c>
      <c r="C53" s="22">
        <f>IFERROR(_xll.BDP(A53,"EQY_SH_OUT"),NA())</f>
        <v/>
      </c>
      <c r="D53" s="22">
        <f>IFERROR(_xll.BDH(A53,"EQY_SH_OUT","-"&amp;Settings!$B$4&amp;"AW","-"&amp;Settings!$B$4&amp;"AW","days=a","fill=p"),NA())</f>
        <v/>
      </c>
      <c r="E53" s="23">
        <f>IFERROR((C53-D53)/D53,NA())</f>
        <v/>
      </c>
      <c r="F53" s="16">
        <f>IF(ISNUMBER(E53),IF(E53&lt;=Settings!$B$6,"BUYBACK ACTIVITY",""),"")</f>
        <v/>
      </c>
      <c r="G53" s="22">
        <f>IFERROR(_xll.BDP(A53,"VOLUME_AVG_30D"),NA())</f>
        <v/>
      </c>
      <c r="H53" s="22">
        <f>IFERROR(_xll.BDP(A53,"PX_VOLUME"),NA())</f>
        <v/>
      </c>
      <c r="I53" s="16">
        <f>IFERROR(H53/G53,NA())</f>
        <v/>
      </c>
      <c r="J53" s="16">
        <f>IF(ISNUMBER(I53),IF(I53&gt;=Settings!$B$7,"VOL SPIKE",""),"")</f>
        <v/>
      </c>
    </row>
    <row r="54">
      <c r="A54" s="16">
        <f>'Rest Universe'!A55</f>
        <v/>
      </c>
      <c r="B54" s="22">
        <f>IFERROR(_xll.BDP(A54,"NAME"),"")</f>
        <v/>
      </c>
      <c r="C54" s="22">
        <f>IFERROR(_xll.BDP(A54,"EQY_SH_OUT"),NA())</f>
        <v/>
      </c>
      <c r="D54" s="22">
        <f>IFERROR(_xll.BDH(A54,"EQY_SH_OUT","-"&amp;Settings!$B$4&amp;"AW","-"&amp;Settings!$B$4&amp;"AW","days=a","fill=p"),NA())</f>
        <v/>
      </c>
      <c r="E54" s="23">
        <f>IFERROR((C54-D54)/D54,NA())</f>
        <v/>
      </c>
      <c r="F54" s="16">
        <f>IF(ISNUMBER(E54),IF(E54&lt;=Settings!$B$6,"BUYBACK ACTIVITY",""),"")</f>
        <v/>
      </c>
      <c r="G54" s="22">
        <f>IFERROR(_xll.BDP(A54,"VOLUME_AVG_30D"),NA())</f>
        <v/>
      </c>
      <c r="H54" s="22">
        <f>IFERROR(_xll.BDP(A54,"PX_VOLUME"),NA())</f>
        <v/>
      </c>
      <c r="I54" s="16">
        <f>IFERROR(H54/G54,NA())</f>
        <v/>
      </c>
      <c r="J54" s="16">
        <f>IF(ISNUMBER(I54),IF(I54&gt;=Settings!$B$7,"VOL SPIKE",""),"")</f>
        <v/>
      </c>
    </row>
    <row r="55">
      <c r="A55" s="16">
        <f>'Rest Universe'!A56</f>
        <v/>
      </c>
      <c r="B55" s="22">
        <f>IFERROR(_xll.BDP(A55,"NAME"),"")</f>
        <v/>
      </c>
      <c r="C55" s="22">
        <f>IFERROR(_xll.BDP(A55,"EQY_SH_OUT"),NA())</f>
        <v/>
      </c>
      <c r="D55" s="22">
        <f>IFERROR(_xll.BDH(A55,"EQY_SH_OUT","-"&amp;Settings!$B$4&amp;"AW","-"&amp;Settings!$B$4&amp;"AW","days=a","fill=p"),NA())</f>
        <v/>
      </c>
      <c r="E55" s="23">
        <f>IFERROR((C55-D55)/D55,NA())</f>
        <v/>
      </c>
      <c r="F55" s="16">
        <f>IF(ISNUMBER(E55),IF(E55&lt;=Settings!$B$6,"BUYBACK ACTIVITY",""),"")</f>
        <v/>
      </c>
      <c r="G55" s="22">
        <f>IFERROR(_xll.BDP(A55,"VOLUME_AVG_30D"),NA())</f>
        <v/>
      </c>
      <c r="H55" s="22">
        <f>IFERROR(_xll.BDP(A55,"PX_VOLUME"),NA())</f>
        <v/>
      </c>
      <c r="I55" s="16">
        <f>IFERROR(H55/G55,NA())</f>
        <v/>
      </c>
      <c r="J55" s="16">
        <f>IF(ISNUMBER(I55),IF(I55&gt;=Settings!$B$7,"VOL SPIKE",""),"")</f>
        <v/>
      </c>
    </row>
    <row r="56">
      <c r="A56" s="16">
        <f>'Rest Universe'!A57</f>
        <v/>
      </c>
      <c r="B56" s="22">
        <f>IFERROR(_xll.BDP(A56,"NAME"),"")</f>
        <v/>
      </c>
      <c r="C56" s="22">
        <f>IFERROR(_xll.BDP(A56,"EQY_SH_OUT"),NA())</f>
        <v/>
      </c>
      <c r="D56" s="22">
        <f>IFERROR(_xll.BDH(A56,"EQY_SH_OUT","-"&amp;Settings!$B$4&amp;"AW","-"&amp;Settings!$B$4&amp;"AW","days=a","fill=p"),NA())</f>
        <v/>
      </c>
      <c r="E56" s="23">
        <f>IFERROR((C56-D56)/D56,NA())</f>
        <v/>
      </c>
      <c r="F56" s="16">
        <f>IF(ISNUMBER(E56),IF(E56&lt;=Settings!$B$6,"BUYBACK ACTIVITY",""),"")</f>
        <v/>
      </c>
      <c r="G56" s="22">
        <f>IFERROR(_xll.BDP(A56,"VOLUME_AVG_30D"),NA())</f>
        <v/>
      </c>
      <c r="H56" s="22">
        <f>IFERROR(_xll.BDP(A56,"PX_VOLUME"),NA())</f>
        <v/>
      </c>
      <c r="I56" s="16">
        <f>IFERROR(H56/G56,NA())</f>
        <v/>
      </c>
      <c r="J56" s="16">
        <f>IF(ISNUMBER(I56),IF(I56&gt;=Settings!$B$7,"VOL SPIKE",""),"")</f>
        <v/>
      </c>
    </row>
    <row r="57">
      <c r="A57" s="16">
        <f>'Rest Universe'!A58</f>
        <v/>
      </c>
      <c r="B57" s="22">
        <f>IFERROR(_xll.BDP(A57,"NAME"),"")</f>
        <v/>
      </c>
      <c r="C57" s="22">
        <f>IFERROR(_xll.BDP(A57,"EQY_SH_OUT"),NA())</f>
        <v/>
      </c>
      <c r="D57" s="22">
        <f>IFERROR(_xll.BDH(A57,"EQY_SH_OUT","-"&amp;Settings!$B$4&amp;"AW","-"&amp;Settings!$B$4&amp;"AW","days=a","fill=p"),NA())</f>
        <v/>
      </c>
      <c r="E57" s="23">
        <f>IFERROR((C57-D57)/D57,NA())</f>
        <v/>
      </c>
      <c r="F57" s="16">
        <f>IF(ISNUMBER(E57),IF(E57&lt;=Settings!$B$6,"BUYBACK ACTIVITY",""),"")</f>
        <v/>
      </c>
      <c r="G57" s="22">
        <f>IFERROR(_xll.BDP(A57,"VOLUME_AVG_30D"),NA())</f>
        <v/>
      </c>
      <c r="H57" s="22">
        <f>IFERROR(_xll.BDP(A57,"PX_VOLUME"),NA())</f>
        <v/>
      </c>
      <c r="I57" s="16">
        <f>IFERROR(H57/G57,NA())</f>
        <v/>
      </c>
      <c r="J57" s="16">
        <f>IF(ISNUMBER(I57),IF(I57&gt;=Settings!$B$7,"VOL SPIKE",""),"")</f>
        <v/>
      </c>
    </row>
    <row r="58">
      <c r="A58" s="16">
        <f>'Rest Universe'!A59</f>
        <v/>
      </c>
      <c r="B58" s="22">
        <f>IFERROR(_xll.BDP(A58,"NAME"),"")</f>
        <v/>
      </c>
      <c r="C58" s="22">
        <f>IFERROR(_xll.BDP(A58,"EQY_SH_OUT"),NA())</f>
        <v/>
      </c>
      <c r="D58" s="22">
        <f>IFERROR(_xll.BDH(A58,"EQY_SH_OUT","-"&amp;Settings!$B$4&amp;"AW","-"&amp;Settings!$B$4&amp;"AW","days=a","fill=p"),NA())</f>
        <v/>
      </c>
      <c r="E58" s="23">
        <f>IFERROR((C58-D58)/D58,NA())</f>
        <v/>
      </c>
      <c r="F58" s="16">
        <f>IF(ISNUMBER(E58),IF(E58&lt;=Settings!$B$6,"BUYBACK ACTIVITY",""),"")</f>
        <v/>
      </c>
      <c r="G58" s="22">
        <f>IFERROR(_xll.BDP(A58,"VOLUME_AVG_30D"),NA())</f>
        <v/>
      </c>
      <c r="H58" s="22">
        <f>IFERROR(_xll.BDP(A58,"PX_VOLUME"),NA())</f>
        <v/>
      </c>
      <c r="I58" s="16">
        <f>IFERROR(H58/G58,NA())</f>
        <v/>
      </c>
      <c r="J58" s="16">
        <f>IF(ISNUMBER(I58),IF(I58&gt;=Settings!$B$7,"VOL SPIKE",""),"")</f>
        <v/>
      </c>
    </row>
    <row r="59">
      <c r="A59" s="16">
        <f>'Rest Universe'!A60</f>
        <v/>
      </c>
      <c r="B59" s="22">
        <f>IFERROR(_xll.BDP(A59,"NAME"),"")</f>
        <v/>
      </c>
      <c r="C59" s="22">
        <f>IFERROR(_xll.BDP(A59,"EQY_SH_OUT"),NA())</f>
        <v/>
      </c>
      <c r="D59" s="22">
        <f>IFERROR(_xll.BDH(A59,"EQY_SH_OUT","-"&amp;Settings!$B$4&amp;"AW","-"&amp;Settings!$B$4&amp;"AW","days=a","fill=p"),NA())</f>
        <v/>
      </c>
      <c r="E59" s="23">
        <f>IFERROR((C59-D59)/D59,NA())</f>
        <v/>
      </c>
      <c r="F59" s="16">
        <f>IF(ISNUMBER(E59),IF(E59&lt;=Settings!$B$6,"BUYBACK ACTIVITY",""),"")</f>
        <v/>
      </c>
      <c r="G59" s="22">
        <f>IFERROR(_xll.BDP(A59,"VOLUME_AVG_30D"),NA())</f>
        <v/>
      </c>
      <c r="H59" s="22">
        <f>IFERROR(_xll.BDP(A59,"PX_VOLUME"),NA())</f>
        <v/>
      </c>
      <c r="I59" s="16">
        <f>IFERROR(H59/G59,NA())</f>
        <v/>
      </c>
      <c r="J59" s="16">
        <f>IF(ISNUMBER(I59),IF(I59&gt;=Settings!$B$7,"VOL SPIKE",""),"")</f>
        <v/>
      </c>
    </row>
    <row r="60">
      <c r="A60" s="16">
        <f>'Rest Universe'!A61</f>
        <v/>
      </c>
      <c r="B60" s="22">
        <f>IFERROR(_xll.BDP(A60,"NAME"),"")</f>
        <v/>
      </c>
      <c r="C60" s="22">
        <f>IFERROR(_xll.BDP(A60,"EQY_SH_OUT"),NA())</f>
        <v/>
      </c>
      <c r="D60" s="22">
        <f>IFERROR(_xll.BDH(A60,"EQY_SH_OUT","-"&amp;Settings!$B$4&amp;"AW","-"&amp;Settings!$B$4&amp;"AW","days=a","fill=p"),NA())</f>
        <v/>
      </c>
      <c r="E60" s="23">
        <f>IFERROR((C60-D60)/D60,NA())</f>
        <v/>
      </c>
      <c r="F60" s="16">
        <f>IF(ISNUMBER(E60),IF(E60&lt;=Settings!$B$6,"BUYBACK ACTIVITY",""),"")</f>
        <v/>
      </c>
      <c r="G60" s="22">
        <f>IFERROR(_xll.BDP(A60,"VOLUME_AVG_30D"),NA())</f>
        <v/>
      </c>
      <c r="H60" s="22">
        <f>IFERROR(_xll.BDP(A60,"PX_VOLUME"),NA())</f>
        <v/>
      </c>
      <c r="I60" s="16">
        <f>IFERROR(H60/G60,NA())</f>
        <v/>
      </c>
      <c r="J60" s="16">
        <f>IF(ISNUMBER(I60),IF(I60&gt;=Settings!$B$7,"VOL SPIKE",""),"")</f>
        <v/>
      </c>
    </row>
    <row r="61">
      <c r="A61" s="16">
        <f>'Rest Universe'!A62</f>
        <v/>
      </c>
      <c r="B61" s="22">
        <f>IFERROR(_xll.BDP(A61,"NAME"),"")</f>
        <v/>
      </c>
      <c r="C61" s="22">
        <f>IFERROR(_xll.BDP(A61,"EQY_SH_OUT"),NA())</f>
        <v/>
      </c>
      <c r="D61" s="22">
        <f>IFERROR(_xll.BDH(A61,"EQY_SH_OUT","-"&amp;Settings!$B$4&amp;"AW","-"&amp;Settings!$B$4&amp;"AW","days=a","fill=p"),NA())</f>
        <v/>
      </c>
      <c r="E61" s="23">
        <f>IFERROR((C61-D61)/D61,NA())</f>
        <v/>
      </c>
      <c r="F61" s="16">
        <f>IF(ISNUMBER(E61),IF(E61&lt;=Settings!$B$6,"BUYBACK ACTIVITY",""),"")</f>
        <v/>
      </c>
      <c r="G61" s="22">
        <f>IFERROR(_xll.BDP(A61,"VOLUME_AVG_30D"),NA())</f>
        <v/>
      </c>
      <c r="H61" s="22">
        <f>IFERROR(_xll.BDP(A61,"PX_VOLUME"),NA())</f>
        <v/>
      </c>
      <c r="I61" s="16">
        <f>IFERROR(H61/G61,NA())</f>
        <v/>
      </c>
      <c r="J61" s="16">
        <f>IF(ISNUMBER(I61),IF(I61&gt;=Settings!$B$7,"VOL SPIKE",""),"")</f>
        <v/>
      </c>
    </row>
    <row r="62">
      <c r="A62" s="16">
        <f>'Rest Universe'!A63</f>
        <v/>
      </c>
      <c r="B62" s="22">
        <f>IFERROR(_xll.BDP(A62,"NAME"),"")</f>
        <v/>
      </c>
      <c r="C62" s="22">
        <f>IFERROR(_xll.BDP(A62,"EQY_SH_OUT"),NA())</f>
        <v/>
      </c>
      <c r="D62" s="22">
        <f>IFERROR(_xll.BDH(A62,"EQY_SH_OUT","-"&amp;Settings!$B$4&amp;"AW","-"&amp;Settings!$B$4&amp;"AW","days=a","fill=p"),NA())</f>
        <v/>
      </c>
      <c r="E62" s="23">
        <f>IFERROR((C62-D62)/D62,NA())</f>
        <v/>
      </c>
      <c r="F62" s="16">
        <f>IF(ISNUMBER(E62),IF(E62&lt;=Settings!$B$6,"BUYBACK ACTIVITY",""),"")</f>
        <v/>
      </c>
      <c r="G62" s="22">
        <f>IFERROR(_xll.BDP(A62,"VOLUME_AVG_30D"),NA())</f>
        <v/>
      </c>
      <c r="H62" s="22">
        <f>IFERROR(_xll.BDP(A62,"PX_VOLUME"),NA())</f>
        <v/>
      </c>
      <c r="I62" s="16">
        <f>IFERROR(H62/G62,NA())</f>
        <v/>
      </c>
      <c r="J62" s="16">
        <f>IF(ISNUMBER(I62),IF(I62&gt;=Settings!$B$7,"VOL SPIKE",""),"")</f>
        <v/>
      </c>
    </row>
    <row r="63">
      <c r="A63" s="16">
        <f>'Rest Universe'!A64</f>
        <v/>
      </c>
      <c r="B63" s="22">
        <f>IFERROR(_xll.BDP(A63,"NAME"),"")</f>
        <v/>
      </c>
      <c r="C63" s="22">
        <f>IFERROR(_xll.BDP(A63,"EQY_SH_OUT"),NA())</f>
        <v/>
      </c>
      <c r="D63" s="22">
        <f>IFERROR(_xll.BDH(A63,"EQY_SH_OUT","-"&amp;Settings!$B$4&amp;"AW","-"&amp;Settings!$B$4&amp;"AW","days=a","fill=p"),NA())</f>
        <v/>
      </c>
      <c r="E63" s="23">
        <f>IFERROR((C63-D63)/D63,NA())</f>
        <v/>
      </c>
      <c r="F63" s="16">
        <f>IF(ISNUMBER(E63),IF(E63&lt;=Settings!$B$6,"BUYBACK ACTIVITY",""),"")</f>
        <v/>
      </c>
      <c r="G63" s="22">
        <f>IFERROR(_xll.BDP(A63,"VOLUME_AVG_30D"),NA())</f>
        <v/>
      </c>
      <c r="H63" s="22">
        <f>IFERROR(_xll.BDP(A63,"PX_VOLUME"),NA())</f>
        <v/>
      </c>
      <c r="I63" s="16">
        <f>IFERROR(H63/G63,NA())</f>
        <v/>
      </c>
      <c r="J63" s="16">
        <f>IF(ISNUMBER(I63),IF(I63&gt;=Settings!$B$7,"VOL SPIKE",""),"")</f>
        <v/>
      </c>
    </row>
    <row r="64">
      <c r="A64" s="16">
        <f>'Rest Universe'!A65</f>
        <v/>
      </c>
      <c r="B64" s="22">
        <f>IFERROR(_xll.BDP(A64,"NAME"),"")</f>
        <v/>
      </c>
      <c r="C64" s="22">
        <f>IFERROR(_xll.BDP(A64,"EQY_SH_OUT"),NA())</f>
        <v/>
      </c>
      <c r="D64" s="22">
        <f>IFERROR(_xll.BDH(A64,"EQY_SH_OUT","-"&amp;Settings!$B$4&amp;"AW","-"&amp;Settings!$B$4&amp;"AW","days=a","fill=p"),NA())</f>
        <v/>
      </c>
      <c r="E64" s="23">
        <f>IFERROR((C64-D64)/D64,NA())</f>
        <v/>
      </c>
      <c r="F64" s="16">
        <f>IF(ISNUMBER(E64),IF(E64&lt;=Settings!$B$6,"BUYBACK ACTIVITY",""),"")</f>
        <v/>
      </c>
      <c r="G64" s="22">
        <f>IFERROR(_xll.BDP(A64,"VOLUME_AVG_30D"),NA())</f>
        <v/>
      </c>
      <c r="H64" s="22">
        <f>IFERROR(_xll.BDP(A64,"PX_VOLUME"),NA())</f>
        <v/>
      </c>
      <c r="I64" s="16">
        <f>IFERROR(H64/G64,NA())</f>
        <v/>
      </c>
      <c r="J64" s="16">
        <f>IF(ISNUMBER(I64),IF(I64&gt;=Settings!$B$7,"VOL SPIKE",""),"")</f>
        <v/>
      </c>
    </row>
    <row r="65">
      <c r="A65" s="16">
        <f>'Rest Universe'!A66</f>
        <v/>
      </c>
      <c r="B65" s="22">
        <f>IFERROR(_xll.BDP(A65,"NAME"),"")</f>
        <v/>
      </c>
      <c r="C65" s="22">
        <f>IFERROR(_xll.BDP(A65,"EQY_SH_OUT"),NA())</f>
        <v/>
      </c>
      <c r="D65" s="22">
        <f>IFERROR(_xll.BDH(A65,"EQY_SH_OUT","-"&amp;Settings!$B$4&amp;"AW","-"&amp;Settings!$B$4&amp;"AW","days=a","fill=p"),NA())</f>
        <v/>
      </c>
      <c r="E65" s="23">
        <f>IFERROR((C65-D65)/D65,NA())</f>
        <v/>
      </c>
      <c r="F65" s="16">
        <f>IF(ISNUMBER(E65),IF(E65&lt;=Settings!$B$6,"BUYBACK ACTIVITY",""),"")</f>
        <v/>
      </c>
      <c r="G65" s="22">
        <f>IFERROR(_xll.BDP(A65,"VOLUME_AVG_30D"),NA())</f>
        <v/>
      </c>
      <c r="H65" s="22">
        <f>IFERROR(_xll.BDP(A65,"PX_VOLUME"),NA())</f>
        <v/>
      </c>
      <c r="I65" s="16">
        <f>IFERROR(H65/G65,NA())</f>
        <v/>
      </c>
      <c r="J65" s="16">
        <f>IF(ISNUMBER(I65),IF(I65&gt;=Settings!$B$7,"VOL SPIKE",""),"")</f>
        <v/>
      </c>
    </row>
    <row r="66">
      <c r="A66" s="16">
        <f>'Rest Universe'!A67</f>
        <v/>
      </c>
      <c r="B66" s="22">
        <f>IFERROR(_xll.BDP(A66,"NAME"),"")</f>
        <v/>
      </c>
      <c r="C66" s="22">
        <f>IFERROR(_xll.BDP(A66,"EQY_SH_OUT"),NA())</f>
        <v/>
      </c>
      <c r="D66" s="22">
        <f>IFERROR(_xll.BDH(A66,"EQY_SH_OUT","-"&amp;Settings!$B$4&amp;"AW","-"&amp;Settings!$B$4&amp;"AW","days=a","fill=p"),NA())</f>
        <v/>
      </c>
      <c r="E66" s="23">
        <f>IFERROR((C66-D66)/D66,NA())</f>
        <v/>
      </c>
      <c r="F66" s="16">
        <f>IF(ISNUMBER(E66),IF(E66&lt;=Settings!$B$6,"BUYBACK ACTIVITY",""),"")</f>
        <v/>
      </c>
      <c r="G66" s="22">
        <f>IFERROR(_xll.BDP(A66,"VOLUME_AVG_30D"),NA())</f>
        <v/>
      </c>
      <c r="H66" s="22">
        <f>IFERROR(_xll.BDP(A66,"PX_VOLUME"),NA())</f>
        <v/>
      </c>
      <c r="I66" s="16">
        <f>IFERROR(H66/G66,NA())</f>
        <v/>
      </c>
      <c r="J66" s="16">
        <f>IF(ISNUMBER(I66),IF(I66&gt;=Settings!$B$7,"VOL SPIKE",""),"")</f>
        <v/>
      </c>
    </row>
    <row r="67">
      <c r="A67" s="16">
        <f>'Rest Universe'!A68</f>
        <v/>
      </c>
      <c r="B67" s="22">
        <f>IFERROR(_xll.BDP(A67,"NAME"),"")</f>
        <v/>
      </c>
      <c r="C67" s="22">
        <f>IFERROR(_xll.BDP(A67,"EQY_SH_OUT"),NA())</f>
        <v/>
      </c>
      <c r="D67" s="22">
        <f>IFERROR(_xll.BDH(A67,"EQY_SH_OUT","-"&amp;Settings!$B$4&amp;"AW","-"&amp;Settings!$B$4&amp;"AW","days=a","fill=p"),NA())</f>
        <v/>
      </c>
      <c r="E67" s="23">
        <f>IFERROR((C67-D67)/D67,NA())</f>
        <v/>
      </c>
      <c r="F67" s="16">
        <f>IF(ISNUMBER(E67),IF(E67&lt;=Settings!$B$6,"BUYBACK ACTIVITY",""),"")</f>
        <v/>
      </c>
      <c r="G67" s="22">
        <f>IFERROR(_xll.BDP(A67,"VOLUME_AVG_30D"),NA())</f>
        <v/>
      </c>
      <c r="H67" s="22">
        <f>IFERROR(_xll.BDP(A67,"PX_VOLUME"),NA())</f>
        <v/>
      </c>
      <c r="I67" s="16">
        <f>IFERROR(H67/G67,NA())</f>
        <v/>
      </c>
      <c r="J67" s="16">
        <f>IF(ISNUMBER(I67),IF(I67&gt;=Settings!$B$7,"VOL SPIKE",""),"")</f>
        <v/>
      </c>
    </row>
    <row r="68">
      <c r="A68" s="16">
        <f>'Rest Universe'!A69</f>
        <v/>
      </c>
      <c r="B68" s="22">
        <f>IFERROR(_xll.BDP(A68,"NAME"),"")</f>
        <v/>
      </c>
      <c r="C68" s="22">
        <f>IFERROR(_xll.BDP(A68,"EQY_SH_OUT"),NA())</f>
        <v/>
      </c>
      <c r="D68" s="22">
        <f>IFERROR(_xll.BDH(A68,"EQY_SH_OUT","-"&amp;Settings!$B$4&amp;"AW","-"&amp;Settings!$B$4&amp;"AW","days=a","fill=p"),NA())</f>
        <v/>
      </c>
      <c r="E68" s="23">
        <f>IFERROR((C68-D68)/D68,NA())</f>
        <v/>
      </c>
      <c r="F68" s="16">
        <f>IF(ISNUMBER(E68),IF(E68&lt;=Settings!$B$6,"BUYBACK ACTIVITY",""),"")</f>
        <v/>
      </c>
      <c r="G68" s="22">
        <f>IFERROR(_xll.BDP(A68,"VOLUME_AVG_30D"),NA())</f>
        <v/>
      </c>
      <c r="H68" s="22">
        <f>IFERROR(_xll.BDP(A68,"PX_VOLUME"),NA())</f>
        <v/>
      </c>
      <c r="I68" s="16">
        <f>IFERROR(H68/G68,NA())</f>
        <v/>
      </c>
      <c r="J68" s="16">
        <f>IF(ISNUMBER(I68),IF(I68&gt;=Settings!$B$7,"VOL SPIKE",""),"")</f>
        <v/>
      </c>
    </row>
    <row r="69">
      <c r="A69" s="16">
        <f>'Rest Universe'!A70</f>
        <v/>
      </c>
      <c r="B69" s="22">
        <f>IFERROR(_xll.BDP(A69,"NAME"),"")</f>
        <v/>
      </c>
      <c r="C69" s="22">
        <f>IFERROR(_xll.BDP(A69,"EQY_SH_OUT"),NA())</f>
        <v/>
      </c>
      <c r="D69" s="22">
        <f>IFERROR(_xll.BDH(A69,"EQY_SH_OUT","-"&amp;Settings!$B$4&amp;"AW","-"&amp;Settings!$B$4&amp;"AW","days=a","fill=p"),NA())</f>
        <v/>
      </c>
      <c r="E69" s="23">
        <f>IFERROR((C69-D69)/D69,NA())</f>
        <v/>
      </c>
      <c r="F69" s="16">
        <f>IF(ISNUMBER(E69),IF(E69&lt;=Settings!$B$6,"BUYBACK ACTIVITY",""),"")</f>
        <v/>
      </c>
      <c r="G69" s="22">
        <f>IFERROR(_xll.BDP(A69,"VOLUME_AVG_30D"),NA())</f>
        <v/>
      </c>
      <c r="H69" s="22">
        <f>IFERROR(_xll.BDP(A69,"PX_VOLUME"),NA())</f>
        <v/>
      </c>
      <c r="I69" s="16">
        <f>IFERROR(H69/G69,NA())</f>
        <v/>
      </c>
      <c r="J69" s="16">
        <f>IF(ISNUMBER(I69),IF(I69&gt;=Settings!$B$7,"VOL SPIKE",""),"")</f>
        <v/>
      </c>
    </row>
    <row r="70">
      <c r="A70" s="16">
        <f>'Rest Universe'!A71</f>
        <v/>
      </c>
      <c r="B70" s="22">
        <f>IFERROR(_xll.BDP(A70,"NAME"),"")</f>
        <v/>
      </c>
      <c r="C70" s="22">
        <f>IFERROR(_xll.BDP(A70,"EQY_SH_OUT"),NA())</f>
        <v/>
      </c>
      <c r="D70" s="22">
        <f>IFERROR(_xll.BDH(A70,"EQY_SH_OUT","-"&amp;Settings!$B$4&amp;"AW","-"&amp;Settings!$B$4&amp;"AW","days=a","fill=p"),NA())</f>
        <v/>
      </c>
      <c r="E70" s="23">
        <f>IFERROR((C70-D70)/D70,NA())</f>
        <v/>
      </c>
      <c r="F70" s="16">
        <f>IF(ISNUMBER(E70),IF(E70&lt;=Settings!$B$6,"BUYBACK ACTIVITY",""),"")</f>
        <v/>
      </c>
      <c r="G70" s="22">
        <f>IFERROR(_xll.BDP(A70,"VOLUME_AVG_30D"),NA())</f>
        <v/>
      </c>
      <c r="H70" s="22">
        <f>IFERROR(_xll.BDP(A70,"PX_VOLUME"),NA())</f>
        <v/>
      </c>
      <c r="I70" s="16">
        <f>IFERROR(H70/G70,NA())</f>
        <v/>
      </c>
      <c r="J70" s="16">
        <f>IF(ISNUMBER(I70),IF(I70&gt;=Settings!$B$7,"VOL SPIKE",""),"")</f>
        <v/>
      </c>
    </row>
    <row r="71">
      <c r="A71" s="16">
        <f>'Rest Universe'!A72</f>
        <v/>
      </c>
      <c r="B71" s="22">
        <f>IFERROR(_xll.BDP(A71,"NAME"),"")</f>
        <v/>
      </c>
      <c r="C71" s="22">
        <f>IFERROR(_xll.BDP(A71,"EQY_SH_OUT"),NA())</f>
        <v/>
      </c>
      <c r="D71" s="22">
        <f>IFERROR(_xll.BDH(A71,"EQY_SH_OUT","-"&amp;Settings!$B$4&amp;"AW","-"&amp;Settings!$B$4&amp;"AW","days=a","fill=p"),NA())</f>
        <v/>
      </c>
      <c r="E71" s="23">
        <f>IFERROR((C71-D71)/D71,NA())</f>
        <v/>
      </c>
      <c r="F71" s="16">
        <f>IF(ISNUMBER(E71),IF(E71&lt;=Settings!$B$6,"BUYBACK ACTIVITY",""),"")</f>
        <v/>
      </c>
      <c r="G71" s="22">
        <f>IFERROR(_xll.BDP(A71,"VOLUME_AVG_30D"),NA())</f>
        <v/>
      </c>
      <c r="H71" s="22">
        <f>IFERROR(_xll.BDP(A71,"PX_VOLUME"),NA())</f>
        <v/>
      </c>
      <c r="I71" s="16">
        <f>IFERROR(H71/G71,NA())</f>
        <v/>
      </c>
      <c r="J71" s="16">
        <f>IF(ISNUMBER(I71),IF(I71&gt;=Settings!$B$7,"VOL SPIKE",""),"")</f>
        <v/>
      </c>
    </row>
    <row r="72">
      <c r="A72" s="16">
        <f>'Rest Universe'!A73</f>
        <v/>
      </c>
      <c r="B72" s="22">
        <f>IFERROR(_xll.BDP(A72,"NAME"),"")</f>
        <v/>
      </c>
      <c r="C72" s="22">
        <f>IFERROR(_xll.BDP(A72,"EQY_SH_OUT"),NA())</f>
        <v/>
      </c>
      <c r="D72" s="22">
        <f>IFERROR(_xll.BDH(A72,"EQY_SH_OUT","-"&amp;Settings!$B$4&amp;"AW","-"&amp;Settings!$B$4&amp;"AW","days=a","fill=p"),NA())</f>
        <v/>
      </c>
      <c r="E72" s="23">
        <f>IFERROR((C72-D72)/D72,NA())</f>
        <v/>
      </c>
      <c r="F72" s="16">
        <f>IF(ISNUMBER(E72),IF(E72&lt;=Settings!$B$6,"BUYBACK ACTIVITY",""),"")</f>
        <v/>
      </c>
      <c r="G72" s="22">
        <f>IFERROR(_xll.BDP(A72,"VOLUME_AVG_30D"),NA())</f>
        <v/>
      </c>
      <c r="H72" s="22">
        <f>IFERROR(_xll.BDP(A72,"PX_VOLUME"),NA())</f>
        <v/>
      </c>
      <c r="I72" s="16">
        <f>IFERROR(H72/G72,NA())</f>
        <v/>
      </c>
      <c r="J72" s="16">
        <f>IF(ISNUMBER(I72),IF(I72&gt;=Settings!$B$7,"VOL SPIKE",""),"")</f>
        <v/>
      </c>
    </row>
    <row r="73">
      <c r="A73" s="16">
        <f>'Rest Universe'!A74</f>
        <v/>
      </c>
      <c r="B73" s="22">
        <f>IFERROR(_xll.BDP(A73,"NAME"),"")</f>
        <v/>
      </c>
      <c r="C73" s="22">
        <f>IFERROR(_xll.BDP(A73,"EQY_SH_OUT"),NA())</f>
        <v/>
      </c>
      <c r="D73" s="22">
        <f>IFERROR(_xll.BDH(A73,"EQY_SH_OUT","-"&amp;Settings!$B$4&amp;"AW","-"&amp;Settings!$B$4&amp;"AW","days=a","fill=p"),NA())</f>
        <v/>
      </c>
      <c r="E73" s="23">
        <f>IFERROR((C73-D73)/D73,NA())</f>
        <v/>
      </c>
      <c r="F73" s="16">
        <f>IF(ISNUMBER(E73),IF(E73&lt;=Settings!$B$6,"BUYBACK ACTIVITY",""),"")</f>
        <v/>
      </c>
      <c r="G73" s="22">
        <f>IFERROR(_xll.BDP(A73,"VOLUME_AVG_30D"),NA())</f>
        <v/>
      </c>
      <c r="H73" s="22">
        <f>IFERROR(_xll.BDP(A73,"PX_VOLUME"),NA())</f>
        <v/>
      </c>
      <c r="I73" s="16">
        <f>IFERROR(H73/G73,NA())</f>
        <v/>
      </c>
      <c r="J73" s="16">
        <f>IF(ISNUMBER(I73),IF(I73&gt;=Settings!$B$7,"VOL SPIKE",""),"")</f>
        <v/>
      </c>
    </row>
    <row r="74">
      <c r="A74" s="16">
        <f>'Rest Universe'!A75</f>
        <v/>
      </c>
      <c r="B74" s="22">
        <f>IFERROR(_xll.BDP(A74,"NAME"),"")</f>
        <v/>
      </c>
      <c r="C74" s="22">
        <f>IFERROR(_xll.BDP(A74,"EQY_SH_OUT"),NA())</f>
        <v/>
      </c>
      <c r="D74" s="22">
        <f>IFERROR(_xll.BDH(A74,"EQY_SH_OUT","-"&amp;Settings!$B$4&amp;"AW","-"&amp;Settings!$B$4&amp;"AW","days=a","fill=p"),NA())</f>
        <v/>
      </c>
      <c r="E74" s="23">
        <f>IFERROR((C74-D74)/D74,NA())</f>
        <v/>
      </c>
      <c r="F74" s="16">
        <f>IF(ISNUMBER(E74),IF(E74&lt;=Settings!$B$6,"BUYBACK ACTIVITY",""),"")</f>
        <v/>
      </c>
      <c r="G74" s="22">
        <f>IFERROR(_xll.BDP(A74,"VOLUME_AVG_30D"),NA())</f>
        <v/>
      </c>
      <c r="H74" s="22">
        <f>IFERROR(_xll.BDP(A74,"PX_VOLUME"),NA())</f>
        <v/>
      </c>
      <c r="I74" s="16">
        <f>IFERROR(H74/G74,NA())</f>
        <v/>
      </c>
      <c r="J74" s="16">
        <f>IF(ISNUMBER(I74),IF(I74&gt;=Settings!$B$7,"VOL SPIKE",""),"")</f>
        <v/>
      </c>
    </row>
    <row r="75">
      <c r="A75" s="16">
        <f>'Rest Universe'!A76</f>
        <v/>
      </c>
      <c r="B75" s="22">
        <f>IFERROR(_xll.BDP(A75,"NAME"),"")</f>
        <v/>
      </c>
      <c r="C75" s="22">
        <f>IFERROR(_xll.BDP(A75,"EQY_SH_OUT"),NA())</f>
        <v/>
      </c>
      <c r="D75" s="22">
        <f>IFERROR(_xll.BDH(A75,"EQY_SH_OUT","-"&amp;Settings!$B$4&amp;"AW","-"&amp;Settings!$B$4&amp;"AW","days=a","fill=p"),NA())</f>
        <v/>
      </c>
      <c r="E75" s="23">
        <f>IFERROR((C75-D75)/D75,NA())</f>
        <v/>
      </c>
      <c r="F75" s="16">
        <f>IF(ISNUMBER(E75),IF(E75&lt;=Settings!$B$6,"BUYBACK ACTIVITY",""),"")</f>
        <v/>
      </c>
      <c r="G75" s="22">
        <f>IFERROR(_xll.BDP(A75,"VOLUME_AVG_30D"),NA())</f>
        <v/>
      </c>
      <c r="H75" s="22">
        <f>IFERROR(_xll.BDP(A75,"PX_VOLUME"),NA())</f>
        <v/>
      </c>
      <c r="I75" s="16">
        <f>IFERROR(H75/G75,NA())</f>
        <v/>
      </c>
      <c r="J75" s="16">
        <f>IF(ISNUMBER(I75),IF(I75&gt;=Settings!$B$7,"VOL SPIKE",""),"")</f>
        <v/>
      </c>
    </row>
    <row r="76">
      <c r="A76" s="16">
        <f>'Rest Universe'!A77</f>
        <v/>
      </c>
      <c r="B76" s="22">
        <f>IFERROR(_xll.BDP(A76,"NAME"),"")</f>
        <v/>
      </c>
      <c r="C76" s="22">
        <f>IFERROR(_xll.BDP(A76,"EQY_SH_OUT"),NA())</f>
        <v/>
      </c>
      <c r="D76" s="22">
        <f>IFERROR(_xll.BDH(A76,"EQY_SH_OUT","-"&amp;Settings!$B$4&amp;"AW","-"&amp;Settings!$B$4&amp;"AW","days=a","fill=p"),NA())</f>
        <v/>
      </c>
      <c r="E76" s="23">
        <f>IFERROR((C76-D76)/D76,NA())</f>
        <v/>
      </c>
      <c r="F76" s="16">
        <f>IF(ISNUMBER(E76),IF(E76&lt;=Settings!$B$6,"BUYBACK ACTIVITY",""),"")</f>
        <v/>
      </c>
      <c r="G76" s="22">
        <f>IFERROR(_xll.BDP(A76,"VOLUME_AVG_30D"),NA())</f>
        <v/>
      </c>
      <c r="H76" s="22">
        <f>IFERROR(_xll.BDP(A76,"PX_VOLUME"),NA())</f>
        <v/>
      </c>
      <c r="I76" s="16">
        <f>IFERROR(H76/G76,NA())</f>
        <v/>
      </c>
      <c r="J76" s="16">
        <f>IF(ISNUMBER(I76),IF(I76&gt;=Settings!$B$7,"VOL SPIKE",""),"")</f>
        <v/>
      </c>
    </row>
    <row r="77">
      <c r="A77" s="16">
        <f>'Rest Universe'!A78</f>
        <v/>
      </c>
      <c r="B77" s="22">
        <f>IFERROR(_xll.BDP(A77,"NAME"),"")</f>
        <v/>
      </c>
      <c r="C77" s="22">
        <f>IFERROR(_xll.BDP(A77,"EQY_SH_OUT"),NA())</f>
        <v/>
      </c>
      <c r="D77" s="22">
        <f>IFERROR(_xll.BDH(A77,"EQY_SH_OUT","-"&amp;Settings!$B$4&amp;"AW","-"&amp;Settings!$B$4&amp;"AW","days=a","fill=p"),NA())</f>
        <v/>
      </c>
      <c r="E77" s="23">
        <f>IFERROR((C77-D77)/D77,NA())</f>
        <v/>
      </c>
      <c r="F77" s="16">
        <f>IF(ISNUMBER(E77),IF(E77&lt;=Settings!$B$6,"BUYBACK ACTIVITY",""),"")</f>
        <v/>
      </c>
      <c r="G77" s="22">
        <f>IFERROR(_xll.BDP(A77,"VOLUME_AVG_30D"),NA())</f>
        <v/>
      </c>
      <c r="H77" s="22">
        <f>IFERROR(_xll.BDP(A77,"PX_VOLUME"),NA())</f>
        <v/>
      </c>
      <c r="I77" s="16">
        <f>IFERROR(H77/G77,NA())</f>
        <v/>
      </c>
      <c r="J77" s="16">
        <f>IF(ISNUMBER(I77),IF(I77&gt;=Settings!$B$7,"VOL SPIKE",""),"")</f>
        <v/>
      </c>
    </row>
    <row r="78">
      <c r="A78" s="16">
        <f>'Rest Universe'!A79</f>
        <v/>
      </c>
      <c r="B78" s="22">
        <f>IFERROR(_xll.BDP(A78,"NAME"),"")</f>
        <v/>
      </c>
      <c r="C78" s="22">
        <f>IFERROR(_xll.BDP(A78,"EQY_SH_OUT"),NA())</f>
        <v/>
      </c>
      <c r="D78" s="22">
        <f>IFERROR(_xll.BDH(A78,"EQY_SH_OUT","-"&amp;Settings!$B$4&amp;"AW","-"&amp;Settings!$B$4&amp;"AW","days=a","fill=p"),NA())</f>
        <v/>
      </c>
      <c r="E78" s="23">
        <f>IFERROR((C78-D78)/D78,NA())</f>
        <v/>
      </c>
      <c r="F78" s="16">
        <f>IF(ISNUMBER(E78),IF(E78&lt;=Settings!$B$6,"BUYBACK ACTIVITY",""),"")</f>
        <v/>
      </c>
      <c r="G78" s="22">
        <f>IFERROR(_xll.BDP(A78,"VOLUME_AVG_30D"),NA())</f>
        <v/>
      </c>
      <c r="H78" s="22">
        <f>IFERROR(_xll.BDP(A78,"PX_VOLUME"),NA())</f>
        <v/>
      </c>
      <c r="I78" s="16">
        <f>IFERROR(H78/G78,NA())</f>
        <v/>
      </c>
      <c r="J78" s="16">
        <f>IF(ISNUMBER(I78),IF(I78&gt;=Settings!$B$7,"VOL SPIKE",""),"")</f>
        <v/>
      </c>
    </row>
    <row r="79">
      <c r="A79" s="16">
        <f>'Rest Universe'!A80</f>
        <v/>
      </c>
      <c r="B79" s="22">
        <f>IFERROR(_xll.BDP(A79,"NAME"),"")</f>
        <v/>
      </c>
      <c r="C79" s="22">
        <f>IFERROR(_xll.BDP(A79,"EQY_SH_OUT"),NA())</f>
        <v/>
      </c>
      <c r="D79" s="22">
        <f>IFERROR(_xll.BDH(A79,"EQY_SH_OUT","-"&amp;Settings!$B$4&amp;"AW","-"&amp;Settings!$B$4&amp;"AW","days=a","fill=p"),NA())</f>
        <v/>
      </c>
      <c r="E79" s="23">
        <f>IFERROR((C79-D79)/D79,NA())</f>
        <v/>
      </c>
      <c r="F79" s="16">
        <f>IF(ISNUMBER(E79),IF(E79&lt;=Settings!$B$6,"BUYBACK ACTIVITY",""),"")</f>
        <v/>
      </c>
      <c r="G79" s="22">
        <f>IFERROR(_xll.BDP(A79,"VOLUME_AVG_30D"),NA())</f>
        <v/>
      </c>
      <c r="H79" s="22">
        <f>IFERROR(_xll.BDP(A79,"PX_VOLUME"),NA())</f>
        <v/>
      </c>
      <c r="I79" s="16">
        <f>IFERROR(H79/G79,NA())</f>
        <v/>
      </c>
      <c r="J79" s="16">
        <f>IF(ISNUMBER(I79),IF(I79&gt;=Settings!$B$7,"VOL SPIKE",""),"")</f>
        <v/>
      </c>
    </row>
    <row r="80">
      <c r="A80" s="16">
        <f>'Rest Universe'!A81</f>
        <v/>
      </c>
      <c r="B80" s="22">
        <f>IFERROR(_xll.BDP(A80,"NAME"),"")</f>
        <v/>
      </c>
      <c r="C80" s="22">
        <f>IFERROR(_xll.BDP(A80,"EQY_SH_OUT"),NA())</f>
        <v/>
      </c>
      <c r="D80" s="22">
        <f>IFERROR(_xll.BDH(A80,"EQY_SH_OUT","-"&amp;Settings!$B$4&amp;"AW","-"&amp;Settings!$B$4&amp;"AW","days=a","fill=p"),NA())</f>
        <v/>
      </c>
      <c r="E80" s="23">
        <f>IFERROR((C80-D80)/D80,NA())</f>
        <v/>
      </c>
      <c r="F80" s="16">
        <f>IF(ISNUMBER(E80),IF(E80&lt;=Settings!$B$6,"BUYBACK ACTIVITY",""),"")</f>
        <v/>
      </c>
      <c r="G80" s="22">
        <f>IFERROR(_xll.BDP(A80,"VOLUME_AVG_30D"),NA())</f>
        <v/>
      </c>
      <c r="H80" s="22">
        <f>IFERROR(_xll.BDP(A80,"PX_VOLUME"),NA())</f>
        <v/>
      </c>
      <c r="I80" s="16">
        <f>IFERROR(H80/G80,NA())</f>
        <v/>
      </c>
      <c r="J80" s="16">
        <f>IF(ISNUMBER(I80),IF(I80&gt;=Settings!$B$7,"VOL SPIKE",""),"")</f>
        <v/>
      </c>
    </row>
    <row r="81">
      <c r="A81" s="16">
        <f>'Rest Universe'!A82</f>
        <v/>
      </c>
      <c r="B81" s="22">
        <f>IFERROR(_xll.BDP(A81,"NAME"),"")</f>
        <v/>
      </c>
      <c r="C81" s="22">
        <f>IFERROR(_xll.BDP(A81,"EQY_SH_OUT"),NA())</f>
        <v/>
      </c>
      <c r="D81" s="22">
        <f>IFERROR(_xll.BDH(A81,"EQY_SH_OUT","-"&amp;Settings!$B$4&amp;"AW","-"&amp;Settings!$B$4&amp;"AW","days=a","fill=p"),NA())</f>
        <v/>
      </c>
      <c r="E81" s="23">
        <f>IFERROR((C81-D81)/D81,NA())</f>
        <v/>
      </c>
      <c r="F81" s="16">
        <f>IF(ISNUMBER(E81),IF(E81&lt;=Settings!$B$6,"BUYBACK ACTIVITY",""),"")</f>
        <v/>
      </c>
      <c r="G81" s="22">
        <f>IFERROR(_xll.BDP(A81,"VOLUME_AVG_30D"),NA())</f>
        <v/>
      </c>
      <c r="H81" s="22">
        <f>IFERROR(_xll.BDP(A81,"PX_VOLUME"),NA())</f>
        <v/>
      </c>
      <c r="I81" s="16">
        <f>IFERROR(H81/G81,NA())</f>
        <v/>
      </c>
      <c r="J81" s="16">
        <f>IF(ISNUMBER(I81),IF(I81&gt;=Settings!$B$7,"VOL SPIKE",""),"")</f>
        <v/>
      </c>
    </row>
    <row r="82">
      <c r="A82" s="16">
        <f>'Rest Universe'!A83</f>
        <v/>
      </c>
      <c r="B82" s="22">
        <f>IFERROR(_xll.BDP(A82,"NAME"),"")</f>
        <v/>
      </c>
      <c r="C82" s="22">
        <f>IFERROR(_xll.BDP(A82,"EQY_SH_OUT"),NA())</f>
        <v/>
      </c>
      <c r="D82" s="22">
        <f>IFERROR(_xll.BDH(A82,"EQY_SH_OUT","-"&amp;Settings!$B$4&amp;"AW","-"&amp;Settings!$B$4&amp;"AW","days=a","fill=p"),NA())</f>
        <v/>
      </c>
      <c r="E82" s="23">
        <f>IFERROR((C82-D82)/D82,NA())</f>
        <v/>
      </c>
      <c r="F82" s="16">
        <f>IF(ISNUMBER(E82),IF(E82&lt;=Settings!$B$6,"BUYBACK ACTIVITY",""),"")</f>
        <v/>
      </c>
      <c r="G82" s="22">
        <f>IFERROR(_xll.BDP(A82,"VOLUME_AVG_30D"),NA())</f>
        <v/>
      </c>
      <c r="H82" s="22">
        <f>IFERROR(_xll.BDP(A82,"PX_VOLUME"),NA())</f>
        <v/>
      </c>
      <c r="I82" s="16">
        <f>IFERROR(H82/G82,NA())</f>
        <v/>
      </c>
      <c r="J82" s="16">
        <f>IF(ISNUMBER(I82),IF(I82&gt;=Settings!$B$7,"VOL SPIKE",""),"")</f>
        <v/>
      </c>
    </row>
    <row r="83">
      <c r="A83" s="16">
        <f>'Rest Universe'!A84</f>
        <v/>
      </c>
      <c r="B83" s="22">
        <f>IFERROR(_xll.BDP(A83,"NAME"),"")</f>
        <v/>
      </c>
      <c r="C83" s="22">
        <f>IFERROR(_xll.BDP(A83,"EQY_SH_OUT"),NA())</f>
        <v/>
      </c>
      <c r="D83" s="22">
        <f>IFERROR(_xll.BDH(A83,"EQY_SH_OUT","-"&amp;Settings!$B$4&amp;"AW","-"&amp;Settings!$B$4&amp;"AW","days=a","fill=p"),NA())</f>
        <v/>
      </c>
      <c r="E83" s="23">
        <f>IFERROR((C83-D83)/D83,NA())</f>
        <v/>
      </c>
      <c r="F83" s="16">
        <f>IF(ISNUMBER(E83),IF(E83&lt;=Settings!$B$6,"BUYBACK ACTIVITY",""),"")</f>
        <v/>
      </c>
      <c r="G83" s="22">
        <f>IFERROR(_xll.BDP(A83,"VOLUME_AVG_30D"),NA())</f>
        <v/>
      </c>
      <c r="H83" s="22">
        <f>IFERROR(_xll.BDP(A83,"PX_VOLUME"),NA())</f>
        <v/>
      </c>
      <c r="I83" s="16">
        <f>IFERROR(H83/G83,NA())</f>
        <v/>
      </c>
      <c r="J83" s="16">
        <f>IF(ISNUMBER(I83),IF(I83&gt;=Settings!$B$7,"VOL SPIKE",""),"")</f>
        <v/>
      </c>
    </row>
    <row r="84">
      <c r="A84" s="16">
        <f>'Rest Universe'!A85</f>
        <v/>
      </c>
      <c r="B84" s="22">
        <f>IFERROR(_xll.BDP(A84,"NAME"),"")</f>
        <v/>
      </c>
      <c r="C84" s="22">
        <f>IFERROR(_xll.BDP(A84,"EQY_SH_OUT"),NA())</f>
        <v/>
      </c>
      <c r="D84" s="22">
        <f>IFERROR(_xll.BDH(A84,"EQY_SH_OUT","-"&amp;Settings!$B$4&amp;"AW","-"&amp;Settings!$B$4&amp;"AW","days=a","fill=p"),NA())</f>
        <v/>
      </c>
      <c r="E84" s="23">
        <f>IFERROR((C84-D84)/D84,NA())</f>
        <v/>
      </c>
      <c r="F84" s="16">
        <f>IF(ISNUMBER(E84),IF(E84&lt;=Settings!$B$6,"BUYBACK ACTIVITY",""),"")</f>
        <v/>
      </c>
      <c r="G84" s="22">
        <f>IFERROR(_xll.BDP(A84,"VOLUME_AVG_30D"),NA())</f>
        <v/>
      </c>
      <c r="H84" s="22">
        <f>IFERROR(_xll.BDP(A84,"PX_VOLUME"),NA())</f>
        <v/>
      </c>
      <c r="I84" s="16">
        <f>IFERROR(H84/G84,NA())</f>
        <v/>
      </c>
      <c r="J84" s="16">
        <f>IF(ISNUMBER(I84),IF(I84&gt;=Settings!$B$7,"VOL SPIKE",""),"")</f>
        <v/>
      </c>
    </row>
    <row r="85">
      <c r="A85" s="16">
        <f>'Rest Universe'!A86</f>
        <v/>
      </c>
      <c r="B85" s="22">
        <f>IFERROR(_xll.BDP(A85,"NAME"),"")</f>
        <v/>
      </c>
      <c r="C85" s="22">
        <f>IFERROR(_xll.BDP(A85,"EQY_SH_OUT"),NA())</f>
        <v/>
      </c>
      <c r="D85" s="22">
        <f>IFERROR(_xll.BDH(A85,"EQY_SH_OUT","-"&amp;Settings!$B$4&amp;"AW","-"&amp;Settings!$B$4&amp;"AW","days=a","fill=p"),NA())</f>
        <v/>
      </c>
      <c r="E85" s="23">
        <f>IFERROR((C85-D85)/D85,NA())</f>
        <v/>
      </c>
      <c r="F85" s="16">
        <f>IF(ISNUMBER(E85),IF(E85&lt;=Settings!$B$6,"BUYBACK ACTIVITY",""),"")</f>
        <v/>
      </c>
      <c r="G85" s="22">
        <f>IFERROR(_xll.BDP(A85,"VOLUME_AVG_30D"),NA())</f>
        <v/>
      </c>
      <c r="H85" s="22">
        <f>IFERROR(_xll.BDP(A85,"PX_VOLUME"),NA())</f>
        <v/>
      </c>
      <c r="I85" s="16">
        <f>IFERROR(H85/G85,NA())</f>
        <v/>
      </c>
      <c r="J85" s="16">
        <f>IF(ISNUMBER(I85),IF(I85&gt;=Settings!$B$7,"VOL SPIKE",""),"")</f>
        <v/>
      </c>
    </row>
    <row r="86">
      <c r="A86" s="16">
        <f>'Rest Universe'!A87</f>
        <v/>
      </c>
      <c r="B86" s="22">
        <f>IFERROR(_xll.BDP(A86,"NAME"),"")</f>
        <v/>
      </c>
      <c r="C86" s="22">
        <f>IFERROR(_xll.BDP(A86,"EQY_SH_OUT"),NA())</f>
        <v/>
      </c>
      <c r="D86" s="22">
        <f>IFERROR(_xll.BDH(A86,"EQY_SH_OUT","-"&amp;Settings!$B$4&amp;"AW","-"&amp;Settings!$B$4&amp;"AW","days=a","fill=p"),NA())</f>
        <v/>
      </c>
      <c r="E86" s="23">
        <f>IFERROR((C86-D86)/D86,NA())</f>
        <v/>
      </c>
      <c r="F86" s="16">
        <f>IF(ISNUMBER(E86),IF(E86&lt;=Settings!$B$6,"BUYBACK ACTIVITY",""),"")</f>
        <v/>
      </c>
      <c r="G86" s="22">
        <f>IFERROR(_xll.BDP(A86,"VOLUME_AVG_30D"),NA())</f>
        <v/>
      </c>
      <c r="H86" s="22">
        <f>IFERROR(_xll.BDP(A86,"PX_VOLUME"),NA())</f>
        <v/>
      </c>
      <c r="I86" s="16">
        <f>IFERROR(H86/G86,NA())</f>
        <v/>
      </c>
      <c r="J86" s="16">
        <f>IF(ISNUMBER(I86),IF(I86&gt;=Settings!$B$7,"VOL SPIKE",""),"")</f>
        <v/>
      </c>
    </row>
    <row r="87">
      <c r="A87" s="16">
        <f>'Rest Universe'!A88</f>
        <v/>
      </c>
      <c r="B87" s="22">
        <f>IFERROR(_xll.BDP(A87,"NAME"),"")</f>
        <v/>
      </c>
      <c r="C87" s="22">
        <f>IFERROR(_xll.BDP(A87,"EQY_SH_OUT"),NA())</f>
        <v/>
      </c>
      <c r="D87" s="22">
        <f>IFERROR(_xll.BDH(A87,"EQY_SH_OUT","-"&amp;Settings!$B$4&amp;"AW","-"&amp;Settings!$B$4&amp;"AW","days=a","fill=p"),NA())</f>
        <v/>
      </c>
      <c r="E87" s="23">
        <f>IFERROR((C87-D87)/D87,NA())</f>
        <v/>
      </c>
      <c r="F87" s="16">
        <f>IF(ISNUMBER(E87),IF(E87&lt;=Settings!$B$6,"BUYBACK ACTIVITY",""),"")</f>
        <v/>
      </c>
      <c r="G87" s="22">
        <f>IFERROR(_xll.BDP(A87,"VOLUME_AVG_30D"),NA())</f>
        <v/>
      </c>
      <c r="H87" s="22">
        <f>IFERROR(_xll.BDP(A87,"PX_VOLUME"),NA())</f>
        <v/>
      </c>
      <c r="I87" s="16">
        <f>IFERROR(H87/G87,NA())</f>
        <v/>
      </c>
      <c r="J87" s="16">
        <f>IF(ISNUMBER(I87),IF(I87&gt;=Settings!$B$7,"VOL SPIKE",""),"")</f>
        <v/>
      </c>
    </row>
    <row r="88">
      <c r="A88" s="16">
        <f>'Rest Universe'!A89</f>
        <v/>
      </c>
      <c r="B88" s="22">
        <f>IFERROR(_xll.BDP(A88,"NAME"),"")</f>
        <v/>
      </c>
      <c r="C88" s="22">
        <f>IFERROR(_xll.BDP(A88,"EQY_SH_OUT"),NA())</f>
        <v/>
      </c>
      <c r="D88" s="22">
        <f>IFERROR(_xll.BDH(A88,"EQY_SH_OUT","-"&amp;Settings!$B$4&amp;"AW","-"&amp;Settings!$B$4&amp;"AW","days=a","fill=p"),NA())</f>
        <v/>
      </c>
      <c r="E88" s="23">
        <f>IFERROR((C88-D88)/D88,NA())</f>
        <v/>
      </c>
      <c r="F88" s="16">
        <f>IF(ISNUMBER(E88),IF(E88&lt;=Settings!$B$6,"BUYBACK ACTIVITY",""),"")</f>
        <v/>
      </c>
      <c r="G88" s="22">
        <f>IFERROR(_xll.BDP(A88,"VOLUME_AVG_30D"),NA())</f>
        <v/>
      </c>
      <c r="H88" s="22">
        <f>IFERROR(_xll.BDP(A88,"PX_VOLUME"),NA())</f>
        <v/>
      </c>
      <c r="I88" s="16">
        <f>IFERROR(H88/G88,NA())</f>
        <v/>
      </c>
      <c r="J88" s="16">
        <f>IF(ISNUMBER(I88),IF(I88&gt;=Settings!$B$7,"VOL SPIKE",""),"")</f>
        <v/>
      </c>
    </row>
    <row r="89">
      <c r="A89" s="16">
        <f>'Rest Universe'!A90</f>
        <v/>
      </c>
      <c r="B89" s="22">
        <f>IFERROR(_xll.BDP(A89,"NAME"),"")</f>
        <v/>
      </c>
      <c r="C89" s="22">
        <f>IFERROR(_xll.BDP(A89,"EQY_SH_OUT"),NA())</f>
        <v/>
      </c>
      <c r="D89" s="22">
        <f>IFERROR(_xll.BDH(A89,"EQY_SH_OUT","-"&amp;Settings!$B$4&amp;"AW","-"&amp;Settings!$B$4&amp;"AW","days=a","fill=p"),NA())</f>
        <v/>
      </c>
      <c r="E89" s="23">
        <f>IFERROR((C89-D89)/D89,NA())</f>
        <v/>
      </c>
      <c r="F89" s="16">
        <f>IF(ISNUMBER(E89),IF(E89&lt;=Settings!$B$6,"BUYBACK ACTIVITY",""),"")</f>
        <v/>
      </c>
      <c r="G89" s="22">
        <f>IFERROR(_xll.BDP(A89,"VOLUME_AVG_30D"),NA())</f>
        <v/>
      </c>
      <c r="H89" s="22">
        <f>IFERROR(_xll.BDP(A89,"PX_VOLUME"),NA())</f>
        <v/>
      </c>
      <c r="I89" s="16">
        <f>IFERROR(H89/G89,NA())</f>
        <v/>
      </c>
      <c r="J89" s="16">
        <f>IF(ISNUMBER(I89),IF(I89&gt;=Settings!$B$7,"VOL SPIKE",""),"")</f>
        <v/>
      </c>
    </row>
    <row r="90">
      <c r="A90" s="16">
        <f>'Rest Universe'!A91</f>
        <v/>
      </c>
      <c r="B90" s="22">
        <f>IFERROR(_xll.BDP(A90,"NAME"),"")</f>
        <v/>
      </c>
      <c r="C90" s="22">
        <f>IFERROR(_xll.BDP(A90,"EQY_SH_OUT"),NA())</f>
        <v/>
      </c>
      <c r="D90" s="22">
        <f>IFERROR(_xll.BDH(A90,"EQY_SH_OUT","-"&amp;Settings!$B$4&amp;"AW","-"&amp;Settings!$B$4&amp;"AW","days=a","fill=p"),NA())</f>
        <v/>
      </c>
      <c r="E90" s="23">
        <f>IFERROR((C90-D90)/D90,NA())</f>
        <v/>
      </c>
      <c r="F90" s="16">
        <f>IF(ISNUMBER(E90),IF(E90&lt;=Settings!$B$6,"BUYBACK ACTIVITY",""),"")</f>
        <v/>
      </c>
      <c r="G90" s="22">
        <f>IFERROR(_xll.BDP(A90,"VOLUME_AVG_30D"),NA())</f>
        <v/>
      </c>
      <c r="H90" s="22">
        <f>IFERROR(_xll.BDP(A90,"PX_VOLUME"),NA())</f>
        <v/>
      </c>
      <c r="I90" s="16">
        <f>IFERROR(H90/G90,NA())</f>
        <v/>
      </c>
      <c r="J90" s="16">
        <f>IF(ISNUMBER(I90),IF(I90&gt;=Settings!$B$7,"VOL SPIKE",""),"")</f>
        <v/>
      </c>
    </row>
    <row r="91">
      <c r="A91" s="16">
        <f>'Rest Universe'!A92</f>
        <v/>
      </c>
      <c r="B91" s="22">
        <f>IFERROR(_xll.BDP(A91,"NAME"),"")</f>
        <v/>
      </c>
      <c r="C91" s="22">
        <f>IFERROR(_xll.BDP(A91,"EQY_SH_OUT"),NA())</f>
        <v/>
      </c>
      <c r="D91" s="22">
        <f>IFERROR(_xll.BDH(A91,"EQY_SH_OUT","-"&amp;Settings!$B$4&amp;"AW","-"&amp;Settings!$B$4&amp;"AW","days=a","fill=p"),NA())</f>
        <v/>
      </c>
      <c r="E91" s="23">
        <f>IFERROR((C91-D91)/D91,NA())</f>
        <v/>
      </c>
      <c r="F91" s="16">
        <f>IF(ISNUMBER(E91),IF(E91&lt;=Settings!$B$6,"BUYBACK ACTIVITY",""),"")</f>
        <v/>
      </c>
      <c r="G91" s="22">
        <f>IFERROR(_xll.BDP(A91,"VOLUME_AVG_30D"),NA())</f>
        <v/>
      </c>
      <c r="H91" s="22">
        <f>IFERROR(_xll.BDP(A91,"PX_VOLUME"),NA())</f>
        <v/>
      </c>
      <c r="I91" s="16">
        <f>IFERROR(H91/G91,NA())</f>
        <v/>
      </c>
      <c r="J91" s="16">
        <f>IF(ISNUMBER(I91),IF(I91&gt;=Settings!$B$7,"VOL SPIKE",""),"")</f>
        <v/>
      </c>
    </row>
    <row r="92">
      <c r="A92" s="16">
        <f>'Rest Universe'!A93</f>
        <v/>
      </c>
      <c r="B92" s="22">
        <f>IFERROR(_xll.BDP(A92,"NAME"),"")</f>
        <v/>
      </c>
      <c r="C92" s="22">
        <f>IFERROR(_xll.BDP(A92,"EQY_SH_OUT"),NA())</f>
        <v/>
      </c>
      <c r="D92" s="22">
        <f>IFERROR(_xll.BDH(A92,"EQY_SH_OUT","-"&amp;Settings!$B$4&amp;"AW","-"&amp;Settings!$B$4&amp;"AW","days=a","fill=p"),NA())</f>
        <v/>
      </c>
      <c r="E92" s="23">
        <f>IFERROR((C92-D92)/D92,NA())</f>
        <v/>
      </c>
      <c r="F92" s="16">
        <f>IF(ISNUMBER(E92),IF(E92&lt;=Settings!$B$6,"BUYBACK ACTIVITY",""),"")</f>
        <v/>
      </c>
      <c r="G92" s="22">
        <f>IFERROR(_xll.BDP(A92,"VOLUME_AVG_30D"),NA())</f>
        <v/>
      </c>
      <c r="H92" s="22">
        <f>IFERROR(_xll.BDP(A92,"PX_VOLUME"),NA())</f>
        <v/>
      </c>
      <c r="I92" s="16">
        <f>IFERROR(H92/G92,NA())</f>
        <v/>
      </c>
      <c r="J92" s="16">
        <f>IF(ISNUMBER(I92),IF(I92&gt;=Settings!$B$7,"VOL SPIKE",""),"")</f>
        <v/>
      </c>
    </row>
    <row r="93">
      <c r="A93" s="16">
        <f>'Rest Universe'!A94</f>
        <v/>
      </c>
      <c r="B93" s="22">
        <f>IFERROR(_xll.BDP(A93,"NAME"),"")</f>
        <v/>
      </c>
      <c r="C93" s="22">
        <f>IFERROR(_xll.BDP(A93,"EQY_SH_OUT"),NA())</f>
        <v/>
      </c>
      <c r="D93" s="22">
        <f>IFERROR(_xll.BDH(A93,"EQY_SH_OUT","-"&amp;Settings!$B$4&amp;"AW","-"&amp;Settings!$B$4&amp;"AW","days=a","fill=p"),NA())</f>
        <v/>
      </c>
      <c r="E93" s="23">
        <f>IFERROR((C93-D93)/D93,NA())</f>
        <v/>
      </c>
      <c r="F93" s="16">
        <f>IF(ISNUMBER(E93),IF(E93&lt;=Settings!$B$6,"BUYBACK ACTIVITY",""),"")</f>
        <v/>
      </c>
      <c r="G93" s="22">
        <f>IFERROR(_xll.BDP(A93,"VOLUME_AVG_30D"),NA())</f>
        <v/>
      </c>
      <c r="H93" s="22">
        <f>IFERROR(_xll.BDP(A93,"PX_VOLUME"),NA())</f>
        <v/>
      </c>
      <c r="I93" s="16">
        <f>IFERROR(H93/G93,NA())</f>
        <v/>
      </c>
      <c r="J93" s="16">
        <f>IF(ISNUMBER(I93),IF(I93&gt;=Settings!$B$7,"VOL SPIKE",""),"")</f>
        <v/>
      </c>
    </row>
    <row r="94">
      <c r="A94" s="16">
        <f>'Rest Universe'!A95</f>
        <v/>
      </c>
      <c r="B94" s="22">
        <f>IFERROR(_xll.BDP(A94,"NAME"),"")</f>
        <v/>
      </c>
      <c r="C94" s="22">
        <f>IFERROR(_xll.BDP(A94,"EQY_SH_OUT"),NA())</f>
        <v/>
      </c>
      <c r="D94" s="22">
        <f>IFERROR(_xll.BDH(A94,"EQY_SH_OUT","-"&amp;Settings!$B$4&amp;"AW","-"&amp;Settings!$B$4&amp;"AW","days=a","fill=p"),NA())</f>
        <v/>
      </c>
      <c r="E94" s="23">
        <f>IFERROR((C94-D94)/D94,NA())</f>
        <v/>
      </c>
      <c r="F94" s="16">
        <f>IF(ISNUMBER(E94),IF(E94&lt;=Settings!$B$6,"BUYBACK ACTIVITY",""),"")</f>
        <v/>
      </c>
      <c r="G94" s="22">
        <f>IFERROR(_xll.BDP(A94,"VOLUME_AVG_30D"),NA())</f>
        <v/>
      </c>
      <c r="H94" s="22">
        <f>IFERROR(_xll.BDP(A94,"PX_VOLUME"),NA())</f>
        <v/>
      </c>
      <c r="I94" s="16">
        <f>IFERROR(H94/G94,NA())</f>
        <v/>
      </c>
      <c r="J94" s="16">
        <f>IF(ISNUMBER(I94),IF(I94&gt;=Settings!$B$7,"VOL SPIKE",""),"")</f>
        <v/>
      </c>
    </row>
    <row r="95">
      <c r="A95" s="16">
        <f>'Rest Universe'!A96</f>
        <v/>
      </c>
      <c r="B95" s="22">
        <f>IFERROR(_xll.BDP(A95,"NAME"),"")</f>
        <v/>
      </c>
      <c r="C95" s="22">
        <f>IFERROR(_xll.BDP(A95,"EQY_SH_OUT"),NA())</f>
        <v/>
      </c>
      <c r="D95" s="22">
        <f>IFERROR(_xll.BDH(A95,"EQY_SH_OUT","-"&amp;Settings!$B$4&amp;"AW","-"&amp;Settings!$B$4&amp;"AW","days=a","fill=p"),NA())</f>
        <v/>
      </c>
      <c r="E95" s="23">
        <f>IFERROR((C95-D95)/D95,NA())</f>
        <v/>
      </c>
      <c r="F95" s="16">
        <f>IF(ISNUMBER(E95),IF(E95&lt;=Settings!$B$6,"BUYBACK ACTIVITY",""),"")</f>
        <v/>
      </c>
      <c r="G95" s="22">
        <f>IFERROR(_xll.BDP(A95,"VOLUME_AVG_30D"),NA())</f>
        <v/>
      </c>
      <c r="H95" s="22">
        <f>IFERROR(_xll.BDP(A95,"PX_VOLUME"),NA())</f>
        <v/>
      </c>
      <c r="I95" s="16">
        <f>IFERROR(H95/G95,NA())</f>
        <v/>
      </c>
      <c r="J95" s="16">
        <f>IF(ISNUMBER(I95),IF(I95&gt;=Settings!$B$7,"VOL SPIKE",""),"")</f>
        <v/>
      </c>
    </row>
    <row r="96">
      <c r="A96" s="16">
        <f>'Rest Universe'!A97</f>
        <v/>
      </c>
      <c r="B96" s="22">
        <f>IFERROR(_xll.BDP(A96,"NAME"),"")</f>
        <v/>
      </c>
      <c r="C96" s="22">
        <f>IFERROR(_xll.BDP(A96,"EQY_SH_OUT"),NA())</f>
        <v/>
      </c>
      <c r="D96" s="22">
        <f>IFERROR(_xll.BDH(A96,"EQY_SH_OUT","-"&amp;Settings!$B$4&amp;"AW","-"&amp;Settings!$B$4&amp;"AW","days=a","fill=p"),NA())</f>
        <v/>
      </c>
      <c r="E96" s="23">
        <f>IFERROR((C96-D96)/D96,NA())</f>
        <v/>
      </c>
      <c r="F96" s="16">
        <f>IF(ISNUMBER(E96),IF(E96&lt;=Settings!$B$6,"BUYBACK ACTIVITY",""),"")</f>
        <v/>
      </c>
      <c r="G96" s="22">
        <f>IFERROR(_xll.BDP(A96,"VOLUME_AVG_30D"),NA())</f>
        <v/>
      </c>
      <c r="H96" s="22">
        <f>IFERROR(_xll.BDP(A96,"PX_VOLUME"),NA())</f>
        <v/>
      </c>
      <c r="I96" s="16">
        <f>IFERROR(H96/G96,NA())</f>
        <v/>
      </c>
      <c r="J96" s="16">
        <f>IF(ISNUMBER(I96),IF(I96&gt;=Settings!$B$7,"VOL SPIKE",""),"")</f>
        <v/>
      </c>
    </row>
    <row r="97">
      <c r="A97" s="16">
        <f>'Rest Universe'!A98</f>
        <v/>
      </c>
      <c r="B97" s="22">
        <f>IFERROR(_xll.BDP(A97,"NAME"),"")</f>
        <v/>
      </c>
      <c r="C97" s="22">
        <f>IFERROR(_xll.BDP(A97,"EQY_SH_OUT"),NA())</f>
        <v/>
      </c>
      <c r="D97" s="22">
        <f>IFERROR(_xll.BDH(A97,"EQY_SH_OUT","-"&amp;Settings!$B$4&amp;"AW","-"&amp;Settings!$B$4&amp;"AW","days=a","fill=p"),NA())</f>
        <v/>
      </c>
      <c r="E97" s="23">
        <f>IFERROR((C97-D97)/D97,NA())</f>
        <v/>
      </c>
      <c r="F97" s="16">
        <f>IF(ISNUMBER(E97),IF(E97&lt;=Settings!$B$6,"BUYBACK ACTIVITY",""),"")</f>
        <v/>
      </c>
      <c r="G97" s="22">
        <f>IFERROR(_xll.BDP(A97,"VOLUME_AVG_30D"),NA())</f>
        <v/>
      </c>
      <c r="H97" s="22">
        <f>IFERROR(_xll.BDP(A97,"PX_VOLUME"),NA())</f>
        <v/>
      </c>
      <c r="I97" s="16">
        <f>IFERROR(H97/G97,NA())</f>
        <v/>
      </c>
      <c r="J97" s="16">
        <f>IF(ISNUMBER(I97),IF(I97&gt;=Settings!$B$7,"VOL SPIKE",""),"")</f>
        <v/>
      </c>
    </row>
    <row r="98">
      <c r="A98" s="16">
        <f>'Rest Universe'!A99</f>
        <v/>
      </c>
      <c r="B98" s="22">
        <f>IFERROR(_xll.BDP(A98,"NAME"),"")</f>
        <v/>
      </c>
      <c r="C98" s="22">
        <f>IFERROR(_xll.BDP(A98,"EQY_SH_OUT"),NA())</f>
        <v/>
      </c>
      <c r="D98" s="22">
        <f>IFERROR(_xll.BDH(A98,"EQY_SH_OUT","-"&amp;Settings!$B$4&amp;"AW","-"&amp;Settings!$B$4&amp;"AW","days=a","fill=p"),NA())</f>
        <v/>
      </c>
      <c r="E98" s="23">
        <f>IFERROR((C98-D98)/D98,NA())</f>
        <v/>
      </c>
      <c r="F98" s="16">
        <f>IF(ISNUMBER(E98),IF(E98&lt;=Settings!$B$6,"BUYBACK ACTIVITY",""),"")</f>
        <v/>
      </c>
      <c r="G98" s="22">
        <f>IFERROR(_xll.BDP(A98,"VOLUME_AVG_30D"),NA())</f>
        <v/>
      </c>
      <c r="H98" s="22">
        <f>IFERROR(_xll.BDP(A98,"PX_VOLUME"),NA())</f>
        <v/>
      </c>
      <c r="I98" s="16">
        <f>IFERROR(H98/G98,NA())</f>
        <v/>
      </c>
      <c r="J98" s="16">
        <f>IF(ISNUMBER(I98),IF(I98&gt;=Settings!$B$7,"VOL SPIKE",""),"")</f>
        <v/>
      </c>
    </row>
    <row r="99">
      <c r="A99" s="16">
        <f>'Rest Universe'!A100</f>
        <v/>
      </c>
      <c r="B99" s="22">
        <f>IFERROR(_xll.BDP(A99,"NAME"),"")</f>
        <v/>
      </c>
      <c r="C99" s="22">
        <f>IFERROR(_xll.BDP(A99,"EQY_SH_OUT"),NA())</f>
        <v/>
      </c>
      <c r="D99" s="22">
        <f>IFERROR(_xll.BDH(A99,"EQY_SH_OUT","-"&amp;Settings!$B$4&amp;"AW","-"&amp;Settings!$B$4&amp;"AW","days=a","fill=p"),NA())</f>
        <v/>
      </c>
      <c r="E99" s="23">
        <f>IFERROR((C99-D99)/D99,NA())</f>
        <v/>
      </c>
      <c r="F99" s="16">
        <f>IF(ISNUMBER(E99),IF(E99&lt;=Settings!$B$6,"BUYBACK ACTIVITY",""),"")</f>
        <v/>
      </c>
      <c r="G99" s="22">
        <f>IFERROR(_xll.BDP(A99,"VOLUME_AVG_30D"),NA())</f>
        <v/>
      </c>
      <c r="H99" s="22">
        <f>IFERROR(_xll.BDP(A99,"PX_VOLUME"),NA())</f>
        <v/>
      </c>
      <c r="I99" s="16">
        <f>IFERROR(H99/G99,NA())</f>
        <v/>
      </c>
      <c r="J99" s="16">
        <f>IF(ISNUMBER(I99),IF(I99&gt;=Settings!$B$7,"VOL SPIKE",""),"")</f>
        <v/>
      </c>
    </row>
    <row r="100">
      <c r="A100" s="16">
        <f>'Rest Universe'!A101</f>
        <v/>
      </c>
      <c r="B100" s="22">
        <f>IFERROR(_xll.BDP(A100,"NAME"),"")</f>
        <v/>
      </c>
      <c r="C100" s="22">
        <f>IFERROR(_xll.BDP(A100,"EQY_SH_OUT"),NA())</f>
        <v/>
      </c>
      <c r="D100" s="22">
        <f>IFERROR(_xll.BDH(A100,"EQY_SH_OUT","-"&amp;Settings!$B$4&amp;"AW","-"&amp;Settings!$B$4&amp;"AW","days=a","fill=p"),NA())</f>
        <v/>
      </c>
      <c r="E100" s="23">
        <f>IFERROR((C100-D100)/D100,NA())</f>
        <v/>
      </c>
      <c r="F100" s="16">
        <f>IF(ISNUMBER(E100),IF(E100&lt;=Settings!$B$6,"BUYBACK ACTIVITY",""),"")</f>
        <v/>
      </c>
      <c r="G100" s="22">
        <f>IFERROR(_xll.BDP(A100,"VOLUME_AVG_30D"),NA())</f>
        <v/>
      </c>
      <c r="H100" s="22">
        <f>IFERROR(_xll.BDP(A100,"PX_VOLUME"),NA())</f>
        <v/>
      </c>
      <c r="I100" s="16">
        <f>IFERROR(H100/G100,NA())</f>
        <v/>
      </c>
      <c r="J100" s="16">
        <f>IF(ISNUMBER(I100),IF(I100&gt;=Settings!$B$7,"VOL SPIKE",""),"")</f>
        <v/>
      </c>
    </row>
    <row r="101">
      <c r="A101" s="16">
        <f>'Rest Universe'!A102</f>
        <v/>
      </c>
      <c r="B101" s="22">
        <f>IFERROR(_xll.BDP(A101,"NAME"),"")</f>
        <v/>
      </c>
      <c r="C101" s="22">
        <f>IFERROR(_xll.BDP(A101,"EQY_SH_OUT"),NA())</f>
        <v/>
      </c>
      <c r="D101" s="22">
        <f>IFERROR(_xll.BDH(A101,"EQY_SH_OUT","-"&amp;Settings!$B$4&amp;"AW","-"&amp;Settings!$B$4&amp;"AW","days=a","fill=p"),NA())</f>
        <v/>
      </c>
      <c r="E101" s="23">
        <f>IFERROR((C101-D101)/D101,NA())</f>
        <v/>
      </c>
      <c r="F101" s="16">
        <f>IF(ISNUMBER(E101),IF(E101&lt;=Settings!$B$6,"BUYBACK ACTIVITY",""),"")</f>
        <v/>
      </c>
      <c r="G101" s="22">
        <f>IFERROR(_xll.BDP(A101,"VOLUME_AVG_30D"),NA())</f>
        <v/>
      </c>
      <c r="H101" s="22">
        <f>IFERROR(_xll.BDP(A101,"PX_VOLUME"),NA())</f>
        <v/>
      </c>
      <c r="I101" s="16">
        <f>IFERROR(H101/G101,NA())</f>
        <v/>
      </c>
      <c r="J101" s="16">
        <f>IF(ISNUMBER(I101),IF(I101&gt;=Settings!$B$7,"VOL SPIKE",""),"")</f>
        <v/>
      </c>
    </row>
    <row r="102">
      <c r="A102" s="16">
        <f>'Rest Universe'!A103</f>
        <v/>
      </c>
      <c r="B102" s="22">
        <f>IFERROR(_xll.BDP(A102,"NAME"),"")</f>
        <v/>
      </c>
      <c r="C102" s="22">
        <f>IFERROR(_xll.BDP(A102,"EQY_SH_OUT"),NA())</f>
        <v/>
      </c>
      <c r="D102" s="22">
        <f>IFERROR(_xll.BDH(A102,"EQY_SH_OUT","-"&amp;Settings!$B$4&amp;"AW","-"&amp;Settings!$B$4&amp;"AW","days=a","fill=p"),NA())</f>
        <v/>
      </c>
      <c r="E102" s="23">
        <f>IFERROR((C102-D102)/D102,NA())</f>
        <v/>
      </c>
      <c r="F102" s="16">
        <f>IF(ISNUMBER(E102),IF(E102&lt;=Settings!$B$6,"BUYBACK ACTIVITY",""),"")</f>
        <v/>
      </c>
      <c r="G102" s="22">
        <f>IFERROR(_xll.BDP(A102,"VOLUME_AVG_30D"),NA())</f>
        <v/>
      </c>
      <c r="H102" s="22">
        <f>IFERROR(_xll.BDP(A102,"PX_VOLUME"),NA())</f>
        <v/>
      </c>
      <c r="I102" s="16">
        <f>IFERROR(H102/G102,NA())</f>
        <v/>
      </c>
      <c r="J102" s="16">
        <f>IF(ISNUMBER(I102),IF(I102&gt;=Settings!$B$7,"VOL SPIKE",""),"")</f>
        <v/>
      </c>
    </row>
    <row r="103">
      <c r="A103" s="16">
        <f>'Rest Universe'!A104</f>
        <v/>
      </c>
      <c r="B103" s="22">
        <f>IFERROR(_xll.BDP(A103,"NAME"),"")</f>
        <v/>
      </c>
      <c r="C103" s="22">
        <f>IFERROR(_xll.BDP(A103,"EQY_SH_OUT"),NA())</f>
        <v/>
      </c>
      <c r="D103" s="22">
        <f>IFERROR(_xll.BDH(A103,"EQY_SH_OUT","-"&amp;Settings!$B$4&amp;"AW","-"&amp;Settings!$B$4&amp;"AW","days=a","fill=p"),NA())</f>
        <v/>
      </c>
      <c r="E103" s="23">
        <f>IFERROR((C103-D103)/D103,NA())</f>
        <v/>
      </c>
      <c r="F103" s="16">
        <f>IF(ISNUMBER(E103),IF(E103&lt;=Settings!$B$6,"BUYBACK ACTIVITY",""),"")</f>
        <v/>
      </c>
      <c r="G103" s="22">
        <f>IFERROR(_xll.BDP(A103,"VOLUME_AVG_30D"),NA())</f>
        <v/>
      </c>
      <c r="H103" s="22">
        <f>IFERROR(_xll.BDP(A103,"PX_VOLUME"),NA())</f>
        <v/>
      </c>
      <c r="I103" s="16">
        <f>IFERROR(H103/G103,NA())</f>
        <v/>
      </c>
      <c r="J103" s="16">
        <f>IF(ISNUMBER(I103),IF(I103&gt;=Settings!$B$7,"VOL SPIKE",""),"")</f>
        <v/>
      </c>
    </row>
    <row r="104">
      <c r="A104" s="16">
        <f>'Rest Universe'!A105</f>
        <v/>
      </c>
      <c r="B104" s="22">
        <f>IFERROR(_xll.BDP(A104,"NAME"),"")</f>
        <v/>
      </c>
      <c r="C104" s="22">
        <f>IFERROR(_xll.BDP(A104,"EQY_SH_OUT"),NA())</f>
        <v/>
      </c>
      <c r="D104" s="22">
        <f>IFERROR(_xll.BDH(A104,"EQY_SH_OUT","-"&amp;Settings!$B$4&amp;"AW","-"&amp;Settings!$B$4&amp;"AW","days=a","fill=p"),NA())</f>
        <v/>
      </c>
      <c r="E104" s="23">
        <f>IFERROR((C104-D104)/D104,NA())</f>
        <v/>
      </c>
      <c r="F104" s="16">
        <f>IF(ISNUMBER(E104),IF(E104&lt;=Settings!$B$6,"BUYBACK ACTIVITY",""),"")</f>
        <v/>
      </c>
      <c r="G104" s="22">
        <f>IFERROR(_xll.BDP(A104,"VOLUME_AVG_30D"),NA())</f>
        <v/>
      </c>
      <c r="H104" s="22">
        <f>IFERROR(_xll.BDP(A104,"PX_VOLUME"),NA())</f>
        <v/>
      </c>
      <c r="I104" s="16">
        <f>IFERROR(H104/G104,NA())</f>
        <v/>
      </c>
      <c r="J104" s="16">
        <f>IF(ISNUMBER(I104),IF(I104&gt;=Settings!$B$7,"VOL SPIKE",""),"")</f>
        <v/>
      </c>
    </row>
    <row r="105">
      <c r="A105" s="16">
        <f>'Rest Universe'!A106</f>
        <v/>
      </c>
      <c r="B105" s="22">
        <f>IFERROR(_xll.BDP(A105,"NAME"),"")</f>
        <v/>
      </c>
      <c r="C105" s="22">
        <f>IFERROR(_xll.BDP(A105,"EQY_SH_OUT"),NA())</f>
        <v/>
      </c>
      <c r="D105" s="22">
        <f>IFERROR(_xll.BDH(A105,"EQY_SH_OUT","-"&amp;Settings!$B$4&amp;"AW","-"&amp;Settings!$B$4&amp;"AW","days=a","fill=p"),NA())</f>
        <v/>
      </c>
      <c r="E105" s="23">
        <f>IFERROR((C105-D105)/D105,NA())</f>
        <v/>
      </c>
      <c r="F105" s="16">
        <f>IF(ISNUMBER(E105),IF(E105&lt;=Settings!$B$6,"BUYBACK ACTIVITY",""),"")</f>
        <v/>
      </c>
      <c r="G105" s="22">
        <f>IFERROR(_xll.BDP(A105,"VOLUME_AVG_30D"),NA())</f>
        <v/>
      </c>
      <c r="H105" s="22">
        <f>IFERROR(_xll.BDP(A105,"PX_VOLUME"),NA())</f>
        <v/>
      </c>
      <c r="I105" s="16">
        <f>IFERROR(H105/G105,NA())</f>
        <v/>
      </c>
      <c r="J105" s="16">
        <f>IF(ISNUMBER(I105),IF(I105&gt;=Settings!$B$7,"VOL SPIKE",""),"")</f>
        <v/>
      </c>
    </row>
    <row r="106">
      <c r="A106" s="16">
        <f>'Rest Universe'!A107</f>
        <v/>
      </c>
      <c r="B106" s="22">
        <f>IFERROR(_xll.BDP(A106,"NAME"),"")</f>
        <v/>
      </c>
      <c r="C106" s="22">
        <f>IFERROR(_xll.BDP(A106,"EQY_SH_OUT"),NA())</f>
        <v/>
      </c>
      <c r="D106" s="22">
        <f>IFERROR(_xll.BDH(A106,"EQY_SH_OUT","-"&amp;Settings!$B$4&amp;"AW","-"&amp;Settings!$B$4&amp;"AW","days=a","fill=p"),NA())</f>
        <v/>
      </c>
      <c r="E106" s="23">
        <f>IFERROR((C106-D106)/D106,NA())</f>
        <v/>
      </c>
      <c r="F106" s="16">
        <f>IF(ISNUMBER(E106),IF(E106&lt;=Settings!$B$6,"BUYBACK ACTIVITY",""),"")</f>
        <v/>
      </c>
      <c r="G106" s="22">
        <f>IFERROR(_xll.BDP(A106,"VOLUME_AVG_30D"),NA())</f>
        <v/>
      </c>
      <c r="H106" s="22">
        <f>IFERROR(_xll.BDP(A106,"PX_VOLUME"),NA())</f>
        <v/>
      </c>
      <c r="I106" s="16">
        <f>IFERROR(H106/G106,NA())</f>
        <v/>
      </c>
      <c r="J106" s="16">
        <f>IF(ISNUMBER(I106),IF(I106&gt;=Settings!$B$7,"VOL SPIKE",""),"")</f>
        <v/>
      </c>
    </row>
    <row r="107">
      <c r="A107" s="16">
        <f>'Rest Universe'!A108</f>
        <v/>
      </c>
      <c r="B107" s="22">
        <f>IFERROR(_xll.BDP(A107,"NAME"),"")</f>
        <v/>
      </c>
      <c r="C107" s="22">
        <f>IFERROR(_xll.BDP(A107,"EQY_SH_OUT"),NA())</f>
        <v/>
      </c>
      <c r="D107" s="22">
        <f>IFERROR(_xll.BDH(A107,"EQY_SH_OUT","-"&amp;Settings!$B$4&amp;"AW","-"&amp;Settings!$B$4&amp;"AW","days=a","fill=p"),NA())</f>
        <v/>
      </c>
      <c r="E107" s="23">
        <f>IFERROR((C107-D107)/D107,NA())</f>
        <v/>
      </c>
      <c r="F107" s="16">
        <f>IF(ISNUMBER(E107),IF(E107&lt;=Settings!$B$6,"BUYBACK ACTIVITY",""),"")</f>
        <v/>
      </c>
      <c r="G107" s="22">
        <f>IFERROR(_xll.BDP(A107,"VOLUME_AVG_30D"),NA())</f>
        <v/>
      </c>
      <c r="H107" s="22">
        <f>IFERROR(_xll.BDP(A107,"PX_VOLUME"),NA())</f>
        <v/>
      </c>
      <c r="I107" s="16">
        <f>IFERROR(H107/G107,NA())</f>
        <v/>
      </c>
      <c r="J107" s="16">
        <f>IF(ISNUMBER(I107),IF(I107&gt;=Settings!$B$7,"VOL SPIKE",""),"")</f>
        <v/>
      </c>
    </row>
    <row r="108">
      <c r="A108" s="16">
        <f>'Rest Universe'!A109</f>
        <v/>
      </c>
      <c r="B108" s="22">
        <f>IFERROR(_xll.BDP(A108,"NAME"),"")</f>
        <v/>
      </c>
      <c r="C108" s="22">
        <f>IFERROR(_xll.BDP(A108,"EQY_SH_OUT"),NA())</f>
        <v/>
      </c>
      <c r="D108" s="22">
        <f>IFERROR(_xll.BDH(A108,"EQY_SH_OUT","-"&amp;Settings!$B$4&amp;"AW","-"&amp;Settings!$B$4&amp;"AW","days=a","fill=p"),NA())</f>
        <v/>
      </c>
      <c r="E108" s="23">
        <f>IFERROR((C108-D108)/D108,NA())</f>
        <v/>
      </c>
      <c r="F108" s="16">
        <f>IF(ISNUMBER(E108),IF(E108&lt;=Settings!$B$6,"BUYBACK ACTIVITY",""),"")</f>
        <v/>
      </c>
      <c r="G108" s="22">
        <f>IFERROR(_xll.BDP(A108,"VOLUME_AVG_30D"),NA())</f>
        <v/>
      </c>
      <c r="H108" s="22">
        <f>IFERROR(_xll.BDP(A108,"PX_VOLUME"),NA())</f>
        <v/>
      </c>
      <c r="I108" s="16">
        <f>IFERROR(H108/G108,NA())</f>
        <v/>
      </c>
      <c r="J108" s="16">
        <f>IF(ISNUMBER(I108),IF(I108&gt;=Settings!$B$7,"VOL SPIKE",""),"")</f>
        <v/>
      </c>
    </row>
    <row r="109">
      <c r="A109" s="16">
        <f>'Rest Universe'!A110</f>
        <v/>
      </c>
      <c r="B109" s="22">
        <f>IFERROR(_xll.BDP(A109,"NAME"),"")</f>
        <v/>
      </c>
      <c r="C109" s="22">
        <f>IFERROR(_xll.BDP(A109,"EQY_SH_OUT"),NA())</f>
        <v/>
      </c>
      <c r="D109" s="22">
        <f>IFERROR(_xll.BDH(A109,"EQY_SH_OUT","-"&amp;Settings!$B$4&amp;"AW","-"&amp;Settings!$B$4&amp;"AW","days=a","fill=p"),NA())</f>
        <v/>
      </c>
      <c r="E109" s="23">
        <f>IFERROR((C109-D109)/D109,NA())</f>
        <v/>
      </c>
      <c r="F109" s="16">
        <f>IF(ISNUMBER(E109),IF(E109&lt;=Settings!$B$6,"BUYBACK ACTIVITY",""),"")</f>
        <v/>
      </c>
      <c r="G109" s="22">
        <f>IFERROR(_xll.BDP(A109,"VOLUME_AVG_30D"),NA())</f>
        <v/>
      </c>
      <c r="H109" s="22">
        <f>IFERROR(_xll.BDP(A109,"PX_VOLUME"),NA())</f>
        <v/>
      </c>
      <c r="I109" s="16">
        <f>IFERROR(H109/G109,NA())</f>
        <v/>
      </c>
      <c r="J109" s="16">
        <f>IF(ISNUMBER(I109),IF(I109&gt;=Settings!$B$7,"VOL SPIKE",""),"")</f>
        <v/>
      </c>
    </row>
    <row r="110">
      <c r="A110" s="16">
        <f>'Rest Universe'!A111</f>
        <v/>
      </c>
      <c r="B110" s="22">
        <f>IFERROR(_xll.BDP(A110,"NAME"),"")</f>
        <v/>
      </c>
      <c r="C110" s="22">
        <f>IFERROR(_xll.BDP(A110,"EQY_SH_OUT"),NA())</f>
        <v/>
      </c>
      <c r="D110" s="22">
        <f>IFERROR(_xll.BDH(A110,"EQY_SH_OUT","-"&amp;Settings!$B$4&amp;"AW","-"&amp;Settings!$B$4&amp;"AW","days=a","fill=p"),NA())</f>
        <v/>
      </c>
      <c r="E110" s="23">
        <f>IFERROR((C110-D110)/D110,NA())</f>
        <v/>
      </c>
      <c r="F110" s="16">
        <f>IF(ISNUMBER(E110),IF(E110&lt;=Settings!$B$6,"BUYBACK ACTIVITY",""),"")</f>
        <v/>
      </c>
      <c r="G110" s="22">
        <f>IFERROR(_xll.BDP(A110,"VOLUME_AVG_30D"),NA())</f>
        <v/>
      </c>
      <c r="H110" s="22">
        <f>IFERROR(_xll.BDP(A110,"PX_VOLUME"),NA())</f>
        <v/>
      </c>
      <c r="I110" s="16">
        <f>IFERROR(H110/G110,NA())</f>
        <v/>
      </c>
      <c r="J110" s="16">
        <f>IF(ISNUMBER(I110),IF(I110&gt;=Settings!$B$7,"VOL SPIKE",""),"")</f>
        <v/>
      </c>
    </row>
    <row r="111">
      <c r="A111" s="16">
        <f>'Rest Universe'!A112</f>
        <v/>
      </c>
      <c r="B111" s="22">
        <f>IFERROR(_xll.BDP(A111,"NAME"),"")</f>
        <v/>
      </c>
      <c r="C111" s="22">
        <f>IFERROR(_xll.BDP(A111,"EQY_SH_OUT"),NA())</f>
        <v/>
      </c>
      <c r="D111" s="22">
        <f>IFERROR(_xll.BDH(A111,"EQY_SH_OUT","-"&amp;Settings!$B$4&amp;"AW","-"&amp;Settings!$B$4&amp;"AW","days=a","fill=p"),NA())</f>
        <v/>
      </c>
      <c r="E111" s="23">
        <f>IFERROR((C111-D111)/D111,NA())</f>
        <v/>
      </c>
      <c r="F111" s="16">
        <f>IF(ISNUMBER(E111),IF(E111&lt;=Settings!$B$6,"BUYBACK ACTIVITY",""),"")</f>
        <v/>
      </c>
      <c r="G111" s="22">
        <f>IFERROR(_xll.BDP(A111,"VOLUME_AVG_30D"),NA())</f>
        <v/>
      </c>
      <c r="H111" s="22">
        <f>IFERROR(_xll.BDP(A111,"PX_VOLUME"),NA())</f>
        <v/>
      </c>
      <c r="I111" s="16">
        <f>IFERROR(H111/G111,NA())</f>
        <v/>
      </c>
      <c r="J111" s="16">
        <f>IF(ISNUMBER(I111),IF(I111&gt;=Settings!$B$7,"VOL SPIKE",""),"")</f>
        <v/>
      </c>
    </row>
    <row r="112">
      <c r="A112" s="16">
        <f>'Rest Universe'!A113</f>
        <v/>
      </c>
      <c r="B112" s="22">
        <f>IFERROR(_xll.BDP(A112,"NAME"),"")</f>
        <v/>
      </c>
      <c r="C112" s="22">
        <f>IFERROR(_xll.BDP(A112,"EQY_SH_OUT"),NA())</f>
        <v/>
      </c>
      <c r="D112" s="22">
        <f>IFERROR(_xll.BDH(A112,"EQY_SH_OUT","-"&amp;Settings!$B$4&amp;"AW","-"&amp;Settings!$B$4&amp;"AW","days=a","fill=p"),NA())</f>
        <v/>
      </c>
      <c r="E112" s="23">
        <f>IFERROR((C112-D112)/D112,NA())</f>
        <v/>
      </c>
      <c r="F112" s="16">
        <f>IF(ISNUMBER(E112),IF(E112&lt;=Settings!$B$6,"BUYBACK ACTIVITY",""),"")</f>
        <v/>
      </c>
      <c r="G112" s="22">
        <f>IFERROR(_xll.BDP(A112,"VOLUME_AVG_30D"),NA())</f>
        <v/>
      </c>
      <c r="H112" s="22">
        <f>IFERROR(_xll.BDP(A112,"PX_VOLUME"),NA())</f>
        <v/>
      </c>
      <c r="I112" s="16">
        <f>IFERROR(H112/G112,NA())</f>
        <v/>
      </c>
      <c r="J112" s="16">
        <f>IF(ISNUMBER(I112),IF(I112&gt;=Settings!$B$7,"VOL SPIKE",""),"")</f>
        <v/>
      </c>
    </row>
    <row r="113">
      <c r="A113" s="16">
        <f>'Rest Universe'!A114</f>
        <v/>
      </c>
      <c r="B113" s="22">
        <f>IFERROR(_xll.BDP(A113,"NAME"),"")</f>
        <v/>
      </c>
      <c r="C113" s="22">
        <f>IFERROR(_xll.BDP(A113,"EQY_SH_OUT"),NA())</f>
        <v/>
      </c>
      <c r="D113" s="22">
        <f>IFERROR(_xll.BDH(A113,"EQY_SH_OUT","-"&amp;Settings!$B$4&amp;"AW","-"&amp;Settings!$B$4&amp;"AW","days=a","fill=p"),NA())</f>
        <v/>
      </c>
      <c r="E113" s="23">
        <f>IFERROR((C113-D113)/D113,NA())</f>
        <v/>
      </c>
      <c r="F113" s="16">
        <f>IF(ISNUMBER(E113),IF(E113&lt;=Settings!$B$6,"BUYBACK ACTIVITY",""),"")</f>
        <v/>
      </c>
      <c r="G113" s="22">
        <f>IFERROR(_xll.BDP(A113,"VOLUME_AVG_30D"),NA())</f>
        <v/>
      </c>
      <c r="H113" s="22">
        <f>IFERROR(_xll.BDP(A113,"PX_VOLUME"),NA())</f>
        <v/>
      </c>
      <c r="I113" s="16">
        <f>IFERROR(H113/G113,NA())</f>
        <v/>
      </c>
      <c r="J113" s="16">
        <f>IF(ISNUMBER(I113),IF(I113&gt;=Settings!$B$7,"VOL SPIKE",""),"")</f>
        <v/>
      </c>
    </row>
    <row r="114">
      <c r="A114" s="16">
        <f>'Rest Universe'!A115</f>
        <v/>
      </c>
      <c r="B114" s="22">
        <f>IFERROR(_xll.BDP(A114,"NAME"),"")</f>
        <v/>
      </c>
      <c r="C114" s="22">
        <f>IFERROR(_xll.BDP(A114,"EQY_SH_OUT"),NA())</f>
        <v/>
      </c>
      <c r="D114" s="22">
        <f>IFERROR(_xll.BDH(A114,"EQY_SH_OUT","-"&amp;Settings!$B$4&amp;"AW","-"&amp;Settings!$B$4&amp;"AW","days=a","fill=p"),NA())</f>
        <v/>
      </c>
      <c r="E114" s="23">
        <f>IFERROR((C114-D114)/D114,NA())</f>
        <v/>
      </c>
      <c r="F114" s="16">
        <f>IF(ISNUMBER(E114),IF(E114&lt;=Settings!$B$6,"BUYBACK ACTIVITY",""),"")</f>
        <v/>
      </c>
      <c r="G114" s="22">
        <f>IFERROR(_xll.BDP(A114,"VOLUME_AVG_30D"),NA())</f>
        <v/>
      </c>
      <c r="H114" s="22">
        <f>IFERROR(_xll.BDP(A114,"PX_VOLUME"),NA())</f>
        <v/>
      </c>
      <c r="I114" s="16">
        <f>IFERROR(H114/G114,NA())</f>
        <v/>
      </c>
      <c r="J114" s="16">
        <f>IF(ISNUMBER(I114),IF(I114&gt;=Settings!$B$7,"VOL SPIKE",""),"")</f>
        <v/>
      </c>
    </row>
    <row r="115">
      <c r="A115" s="16">
        <f>'Rest Universe'!A116</f>
        <v/>
      </c>
      <c r="B115" s="22">
        <f>IFERROR(_xll.BDP(A115,"NAME"),"")</f>
        <v/>
      </c>
      <c r="C115" s="22">
        <f>IFERROR(_xll.BDP(A115,"EQY_SH_OUT"),NA())</f>
        <v/>
      </c>
      <c r="D115" s="22">
        <f>IFERROR(_xll.BDH(A115,"EQY_SH_OUT","-"&amp;Settings!$B$4&amp;"AW","-"&amp;Settings!$B$4&amp;"AW","days=a","fill=p"),NA())</f>
        <v/>
      </c>
      <c r="E115" s="23">
        <f>IFERROR((C115-D115)/D115,NA())</f>
        <v/>
      </c>
      <c r="F115" s="16">
        <f>IF(ISNUMBER(E115),IF(E115&lt;=Settings!$B$6,"BUYBACK ACTIVITY",""),"")</f>
        <v/>
      </c>
      <c r="G115" s="22">
        <f>IFERROR(_xll.BDP(A115,"VOLUME_AVG_30D"),NA())</f>
        <v/>
      </c>
      <c r="H115" s="22">
        <f>IFERROR(_xll.BDP(A115,"PX_VOLUME"),NA())</f>
        <v/>
      </c>
      <c r="I115" s="16">
        <f>IFERROR(H115/G115,NA())</f>
        <v/>
      </c>
      <c r="J115" s="16">
        <f>IF(ISNUMBER(I115),IF(I115&gt;=Settings!$B$7,"VOL SPIKE",""),"")</f>
        <v/>
      </c>
    </row>
    <row r="116">
      <c r="A116" s="16">
        <f>'Rest Universe'!A117</f>
        <v/>
      </c>
      <c r="B116" s="22">
        <f>IFERROR(_xll.BDP(A116,"NAME"),"")</f>
        <v/>
      </c>
      <c r="C116" s="22">
        <f>IFERROR(_xll.BDP(A116,"EQY_SH_OUT"),NA())</f>
        <v/>
      </c>
      <c r="D116" s="22">
        <f>IFERROR(_xll.BDH(A116,"EQY_SH_OUT","-"&amp;Settings!$B$4&amp;"AW","-"&amp;Settings!$B$4&amp;"AW","days=a","fill=p"),NA())</f>
        <v/>
      </c>
      <c r="E116" s="23">
        <f>IFERROR((C116-D116)/D116,NA())</f>
        <v/>
      </c>
      <c r="F116" s="16">
        <f>IF(ISNUMBER(E116),IF(E116&lt;=Settings!$B$6,"BUYBACK ACTIVITY",""),"")</f>
        <v/>
      </c>
      <c r="G116" s="22">
        <f>IFERROR(_xll.BDP(A116,"VOLUME_AVG_30D"),NA())</f>
        <v/>
      </c>
      <c r="H116" s="22">
        <f>IFERROR(_xll.BDP(A116,"PX_VOLUME"),NA())</f>
        <v/>
      </c>
      <c r="I116" s="16">
        <f>IFERROR(H116/G116,NA())</f>
        <v/>
      </c>
      <c r="J116" s="16">
        <f>IF(ISNUMBER(I116),IF(I116&gt;=Settings!$B$7,"VOL SPIKE",""),"")</f>
        <v/>
      </c>
    </row>
    <row r="117">
      <c r="A117" s="16">
        <f>'Rest Universe'!A118</f>
        <v/>
      </c>
      <c r="B117" s="22">
        <f>IFERROR(_xll.BDP(A117,"NAME"),"")</f>
        <v/>
      </c>
      <c r="C117" s="22">
        <f>IFERROR(_xll.BDP(A117,"EQY_SH_OUT"),NA())</f>
        <v/>
      </c>
      <c r="D117" s="22">
        <f>IFERROR(_xll.BDH(A117,"EQY_SH_OUT","-"&amp;Settings!$B$4&amp;"AW","-"&amp;Settings!$B$4&amp;"AW","days=a","fill=p"),NA())</f>
        <v/>
      </c>
      <c r="E117" s="23">
        <f>IFERROR((C117-D117)/D117,NA())</f>
        <v/>
      </c>
      <c r="F117" s="16">
        <f>IF(ISNUMBER(E117),IF(E117&lt;=Settings!$B$6,"BUYBACK ACTIVITY",""),"")</f>
        <v/>
      </c>
      <c r="G117" s="22">
        <f>IFERROR(_xll.BDP(A117,"VOLUME_AVG_30D"),NA())</f>
        <v/>
      </c>
      <c r="H117" s="22">
        <f>IFERROR(_xll.BDP(A117,"PX_VOLUME"),NA())</f>
        <v/>
      </c>
      <c r="I117" s="16">
        <f>IFERROR(H117/G117,NA())</f>
        <v/>
      </c>
      <c r="J117" s="16">
        <f>IF(ISNUMBER(I117),IF(I117&gt;=Settings!$B$7,"VOL SPIKE",""),"")</f>
        <v/>
      </c>
    </row>
    <row r="118">
      <c r="A118" s="16">
        <f>'Rest Universe'!A119</f>
        <v/>
      </c>
      <c r="B118" s="22">
        <f>IFERROR(_xll.BDP(A118,"NAME"),"")</f>
        <v/>
      </c>
      <c r="C118" s="22">
        <f>IFERROR(_xll.BDP(A118,"EQY_SH_OUT"),NA())</f>
        <v/>
      </c>
      <c r="D118" s="22">
        <f>IFERROR(_xll.BDH(A118,"EQY_SH_OUT","-"&amp;Settings!$B$4&amp;"AW","-"&amp;Settings!$B$4&amp;"AW","days=a","fill=p"),NA())</f>
        <v/>
      </c>
      <c r="E118" s="23">
        <f>IFERROR((C118-D118)/D118,NA())</f>
        <v/>
      </c>
      <c r="F118" s="16">
        <f>IF(ISNUMBER(E118),IF(E118&lt;=Settings!$B$6,"BUYBACK ACTIVITY",""),"")</f>
        <v/>
      </c>
      <c r="G118" s="22">
        <f>IFERROR(_xll.BDP(A118,"VOLUME_AVG_30D"),NA())</f>
        <v/>
      </c>
      <c r="H118" s="22">
        <f>IFERROR(_xll.BDP(A118,"PX_VOLUME"),NA())</f>
        <v/>
      </c>
      <c r="I118" s="16">
        <f>IFERROR(H118/G118,NA())</f>
        <v/>
      </c>
      <c r="J118" s="16">
        <f>IF(ISNUMBER(I118),IF(I118&gt;=Settings!$B$7,"VOL SPIKE",""),"")</f>
        <v/>
      </c>
    </row>
    <row r="119">
      <c r="A119" s="16">
        <f>'Rest Universe'!A120</f>
        <v/>
      </c>
      <c r="B119" s="22">
        <f>IFERROR(_xll.BDP(A119,"NAME"),"")</f>
        <v/>
      </c>
      <c r="C119" s="22">
        <f>IFERROR(_xll.BDP(A119,"EQY_SH_OUT"),NA())</f>
        <v/>
      </c>
      <c r="D119" s="22">
        <f>IFERROR(_xll.BDH(A119,"EQY_SH_OUT","-"&amp;Settings!$B$4&amp;"AW","-"&amp;Settings!$B$4&amp;"AW","days=a","fill=p"),NA())</f>
        <v/>
      </c>
      <c r="E119" s="23">
        <f>IFERROR((C119-D119)/D119,NA())</f>
        <v/>
      </c>
      <c r="F119" s="16">
        <f>IF(ISNUMBER(E119),IF(E119&lt;=Settings!$B$6,"BUYBACK ACTIVITY",""),"")</f>
        <v/>
      </c>
      <c r="G119" s="22">
        <f>IFERROR(_xll.BDP(A119,"VOLUME_AVG_30D"),NA())</f>
        <v/>
      </c>
      <c r="H119" s="22">
        <f>IFERROR(_xll.BDP(A119,"PX_VOLUME"),NA())</f>
        <v/>
      </c>
      <c r="I119" s="16">
        <f>IFERROR(H119/G119,NA())</f>
        <v/>
      </c>
      <c r="J119" s="16">
        <f>IF(ISNUMBER(I119),IF(I119&gt;=Settings!$B$7,"VOL SPIKE",""),"")</f>
        <v/>
      </c>
    </row>
    <row r="120">
      <c r="A120" s="16">
        <f>'Rest Universe'!A121</f>
        <v/>
      </c>
      <c r="B120" s="22">
        <f>IFERROR(_xll.BDP(A120,"NAME"),"")</f>
        <v/>
      </c>
      <c r="C120" s="22">
        <f>IFERROR(_xll.BDP(A120,"EQY_SH_OUT"),NA())</f>
        <v/>
      </c>
      <c r="D120" s="22">
        <f>IFERROR(_xll.BDH(A120,"EQY_SH_OUT","-"&amp;Settings!$B$4&amp;"AW","-"&amp;Settings!$B$4&amp;"AW","days=a","fill=p"),NA())</f>
        <v/>
      </c>
      <c r="E120" s="23">
        <f>IFERROR((C120-D120)/D120,NA())</f>
        <v/>
      </c>
      <c r="F120" s="16">
        <f>IF(ISNUMBER(E120),IF(E120&lt;=Settings!$B$6,"BUYBACK ACTIVITY",""),"")</f>
        <v/>
      </c>
      <c r="G120" s="22">
        <f>IFERROR(_xll.BDP(A120,"VOLUME_AVG_30D"),NA())</f>
        <v/>
      </c>
      <c r="H120" s="22">
        <f>IFERROR(_xll.BDP(A120,"PX_VOLUME"),NA())</f>
        <v/>
      </c>
      <c r="I120" s="16">
        <f>IFERROR(H120/G120,NA())</f>
        <v/>
      </c>
      <c r="J120" s="16">
        <f>IF(ISNUMBER(I120),IF(I120&gt;=Settings!$B$7,"VOL SPIKE",""),"")</f>
        <v/>
      </c>
    </row>
    <row r="121">
      <c r="A121" s="16">
        <f>'Rest Universe'!A122</f>
        <v/>
      </c>
      <c r="B121" s="22">
        <f>IFERROR(_xll.BDP(A121,"NAME"),"")</f>
        <v/>
      </c>
      <c r="C121" s="22">
        <f>IFERROR(_xll.BDP(A121,"EQY_SH_OUT"),NA())</f>
        <v/>
      </c>
      <c r="D121" s="22">
        <f>IFERROR(_xll.BDH(A121,"EQY_SH_OUT","-"&amp;Settings!$B$4&amp;"AW","-"&amp;Settings!$B$4&amp;"AW","days=a","fill=p"),NA())</f>
        <v/>
      </c>
      <c r="E121" s="23">
        <f>IFERROR((C121-D121)/D121,NA())</f>
        <v/>
      </c>
      <c r="F121" s="16">
        <f>IF(ISNUMBER(E121),IF(E121&lt;=Settings!$B$6,"BUYBACK ACTIVITY",""),"")</f>
        <v/>
      </c>
      <c r="G121" s="22">
        <f>IFERROR(_xll.BDP(A121,"VOLUME_AVG_30D"),NA())</f>
        <v/>
      </c>
      <c r="H121" s="22">
        <f>IFERROR(_xll.BDP(A121,"PX_VOLUME"),NA())</f>
        <v/>
      </c>
      <c r="I121" s="16">
        <f>IFERROR(H121/G121,NA())</f>
        <v/>
      </c>
      <c r="J121" s="16">
        <f>IF(ISNUMBER(I121),IF(I121&gt;=Settings!$B$7,"VOL SPIKE",""),"")</f>
        <v/>
      </c>
    </row>
    <row r="122">
      <c r="A122" s="16">
        <f>'Rest Universe'!A123</f>
        <v/>
      </c>
      <c r="B122" s="22">
        <f>IFERROR(_xll.BDP(A122,"NAME"),"")</f>
        <v/>
      </c>
      <c r="C122" s="22">
        <f>IFERROR(_xll.BDP(A122,"EQY_SH_OUT"),NA())</f>
        <v/>
      </c>
      <c r="D122" s="22">
        <f>IFERROR(_xll.BDH(A122,"EQY_SH_OUT","-"&amp;Settings!$B$4&amp;"AW","-"&amp;Settings!$B$4&amp;"AW","days=a","fill=p"),NA())</f>
        <v/>
      </c>
      <c r="E122" s="23">
        <f>IFERROR((C122-D122)/D122,NA())</f>
        <v/>
      </c>
      <c r="F122" s="16">
        <f>IF(ISNUMBER(E122),IF(E122&lt;=Settings!$B$6,"BUYBACK ACTIVITY",""),"")</f>
        <v/>
      </c>
      <c r="G122" s="22">
        <f>IFERROR(_xll.BDP(A122,"VOLUME_AVG_30D"),NA())</f>
        <v/>
      </c>
      <c r="H122" s="22">
        <f>IFERROR(_xll.BDP(A122,"PX_VOLUME"),NA())</f>
        <v/>
      </c>
      <c r="I122" s="16">
        <f>IFERROR(H122/G122,NA())</f>
        <v/>
      </c>
      <c r="J122" s="16">
        <f>IF(ISNUMBER(I122),IF(I122&gt;=Settings!$B$7,"VOL SPIKE",""),"")</f>
        <v/>
      </c>
    </row>
    <row r="123">
      <c r="A123" s="16">
        <f>'Rest Universe'!A124</f>
        <v/>
      </c>
      <c r="B123" s="22">
        <f>IFERROR(_xll.BDP(A123,"NAME"),"")</f>
        <v/>
      </c>
      <c r="C123" s="22">
        <f>IFERROR(_xll.BDP(A123,"EQY_SH_OUT"),NA())</f>
        <v/>
      </c>
      <c r="D123" s="22">
        <f>IFERROR(_xll.BDH(A123,"EQY_SH_OUT","-"&amp;Settings!$B$4&amp;"AW","-"&amp;Settings!$B$4&amp;"AW","days=a","fill=p"),NA())</f>
        <v/>
      </c>
      <c r="E123" s="23">
        <f>IFERROR((C123-D123)/D123,NA())</f>
        <v/>
      </c>
      <c r="F123" s="16">
        <f>IF(ISNUMBER(E123),IF(E123&lt;=Settings!$B$6,"BUYBACK ACTIVITY",""),"")</f>
        <v/>
      </c>
      <c r="G123" s="22">
        <f>IFERROR(_xll.BDP(A123,"VOLUME_AVG_30D"),NA())</f>
        <v/>
      </c>
      <c r="H123" s="22">
        <f>IFERROR(_xll.BDP(A123,"PX_VOLUME"),NA())</f>
        <v/>
      </c>
      <c r="I123" s="16">
        <f>IFERROR(H123/G123,NA())</f>
        <v/>
      </c>
      <c r="J123" s="16">
        <f>IF(ISNUMBER(I123),IF(I123&gt;=Settings!$B$7,"VOL SPIKE",""),"")</f>
        <v/>
      </c>
    </row>
    <row r="124">
      <c r="A124" s="16">
        <f>'Rest Universe'!A125</f>
        <v/>
      </c>
      <c r="B124" s="22">
        <f>IFERROR(_xll.BDP(A124,"NAME"),"")</f>
        <v/>
      </c>
      <c r="C124" s="22">
        <f>IFERROR(_xll.BDP(A124,"EQY_SH_OUT"),NA())</f>
        <v/>
      </c>
      <c r="D124" s="22">
        <f>IFERROR(_xll.BDH(A124,"EQY_SH_OUT","-"&amp;Settings!$B$4&amp;"AW","-"&amp;Settings!$B$4&amp;"AW","days=a","fill=p"),NA())</f>
        <v/>
      </c>
      <c r="E124" s="23">
        <f>IFERROR((C124-D124)/D124,NA())</f>
        <v/>
      </c>
      <c r="F124" s="16">
        <f>IF(ISNUMBER(E124),IF(E124&lt;=Settings!$B$6,"BUYBACK ACTIVITY",""),"")</f>
        <v/>
      </c>
      <c r="G124" s="22">
        <f>IFERROR(_xll.BDP(A124,"VOLUME_AVG_30D"),NA())</f>
        <v/>
      </c>
      <c r="H124" s="22">
        <f>IFERROR(_xll.BDP(A124,"PX_VOLUME"),NA())</f>
        <v/>
      </c>
      <c r="I124" s="16">
        <f>IFERROR(H124/G124,NA())</f>
        <v/>
      </c>
      <c r="J124" s="16">
        <f>IF(ISNUMBER(I124),IF(I124&gt;=Settings!$B$7,"VOL SPIKE",""),"")</f>
        <v/>
      </c>
    </row>
    <row r="125">
      <c r="A125" s="16">
        <f>'Rest Universe'!A126</f>
        <v/>
      </c>
      <c r="B125" s="22">
        <f>IFERROR(_xll.BDP(A125,"NAME"),"")</f>
        <v/>
      </c>
      <c r="C125" s="22">
        <f>IFERROR(_xll.BDP(A125,"EQY_SH_OUT"),NA())</f>
        <v/>
      </c>
      <c r="D125" s="22">
        <f>IFERROR(_xll.BDH(A125,"EQY_SH_OUT","-"&amp;Settings!$B$4&amp;"AW","-"&amp;Settings!$B$4&amp;"AW","days=a","fill=p"),NA())</f>
        <v/>
      </c>
      <c r="E125" s="23">
        <f>IFERROR((C125-D125)/D125,NA())</f>
        <v/>
      </c>
      <c r="F125" s="16">
        <f>IF(ISNUMBER(E125),IF(E125&lt;=Settings!$B$6,"BUYBACK ACTIVITY",""),"")</f>
        <v/>
      </c>
      <c r="G125" s="22">
        <f>IFERROR(_xll.BDP(A125,"VOLUME_AVG_30D"),NA())</f>
        <v/>
      </c>
      <c r="H125" s="22">
        <f>IFERROR(_xll.BDP(A125,"PX_VOLUME"),NA())</f>
        <v/>
      </c>
      <c r="I125" s="16">
        <f>IFERROR(H125/G125,NA())</f>
        <v/>
      </c>
      <c r="J125" s="16">
        <f>IF(ISNUMBER(I125),IF(I125&gt;=Settings!$B$7,"VOL SPIKE",""),"")</f>
        <v/>
      </c>
    </row>
    <row r="126">
      <c r="A126" s="16">
        <f>'Rest Universe'!A127</f>
        <v/>
      </c>
      <c r="B126" s="22">
        <f>IFERROR(_xll.BDP(A126,"NAME"),"")</f>
        <v/>
      </c>
      <c r="C126" s="22">
        <f>IFERROR(_xll.BDP(A126,"EQY_SH_OUT"),NA())</f>
        <v/>
      </c>
      <c r="D126" s="22">
        <f>IFERROR(_xll.BDH(A126,"EQY_SH_OUT","-"&amp;Settings!$B$4&amp;"AW","-"&amp;Settings!$B$4&amp;"AW","days=a","fill=p"),NA())</f>
        <v/>
      </c>
      <c r="E126" s="23">
        <f>IFERROR((C126-D126)/D126,NA())</f>
        <v/>
      </c>
      <c r="F126" s="16">
        <f>IF(ISNUMBER(E126),IF(E126&lt;=Settings!$B$6,"BUYBACK ACTIVITY",""),"")</f>
        <v/>
      </c>
      <c r="G126" s="22">
        <f>IFERROR(_xll.BDP(A126,"VOLUME_AVG_30D"),NA())</f>
        <v/>
      </c>
      <c r="H126" s="22">
        <f>IFERROR(_xll.BDP(A126,"PX_VOLUME"),NA())</f>
        <v/>
      </c>
      <c r="I126" s="16">
        <f>IFERROR(H126/G126,NA())</f>
        <v/>
      </c>
      <c r="J126" s="16">
        <f>IF(ISNUMBER(I126),IF(I126&gt;=Settings!$B$7,"VOL SPIKE",""),"")</f>
        <v/>
      </c>
    </row>
    <row r="127">
      <c r="A127" s="16">
        <f>'Rest Universe'!A128</f>
        <v/>
      </c>
      <c r="B127" s="22">
        <f>IFERROR(_xll.BDP(A127,"NAME"),"")</f>
        <v/>
      </c>
      <c r="C127" s="22">
        <f>IFERROR(_xll.BDP(A127,"EQY_SH_OUT"),NA())</f>
        <v/>
      </c>
      <c r="D127" s="22">
        <f>IFERROR(_xll.BDH(A127,"EQY_SH_OUT","-"&amp;Settings!$B$4&amp;"AW","-"&amp;Settings!$B$4&amp;"AW","days=a","fill=p"),NA())</f>
        <v/>
      </c>
      <c r="E127" s="23">
        <f>IFERROR((C127-D127)/D127,NA())</f>
        <v/>
      </c>
      <c r="F127" s="16">
        <f>IF(ISNUMBER(E127),IF(E127&lt;=Settings!$B$6,"BUYBACK ACTIVITY",""),"")</f>
        <v/>
      </c>
      <c r="G127" s="22">
        <f>IFERROR(_xll.BDP(A127,"VOLUME_AVG_30D"),NA())</f>
        <v/>
      </c>
      <c r="H127" s="22">
        <f>IFERROR(_xll.BDP(A127,"PX_VOLUME"),NA())</f>
        <v/>
      </c>
      <c r="I127" s="16">
        <f>IFERROR(H127/G127,NA())</f>
        <v/>
      </c>
      <c r="J127" s="16">
        <f>IF(ISNUMBER(I127),IF(I127&gt;=Settings!$B$7,"VOL SPIKE",""),"")</f>
        <v/>
      </c>
    </row>
    <row r="128">
      <c r="A128" s="16">
        <f>'Rest Universe'!A129</f>
        <v/>
      </c>
      <c r="B128" s="22">
        <f>IFERROR(_xll.BDP(A128,"NAME"),"")</f>
        <v/>
      </c>
      <c r="C128" s="22">
        <f>IFERROR(_xll.BDP(A128,"EQY_SH_OUT"),NA())</f>
        <v/>
      </c>
      <c r="D128" s="22">
        <f>IFERROR(_xll.BDH(A128,"EQY_SH_OUT","-"&amp;Settings!$B$4&amp;"AW","-"&amp;Settings!$B$4&amp;"AW","days=a","fill=p"),NA())</f>
        <v/>
      </c>
      <c r="E128" s="23">
        <f>IFERROR((C128-D128)/D128,NA())</f>
        <v/>
      </c>
      <c r="F128" s="16">
        <f>IF(ISNUMBER(E128),IF(E128&lt;=Settings!$B$6,"BUYBACK ACTIVITY",""),"")</f>
        <v/>
      </c>
      <c r="G128" s="22">
        <f>IFERROR(_xll.BDP(A128,"VOLUME_AVG_30D"),NA())</f>
        <v/>
      </c>
      <c r="H128" s="22">
        <f>IFERROR(_xll.BDP(A128,"PX_VOLUME"),NA())</f>
        <v/>
      </c>
      <c r="I128" s="16">
        <f>IFERROR(H128/G128,NA())</f>
        <v/>
      </c>
      <c r="J128" s="16">
        <f>IF(ISNUMBER(I128),IF(I128&gt;=Settings!$B$7,"VOL SPIKE",""),"")</f>
        <v/>
      </c>
    </row>
    <row r="129">
      <c r="A129" s="16">
        <f>'Rest Universe'!A130</f>
        <v/>
      </c>
      <c r="B129" s="22">
        <f>IFERROR(_xll.BDP(A129,"NAME"),"")</f>
        <v/>
      </c>
      <c r="C129" s="22">
        <f>IFERROR(_xll.BDP(A129,"EQY_SH_OUT"),NA())</f>
        <v/>
      </c>
      <c r="D129" s="22">
        <f>IFERROR(_xll.BDH(A129,"EQY_SH_OUT","-"&amp;Settings!$B$4&amp;"AW","-"&amp;Settings!$B$4&amp;"AW","days=a","fill=p"),NA())</f>
        <v/>
      </c>
      <c r="E129" s="23">
        <f>IFERROR((C129-D129)/D129,NA())</f>
        <v/>
      </c>
      <c r="F129" s="16">
        <f>IF(ISNUMBER(E129),IF(E129&lt;=Settings!$B$6,"BUYBACK ACTIVITY",""),"")</f>
        <v/>
      </c>
      <c r="G129" s="22">
        <f>IFERROR(_xll.BDP(A129,"VOLUME_AVG_30D"),NA())</f>
        <v/>
      </c>
      <c r="H129" s="22">
        <f>IFERROR(_xll.BDP(A129,"PX_VOLUME"),NA())</f>
        <v/>
      </c>
      <c r="I129" s="16">
        <f>IFERROR(H129/G129,NA())</f>
        <v/>
      </c>
      <c r="J129" s="16">
        <f>IF(ISNUMBER(I129),IF(I129&gt;=Settings!$B$7,"VOL SPIKE",""),"")</f>
        <v/>
      </c>
    </row>
    <row r="130">
      <c r="A130" s="16">
        <f>'Rest Universe'!A131</f>
        <v/>
      </c>
      <c r="B130" s="22">
        <f>IFERROR(_xll.BDP(A130,"NAME"),"")</f>
        <v/>
      </c>
      <c r="C130" s="22">
        <f>IFERROR(_xll.BDP(A130,"EQY_SH_OUT"),NA())</f>
        <v/>
      </c>
      <c r="D130" s="22">
        <f>IFERROR(_xll.BDH(A130,"EQY_SH_OUT","-"&amp;Settings!$B$4&amp;"AW","-"&amp;Settings!$B$4&amp;"AW","days=a","fill=p"),NA())</f>
        <v/>
      </c>
      <c r="E130" s="23">
        <f>IFERROR((C130-D130)/D130,NA())</f>
        <v/>
      </c>
      <c r="F130" s="16">
        <f>IF(ISNUMBER(E130),IF(E130&lt;=Settings!$B$6,"BUYBACK ACTIVITY",""),"")</f>
        <v/>
      </c>
      <c r="G130" s="22">
        <f>IFERROR(_xll.BDP(A130,"VOLUME_AVG_30D"),NA())</f>
        <v/>
      </c>
      <c r="H130" s="22">
        <f>IFERROR(_xll.BDP(A130,"PX_VOLUME"),NA())</f>
        <v/>
      </c>
      <c r="I130" s="16">
        <f>IFERROR(H130/G130,NA())</f>
        <v/>
      </c>
      <c r="J130" s="16">
        <f>IF(ISNUMBER(I130),IF(I130&gt;=Settings!$B$7,"VOL SPIKE",""),"")</f>
        <v/>
      </c>
    </row>
    <row r="131">
      <c r="A131" s="16">
        <f>'Rest Universe'!A132</f>
        <v/>
      </c>
      <c r="B131" s="22">
        <f>IFERROR(_xll.BDP(A131,"NAME"),"")</f>
        <v/>
      </c>
      <c r="C131" s="22">
        <f>IFERROR(_xll.BDP(A131,"EQY_SH_OUT"),NA())</f>
        <v/>
      </c>
      <c r="D131" s="22">
        <f>IFERROR(_xll.BDH(A131,"EQY_SH_OUT","-"&amp;Settings!$B$4&amp;"AW","-"&amp;Settings!$B$4&amp;"AW","days=a","fill=p"),NA())</f>
        <v/>
      </c>
      <c r="E131" s="23">
        <f>IFERROR((C131-D131)/D131,NA())</f>
        <v/>
      </c>
      <c r="F131" s="16">
        <f>IF(ISNUMBER(E131),IF(E131&lt;=Settings!$B$6,"BUYBACK ACTIVITY",""),"")</f>
        <v/>
      </c>
      <c r="G131" s="22">
        <f>IFERROR(_xll.BDP(A131,"VOLUME_AVG_30D"),NA())</f>
        <v/>
      </c>
      <c r="H131" s="22">
        <f>IFERROR(_xll.BDP(A131,"PX_VOLUME"),NA())</f>
        <v/>
      </c>
      <c r="I131" s="16">
        <f>IFERROR(H131/G131,NA())</f>
        <v/>
      </c>
      <c r="J131" s="16">
        <f>IF(ISNUMBER(I131),IF(I131&gt;=Settings!$B$7,"VOL SPIKE",""),"")</f>
        <v/>
      </c>
    </row>
    <row r="132">
      <c r="A132" s="16">
        <f>'Rest Universe'!A133</f>
        <v/>
      </c>
      <c r="B132" s="22">
        <f>IFERROR(_xll.BDP(A132,"NAME"),"")</f>
        <v/>
      </c>
      <c r="C132" s="22">
        <f>IFERROR(_xll.BDP(A132,"EQY_SH_OUT"),NA())</f>
        <v/>
      </c>
      <c r="D132" s="22">
        <f>IFERROR(_xll.BDH(A132,"EQY_SH_OUT","-"&amp;Settings!$B$4&amp;"AW","-"&amp;Settings!$B$4&amp;"AW","days=a","fill=p"),NA())</f>
        <v/>
      </c>
      <c r="E132" s="23">
        <f>IFERROR((C132-D132)/D132,NA())</f>
        <v/>
      </c>
      <c r="F132" s="16">
        <f>IF(ISNUMBER(E132),IF(E132&lt;=Settings!$B$6,"BUYBACK ACTIVITY",""),"")</f>
        <v/>
      </c>
      <c r="G132" s="22">
        <f>IFERROR(_xll.BDP(A132,"VOLUME_AVG_30D"),NA())</f>
        <v/>
      </c>
      <c r="H132" s="22">
        <f>IFERROR(_xll.BDP(A132,"PX_VOLUME"),NA())</f>
        <v/>
      </c>
      <c r="I132" s="16">
        <f>IFERROR(H132/G132,NA())</f>
        <v/>
      </c>
      <c r="J132" s="16">
        <f>IF(ISNUMBER(I132),IF(I132&gt;=Settings!$B$7,"VOL SPIKE",""),"")</f>
        <v/>
      </c>
    </row>
    <row r="133">
      <c r="A133" s="16">
        <f>'Rest Universe'!A134</f>
        <v/>
      </c>
      <c r="B133" s="22">
        <f>IFERROR(_xll.BDP(A133,"NAME"),"")</f>
        <v/>
      </c>
      <c r="C133" s="22">
        <f>IFERROR(_xll.BDP(A133,"EQY_SH_OUT"),NA())</f>
        <v/>
      </c>
      <c r="D133" s="22">
        <f>IFERROR(_xll.BDH(A133,"EQY_SH_OUT","-"&amp;Settings!$B$4&amp;"AW","-"&amp;Settings!$B$4&amp;"AW","days=a","fill=p"),NA())</f>
        <v/>
      </c>
      <c r="E133" s="23">
        <f>IFERROR((C133-D133)/D133,NA())</f>
        <v/>
      </c>
      <c r="F133" s="16">
        <f>IF(ISNUMBER(E133),IF(E133&lt;=Settings!$B$6,"BUYBACK ACTIVITY",""),"")</f>
        <v/>
      </c>
      <c r="G133" s="22">
        <f>IFERROR(_xll.BDP(A133,"VOLUME_AVG_30D"),NA())</f>
        <v/>
      </c>
      <c r="H133" s="22">
        <f>IFERROR(_xll.BDP(A133,"PX_VOLUME"),NA())</f>
        <v/>
      </c>
      <c r="I133" s="16">
        <f>IFERROR(H133/G133,NA())</f>
        <v/>
      </c>
      <c r="J133" s="16">
        <f>IF(ISNUMBER(I133),IF(I133&gt;=Settings!$B$7,"VOL SPIKE",""),"")</f>
        <v/>
      </c>
    </row>
    <row r="134">
      <c r="A134" s="16">
        <f>'Rest Universe'!A135</f>
        <v/>
      </c>
      <c r="B134" s="22">
        <f>IFERROR(_xll.BDP(A134,"NAME"),"")</f>
        <v/>
      </c>
      <c r="C134" s="22">
        <f>IFERROR(_xll.BDP(A134,"EQY_SH_OUT"),NA())</f>
        <v/>
      </c>
      <c r="D134" s="22">
        <f>IFERROR(_xll.BDH(A134,"EQY_SH_OUT","-"&amp;Settings!$B$4&amp;"AW","-"&amp;Settings!$B$4&amp;"AW","days=a","fill=p"),NA())</f>
        <v/>
      </c>
      <c r="E134" s="23">
        <f>IFERROR((C134-D134)/D134,NA())</f>
        <v/>
      </c>
      <c r="F134" s="16">
        <f>IF(ISNUMBER(E134),IF(E134&lt;=Settings!$B$6,"BUYBACK ACTIVITY",""),"")</f>
        <v/>
      </c>
      <c r="G134" s="22">
        <f>IFERROR(_xll.BDP(A134,"VOLUME_AVG_30D"),NA())</f>
        <v/>
      </c>
      <c r="H134" s="22">
        <f>IFERROR(_xll.BDP(A134,"PX_VOLUME"),NA())</f>
        <v/>
      </c>
      <c r="I134" s="16">
        <f>IFERROR(H134/G134,NA())</f>
        <v/>
      </c>
      <c r="J134" s="16">
        <f>IF(ISNUMBER(I134),IF(I134&gt;=Settings!$B$7,"VOL SPIKE",""),"")</f>
        <v/>
      </c>
    </row>
    <row r="135">
      <c r="A135" s="16">
        <f>'Rest Universe'!A136</f>
        <v/>
      </c>
      <c r="B135" s="22">
        <f>IFERROR(_xll.BDP(A135,"NAME"),"")</f>
        <v/>
      </c>
      <c r="C135" s="22">
        <f>IFERROR(_xll.BDP(A135,"EQY_SH_OUT"),NA())</f>
        <v/>
      </c>
      <c r="D135" s="22">
        <f>IFERROR(_xll.BDH(A135,"EQY_SH_OUT","-"&amp;Settings!$B$4&amp;"AW","-"&amp;Settings!$B$4&amp;"AW","days=a","fill=p"),NA())</f>
        <v/>
      </c>
      <c r="E135" s="23">
        <f>IFERROR((C135-D135)/D135,NA())</f>
        <v/>
      </c>
      <c r="F135" s="16">
        <f>IF(ISNUMBER(E135),IF(E135&lt;=Settings!$B$6,"BUYBACK ACTIVITY",""),"")</f>
        <v/>
      </c>
      <c r="G135" s="22">
        <f>IFERROR(_xll.BDP(A135,"VOLUME_AVG_30D"),NA())</f>
        <v/>
      </c>
      <c r="H135" s="22">
        <f>IFERROR(_xll.BDP(A135,"PX_VOLUME"),NA())</f>
        <v/>
      </c>
      <c r="I135" s="16">
        <f>IFERROR(H135/G135,NA())</f>
        <v/>
      </c>
      <c r="J135" s="16">
        <f>IF(ISNUMBER(I135),IF(I135&gt;=Settings!$B$7,"VOL SPIKE",""),"")</f>
        <v/>
      </c>
    </row>
    <row r="136">
      <c r="A136" s="16">
        <f>'Rest Universe'!A137</f>
        <v/>
      </c>
      <c r="B136" s="22">
        <f>IFERROR(_xll.BDP(A136,"NAME"),"")</f>
        <v/>
      </c>
      <c r="C136" s="22">
        <f>IFERROR(_xll.BDP(A136,"EQY_SH_OUT"),NA())</f>
        <v/>
      </c>
      <c r="D136" s="22">
        <f>IFERROR(_xll.BDH(A136,"EQY_SH_OUT","-"&amp;Settings!$B$4&amp;"AW","-"&amp;Settings!$B$4&amp;"AW","days=a","fill=p"),NA())</f>
        <v/>
      </c>
      <c r="E136" s="23">
        <f>IFERROR((C136-D136)/D136,NA())</f>
        <v/>
      </c>
      <c r="F136" s="16">
        <f>IF(ISNUMBER(E136),IF(E136&lt;=Settings!$B$6,"BUYBACK ACTIVITY",""),"")</f>
        <v/>
      </c>
      <c r="G136" s="22">
        <f>IFERROR(_xll.BDP(A136,"VOLUME_AVG_30D"),NA())</f>
        <v/>
      </c>
      <c r="H136" s="22">
        <f>IFERROR(_xll.BDP(A136,"PX_VOLUME"),NA())</f>
        <v/>
      </c>
      <c r="I136" s="16">
        <f>IFERROR(H136/G136,NA())</f>
        <v/>
      </c>
      <c r="J136" s="16">
        <f>IF(ISNUMBER(I136),IF(I136&gt;=Settings!$B$7,"VOL SPIKE",""),"")</f>
        <v/>
      </c>
    </row>
    <row r="137">
      <c r="A137" s="16">
        <f>'Rest Universe'!A138</f>
        <v/>
      </c>
      <c r="B137" s="22">
        <f>IFERROR(_xll.BDP(A137,"NAME"),"")</f>
        <v/>
      </c>
      <c r="C137" s="22">
        <f>IFERROR(_xll.BDP(A137,"EQY_SH_OUT"),NA())</f>
        <v/>
      </c>
      <c r="D137" s="22">
        <f>IFERROR(_xll.BDH(A137,"EQY_SH_OUT","-"&amp;Settings!$B$4&amp;"AW","-"&amp;Settings!$B$4&amp;"AW","days=a","fill=p"),NA())</f>
        <v/>
      </c>
      <c r="E137" s="23">
        <f>IFERROR((C137-D137)/D137,NA())</f>
        <v/>
      </c>
      <c r="F137" s="16">
        <f>IF(ISNUMBER(E137),IF(E137&lt;=Settings!$B$6,"BUYBACK ACTIVITY",""),"")</f>
        <v/>
      </c>
      <c r="G137" s="22">
        <f>IFERROR(_xll.BDP(A137,"VOLUME_AVG_30D"),NA())</f>
        <v/>
      </c>
      <c r="H137" s="22">
        <f>IFERROR(_xll.BDP(A137,"PX_VOLUME"),NA())</f>
        <v/>
      </c>
      <c r="I137" s="16">
        <f>IFERROR(H137/G137,NA())</f>
        <v/>
      </c>
      <c r="J137" s="16">
        <f>IF(ISNUMBER(I137),IF(I137&gt;=Settings!$B$7,"VOL SPIKE",""),"")</f>
        <v/>
      </c>
    </row>
    <row r="138">
      <c r="A138" s="16">
        <f>'Rest Universe'!A139</f>
        <v/>
      </c>
      <c r="B138" s="22">
        <f>IFERROR(_xll.BDP(A138,"NAME"),"")</f>
        <v/>
      </c>
      <c r="C138" s="22">
        <f>IFERROR(_xll.BDP(A138,"EQY_SH_OUT"),NA())</f>
        <v/>
      </c>
      <c r="D138" s="22">
        <f>IFERROR(_xll.BDH(A138,"EQY_SH_OUT","-"&amp;Settings!$B$4&amp;"AW","-"&amp;Settings!$B$4&amp;"AW","days=a","fill=p"),NA())</f>
        <v/>
      </c>
      <c r="E138" s="23">
        <f>IFERROR((C138-D138)/D138,NA())</f>
        <v/>
      </c>
      <c r="F138" s="16">
        <f>IF(ISNUMBER(E138),IF(E138&lt;=Settings!$B$6,"BUYBACK ACTIVITY",""),"")</f>
        <v/>
      </c>
      <c r="G138" s="22">
        <f>IFERROR(_xll.BDP(A138,"VOLUME_AVG_30D"),NA())</f>
        <v/>
      </c>
      <c r="H138" s="22">
        <f>IFERROR(_xll.BDP(A138,"PX_VOLUME"),NA())</f>
        <v/>
      </c>
      <c r="I138" s="16">
        <f>IFERROR(H138/G138,NA())</f>
        <v/>
      </c>
      <c r="J138" s="16">
        <f>IF(ISNUMBER(I138),IF(I138&gt;=Settings!$B$7,"VOL SPIKE",""),"")</f>
        <v/>
      </c>
    </row>
    <row r="139">
      <c r="A139" s="16">
        <f>'Rest Universe'!A140</f>
        <v/>
      </c>
      <c r="B139" s="22">
        <f>IFERROR(_xll.BDP(A139,"NAME"),"")</f>
        <v/>
      </c>
      <c r="C139" s="22">
        <f>IFERROR(_xll.BDP(A139,"EQY_SH_OUT"),NA())</f>
        <v/>
      </c>
      <c r="D139" s="22">
        <f>IFERROR(_xll.BDH(A139,"EQY_SH_OUT","-"&amp;Settings!$B$4&amp;"AW","-"&amp;Settings!$B$4&amp;"AW","days=a","fill=p"),NA())</f>
        <v/>
      </c>
      <c r="E139" s="23">
        <f>IFERROR((C139-D139)/D139,NA())</f>
        <v/>
      </c>
      <c r="F139" s="16">
        <f>IF(ISNUMBER(E139),IF(E139&lt;=Settings!$B$6,"BUYBACK ACTIVITY",""),"")</f>
        <v/>
      </c>
      <c r="G139" s="22">
        <f>IFERROR(_xll.BDP(A139,"VOLUME_AVG_30D"),NA())</f>
        <v/>
      </c>
      <c r="H139" s="22">
        <f>IFERROR(_xll.BDP(A139,"PX_VOLUME"),NA())</f>
        <v/>
      </c>
      <c r="I139" s="16">
        <f>IFERROR(H139/G139,NA())</f>
        <v/>
      </c>
      <c r="J139" s="16">
        <f>IF(ISNUMBER(I139),IF(I139&gt;=Settings!$B$7,"VOL SPIKE",""),"")</f>
        <v/>
      </c>
    </row>
    <row r="140">
      <c r="A140" s="16">
        <f>'Rest Universe'!A141</f>
        <v/>
      </c>
      <c r="B140" s="22">
        <f>IFERROR(_xll.BDP(A140,"NAME"),"")</f>
        <v/>
      </c>
      <c r="C140" s="22">
        <f>IFERROR(_xll.BDP(A140,"EQY_SH_OUT"),NA())</f>
        <v/>
      </c>
      <c r="D140" s="22">
        <f>IFERROR(_xll.BDH(A140,"EQY_SH_OUT","-"&amp;Settings!$B$4&amp;"AW","-"&amp;Settings!$B$4&amp;"AW","days=a","fill=p"),NA())</f>
        <v/>
      </c>
      <c r="E140" s="23">
        <f>IFERROR((C140-D140)/D140,NA())</f>
        <v/>
      </c>
      <c r="F140" s="16">
        <f>IF(ISNUMBER(E140),IF(E140&lt;=Settings!$B$6,"BUYBACK ACTIVITY",""),"")</f>
        <v/>
      </c>
      <c r="G140" s="22">
        <f>IFERROR(_xll.BDP(A140,"VOLUME_AVG_30D"),NA())</f>
        <v/>
      </c>
      <c r="H140" s="22">
        <f>IFERROR(_xll.BDP(A140,"PX_VOLUME"),NA())</f>
        <v/>
      </c>
      <c r="I140" s="16">
        <f>IFERROR(H140/G140,NA())</f>
        <v/>
      </c>
      <c r="J140" s="16">
        <f>IF(ISNUMBER(I140),IF(I140&gt;=Settings!$B$7,"VOL SPIKE",""),"")</f>
        <v/>
      </c>
    </row>
    <row r="141">
      <c r="A141" s="16">
        <f>'Rest Universe'!A142</f>
        <v/>
      </c>
      <c r="B141" s="22">
        <f>IFERROR(_xll.BDP(A141,"NAME"),"")</f>
        <v/>
      </c>
      <c r="C141" s="22">
        <f>IFERROR(_xll.BDP(A141,"EQY_SH_OUT"),NA())</f>
        <v/>
      </c>
      <c r="D141" s="22">
        <f>IFERROR(_xll.BDH(A141,"EQY_SH_OUT","-"&amp;Settings!$B$4&amp;"AW","-"&amp;Settings!$B$4&amp;"AW","days=a","fill=p"),NA())</f>
        <v/>
      </c>
      <c r="E141" s="23">
        <f>IFERROR((C141-D141)/D141,NA())</f>
        <v/>
      </c>
      <c r="F141" s="16">
        <f>IF(ISNUMBER(E141),IF(E141&lt;=Settings!$B$6,"BUYBACK ACTIVITY",""),"")</f>
        <v/>
      </c>
      <c r="G141" s="22">
        <f>IFERROR(_xll.BDP(A141,"VOLUME_AVG_30D"),NA())</f>
        <v/>
      </c>
      <c r="H141" s="22">
        <f>IFERROR(_xll.BDP(A141,"PX_VOLUME"),NA())</f>
        <v/>
      </c>
      <c r="I141" s="16">
        <f>IFERROR(H141/G141,NA())</f>
        <v/>
      </c>
      <c r="J141" s="16">
        <f>IF(ISNUMBER(I141),IF(I141&gt;=Settings!$B$7,"VOL SPIKE",""),"")</f>
        <v/>
      </c>
    </row>
    <row r="142">
      <c r="A142" s="16">
        <f>'Rest Universe'!A143</f>
        <v/>
      </c>
      <c r="B142" s="22">
        <f>IFERROR(_xll.BDP(A142,"NAME"),"")</f>
        <v/>
      </c>
      <c r="C142" s="22">
        <f>IFERROR(_xll.BDP(A142,"EQY_SH_OUT"),NA())</f>
        <v/>
      </c>
      <c r="D142" s="22">
        <f>IFERROR(_xll.BDH(A142,"EQY_SH_OUT","-"&amp;Settings!$B$4&amp;"AW","-"&amp;Settings!$B$4&amp;"AW","days=a","fill=p"),NA())</f>
        <v/>
      </c>
      <c r="E142" s="23">
        <f>IFERROR((C142-D142)/D142,NA())</f>
        <v/>
      </c>
      <c r="F142" s="16">
        <f>IF(ISNUMBER(E142),IF(E142&lt;=Settings!$B$6,"BUYBACK ACTIVITY",""),"")</f>
        <v/>
      </c>
      <c r="G142" s="22">
        <f>IFERROR(_xll.BDP(A142,"VOLUME_AVG_30D"),NA())</f>
        <v/>
      </c>
      <c r="H142" s="22">
        <f>IFERROR(_xll.BDP(A142,"PX_VOLUME"),NA())</f>
        <v/>
      </c>
      <c r="I142" s="16">
        <f>IFERROR(H142/G142,NA())</f>
        <v/>
      </c>
      <c r="J142" s="16">
        <f>IF(ISNUMBER(I142),IF(I142&gt;=Settings!$B$7,"VOL SPIKE",""),"")</f>
        <v/>
      </c>
    </row>
    <row r="143">
      <c r="A143" s="16">
        <f>'Rest Universe'!A144</f>
        <v/>
      </c>
      <c r="B143" s="22">
        <f>IFERROR(_xll.BDP(A143,"NAME"),"")</f>
        <v/>
      </c>
      <c r="C143" s="22">
        <f>IFERROR(_xll.BDP(A143,"EQY_SH_OUT"),NA())</f>
        <v/>
      </c>
      <c r="D143" s="22">
        <f>IFERROR(_xll.BDH(A143,"EQY_SH_OUT","-"&amp;Settings!$B$4&amp;"AW","-"&amp;Settings!$B$4&amp;"AW","days=a","fill=p"),NA())</f>
        <v/>
      </c>
      <c r="E143" s="23">
        <f>IFERROR((C143-D143)/D143,NA())</f>
        <v/>
      </c>
      <c r="F143" s="16">
        <f>IF(ISNUMBER(E143),IF(E143&lt;=Settings!$B$6,"BUYBACK ACTIVITY",""),"")</f>
        <v/>
      </c>
      <c r="G143" s="22">
        <f>IFERROR(_xll.BDP(A143,"VOLUME_AVG_30D"),NA())</f>
        <v/>
      </c>
      <c r="H143" s="22">
        <f>IFERROR(_xll.BDP(A143,"PX_VOLUME"),NA())</f>
        <v/>
      </c>
      <c r="I143" s="16">
        <f>IFERROR(H143/G143,NA())</f>
        <v/>
      </c>
      <c r="J143" s="16">
        <f>IF(ISNUMBER(I143),IF(I143&gt;=Settings!$B$7,"VOL SPIKE",""),"")</f>
        <v/>
      </c>
    </row>
    <row r="144">
      <c r="A144" s="16">
        <f>'Rest Universe'!A145</f>
        <v/>
      </c>
      <c r="B144" s="22">
        <f>IFERROR(_xll.BDP(A144,"NAME"),"")</f>
        <v/>
      </c>
      <c r="C144" s="22">
        <f>IFERROR(_xll.BDP(A144,"EQY_SH_OUT"),NA())</f>
        <v/>
      </c>
      <c r="D144" s="22">
        <f>IFERROR(_xll.BDH(A144,"EQY_SH_OUT","-"&amp;Settings!$B$4&amp;"AW","-"&amp;Settings!$B$4&amp;"AW","days=a","fill=p"),NA())</f>
        <v/>
      </c>
      <c r="E144" s="23">
        <f>IFERROR((C144-D144)/D144,NA())</f>
        <v/>
      </c>
      <c r="F144" s="16">
        <f>IF(ISNUMBER(E144),IF(E144&lt;=Settings!$B$6,"BUYBACK ACTIVITY",""),"")</f>
        <v/>
      </c>
      <c r="G144" s="22">
        <f>IFERROR(_xll.BDP(A144,"VOLUME_AVG_30D"),NA())</f>
        <v/>
      </c>
      <c r="H144" s="22">
        <f>IFERROR(_xll.BDP(A144,"PX_VOLUME"),NA())</f>
        <v/>
      </c>
      <c r="I144" s="16">
        <f>IFERROR(H144/G144,NA())</f>
        <v/>
      </c>
      <c r="J144" s="16">
        <f>IF(ISNUMBER(I144),IF(I144&gt;=Settings!$B$7,"VOL SPIKE",""),"")</f>
        <v/>
      </c>
    </row>
    <row r="145">
      <c r="A145" s="16">
        <f>'Rest Universe'!A146</f>
        <v/>
      </c>
      <c r="B145" s="22">
        <f>IFERROR(_xll.BDP(A145,"NAME"),"")</f>
        <v/>
      </c>
      <c r="C145" s="22">
        <f>IFERROR(_xll.BDP(A145,"EQY_SH_OUT"),NA())</f>
        <v/>
      </c>
      <c r="D145" s="22">
        <f>IFERROR(_xll.BDH(A145,"EQY_SH_OUT","-"&amp;Settings!$B$4&amp;"AW","-"&amp;Settings!$B$4&amp;"AW","days=a","fill=p"),NA())</f>
        <v/>
      </c>
      <c r="E145" s="23">
        <f>IFERROR((C145-D145)/D145,NA())</f>
        <v/>
      </c>
      <c r="F145" s="16">
        <f>IF(ISNUMBER(E145),IF(E145&lt;=Settings!$B$6,"BUYBACK ACTIVITY",""),"")</f>
        <v/>
      </c>
      <c r="G145" s="22">
        <f>IFERROR(_xll.BDP(A145,"VOLUME_AVG_30D"),NA())</f>
        <v/>
      </c>
      <c r="H145" s="22">
        <f>IFERROR(_xll.BDP(A145,"PX_VOLUME"),NA())</f>
        <v/>
      </c>
      <c r="I145" s="16">
        <f>IFERROR(H145/G145,NA())</f>
        <v/>
      </c>
      <c r="J145" s="16">
        <f>IF(ISNUMBER(I145),IF(I145&gt;=Settings!$B$7,"VOL SPIKE",""),"")</f>
        <v/>
      </c>
    </row>
    <row r="146">
      <c r="A146" s="16">
        <f>'Rest Universe'!A147</f>
        <v/>
      </c>
      <c r="B146" s="22">
        <f>IFERROR(_xll.BDP(A146,"NAME"),"")</f>
        <v/>
      </c>
      <c r="C146" s="22">
        <f>IFERROR(_xll.BDP(A146,"EQY_SH_OUT"),NA())</f>
        <v/>
      </c>
      <c r="D146" s="22">
        <f>IFERROR(_xll.BDH(A146,"EQY_SH_OUT","-"&amp;Settings!$B$4&amp;"AW","-"&amp;Settings!$B$4&amp;"AW","days=a","fill=p"),NA())</f>
        <v/>
      </c>
      <c r="E146" s="23">
        <f>IFERROR((C146-D146)/D146,NA())</f>
        <v/>
      </c>
      <c r="F146" s="16">
        <f>IF(ISNUMBER(E146),IF(E146&lt;=Settings!$B$6,"BUYBACK ACTIVITY",""),"")</f>
        <v/>
      </c>
      <c r="G146" s="22">
        <f>IFERROR(_xll.BDP(A146,"VOLUME_AVG_30D"),NA())</f>
        <v/>
      </c>
      <c r="H146" s="22">
        <f>IFERROR(_xll.BDP(A146,"PX_VOLUME"),NA())</f>
        <v/>
      </c>
      <c r="I146" s="16">
        <f>IFERROR(H146/G146,NA())</f>
        <v/>
      </c>
      <c r="J146" s="16">
        <f>IF(ISNUMBER(I146),IF(I146&gt;=Settings!$B$7,"VOL SPIKE",""),"")</f>
        <v/>
      </c>
    </row>
    <row r="147">
      <c r="A147" s="16">
        <f>'Rest Universe'!A148</f>
        <v/>
      </c>
      <c r="B147" s="22">
        <f>IFERROR(_xll.BDP(A147,"NAME"),"")</f>
        <v/>
      </c>
      <c r="C147" s="22">
        <f>IFERROR(_xll.BDP(A147,"EQY_SH_OUT"),NA())</f>
        <v/>
      </c>
      <c r="D147" s="22">
        <f>IFERROR(_xll.BDH(A147,"EQY_SH_OUT","-"&amp;Settings!$B$4&amp;"AW","-"&amp;Settings!$B$4&amp;"AW","days=a","fill=p"),NA())</f>
        <v/>
      </c>
      <c r="E147" s="23">
        <f>IFERROR((C147-D147)/D147,NA())</f>
        <v/>
      </c>
      <c r="F147" s="16">
        <f>IF(ISNUMBER(E147),IF(E147&lt;=Settings!$B$6,"BUYBACK ACTIVITY",""),"")</f>
        <v/>
      </c>
      <c r="G147" s="22">
        <f>IFERROR(_xll.BDP(A147,"VOLUME_AVG_30D"),NA())</f>
        <v/>
      </c>
      <c r="H147" s="22">
        <f>IFERROR(_xll.BDP(A147,"PX_VOLUME"),NA())</f>
        <v/>
      </c>
      <c r="I147" s="16">
        <f>IFERROR(H147/G147,NA())</f>
        <v/>
      </c>
      <c r="J147" s="16">
        <f>IF(ISNUMBER(I147),IF(I147&gt;=Settings!$B$7,"VOL SPIKE",""),"")</f>
        <v/>
      </c>
    </row>
    <row r="148">
      <c r="A148" s="16">
        <f>'Rest Universe'!A149</f>
        <v/>
      </c>
      <c r="B148" s="22">
        <f>IFERROR(_xll.BDP(A148,"NAME"),"")</f>
        <v/>
      </c>
      <c r="C148" s="22">
        <f>IFERROR(_xll.BDP(A148,"EQY_SH_OUT"),NA())</f>
        <v/>
      </c>
      <c r="D148" s="22">
        <f>IFERROR(_xll.BDH(A148,"EQY_SH_OUT","-"&amp;Settings!$B$4&amp;"AW","-"&amp;Settings!$B$4&amp;"AW","days=a","fill=p"),NA())</f>
        <v/>
      </c>
      <c r="E148" s="23">
        <f>IFERROR((C148-D148)/D148,NA())</f>
        <v/>
      </c>
      <c r="F148" s="16">
        <f>IF(ISNUMBER(E148),IF(E148&lt;=Settings!$B$6,"BUYBACK ACTIVITY",""),"")</f>
        <v/>
      </c>
      <c r="G148" s="22">
        <f>IFERROR(_xll.BDP(A148,"VOLUME_AVG_30D"),NA())</f>
        <v/>
      </c>
      <c r="H148" s="22">
        <f>IFERROR(_xll.BDP(A148,"PX_VOLUME"),NA())</f>
        <v/>
      </c>
      <c r="I148" s="16">
        <f>IFERROR(H148/G148,NA())</f>
        <v/>
      </c>
      <c r="J148" s="16">
        <f>IF(ISNUMBER(I148),IF(I148&gt;=Settings!$B$7,"VOL SPIKE",""),"")</f>
        <v/>
      </c>
    </row>
    <row r="149">
      <c r="A149" s="16">
        <f>'Rest Universe'!A150</f>
        <v/>
      </c>
      <c r="B149" s="22">
        <f>IFERROR(_xll.BDP(A149,"NAME"),"")</f>
        <v/>
      </c>
      <c r="C149" s="22">
        <f>IFERROR(_xll.BDP(A149,"EQY_SH_OUT"),NA())</f>
        <v/>
      </c>
      <c r="D149" s="22">
        <f>IFERROR(_xll.BDH(A149,"EQY_SH_OUT","-"&amp;Settings!$B$4&amp;"AW","-"&amp;Settings!$B$4&amp;"AW","days=a","fill=p"),NA())</f>
        <v/>
      </c>
      <c r="E149" s="23">
        <f>IFERROR((C149-D149)/D149,NA())</f>
        <v/>
      </c>
      <c r="F149" s="16">
        <f>IF(ISNUMBER(E149),IF(E149&lt;=Settings!$B$6,"BUYBACK ACTIVITY",""),"")</f>
        <v/>
      </c>
      <c r="G149" s="22">
        <f>IFERROR(_xll.BDP(A149,"VOLUME_AVG_30D"),NA())</f>
        <v/>
      </c>
      <c r="H149" s="22">
        <f>IFERROR(_xll.BDP(A149,"PX_VOLUME"),NA())</f>
        <v/>
      </c>
      <c r="I149" s="16">
        <f>IFERROR(H149/G149,NA())</f>
        <v/>
      </c>
      <c r="J149" s="16">
        <f>IF(ISNUMBER(I149),IF(I149&gt;=Settings!$B$7,"VOL SPIKE",""),"")</f>
        <v/>
      </c>
    </row>
    <row r="150">
      <c r="A150" s="16">
        <f>'Rest Universe'!A151</f>
        <v/>
      </c>
      <c r="B150" s="22">
        <f>IFERROR(_xll.BDP(A150,"NAME"),"")</f>
        <v/>
      </c>
      <c r="C150" s="22">
        <f>IFERROR(_xll.BDP(A150,"EQY_SH_OUT"),NA())</f>
        <v/>
      </c>
      <c r="D150" s="22">
        <f>IFERROR(_xll.BDH(A150,"EQY_SH_OUT","-"&amp;Settings!$B$4&amp;"AW","-"&amp;Settings!$B$4&amp;"AW","days=a","fill=p"),NA())</f>
        <v/>
      </c>
      <c r="E150" s="23">
        <f>IFERROR((C150-D150)/D150,NA())</f>
        <v/>
      </c>
      <c r="F150" s="16">
        <f>IF(ISNUMBER(E150),IF(E150&lt;=Settings!$B$6,"BUYBACK ACTIVITY",""),"")</f>
        <v/>
      </c>
      <c r="G150" s="22">
        <f>IFERROR(_xll.BDP(A150,"VOLUME_AVG_30D"),NA())</f>
        <v/>
      </c>
      <c r="H150" s="22">
        <f>IFERROR(_xll.BDP(A150,"PX_VOLUME"),NA())</f>
        <v/>
      </c>
      <c r="I150" s="16">
        <f>IFERROR(H150/G150,NA())</f>
        <v/>
      </c>
      <c r="J150" s="16">
        <f>IF(ISNUMBER(I150),IF(I150&gt;=Settings!$B$7,"VOL SPIKE",""),"")</f>
        <v/>
      </c>
    </row>
    <row r="151">
      <c r="A151" s="16">
        <f>'Rest Universe'!A152</f>
        <v/>
      </c>
      <c r="B151" s="22">
        <f>IFERROR(_xll.BDP(A151,"NAME"),"")</f>
        <v/>
      </c>
      <c r="C151" s="22">
        <f>IFERROR(_xll.BDP(A151,"EQY_SH_OUT"),NA())</f>
        <v/>
      </c>
      <c r="D151" s="22">
        <f>IFERROR(_xll.BDH(A151,"EQY_SH_OUT","-"&amp;Settings!$B$4&amp;"AW","-"&amp;Settings!$B$4&amp;"AW","days=a","fill=p"),NA())</f>
        <v/>
      </c>
      <c r="E151" s="23">
        <f>IFERROR((C151-D151)/D151,NA())</f>
        <v/>
      </c>
      <c r="F151" s="16">
        <f>IF(ISNUMBER(E151),IF(E151&lt;=Settings!$B$6,"BUYBACK ACTIVITY",""),"")</f>
        <v/>
      </c>
      <c r="G151" s="22">
        <f>IFERROR(_xll.BDP(A151,"VOLUME_AVG_30D"),NA())</f>
        <v/>
      </c>
      <c r="H151" s="22">
        <f>IFERROR(_xll.BDP(A151,"PX_VOLUME"),NA())</f>
        <v/>
      </c>
      <c r="I151" s="16">
        <f>IFERROR(H151/G151,NA())</f>
        <v/>
      </c>
      <c r="J151" s="16">
        <f>IF(ISNUMBER(I151),IF(I151&gt;=Settings!$B$7,"VOL SPIKE",""),"")</f>
        <v/>
      </c>
    </row>
    <row r="152">
      <c r="A152" s="16">
        <f>'Rest Universe'!A153</f>
        <v/>
      </c>
      <c r="B152" s="22">
        <f>IFERROR(_xll.BDP(A152,"NAME"),"")</f>
        <v/>
      </c>
      <c r="C152" s="22">
        <f>IFERROR(_xll.BDP(A152,"EQY_SH_OUT"),NA())</f>
        <v/>
      </c>
      <c r="D152" s="22">
        <f>IFERROR(_xll.BDH(A152,"EQY_SH_OUT","-"&amp;Settings!$B$4&amp;"AW","-"&amp;Settings!$B$4&amp;"AW","days=a","fill=p"),NA())</f>
        <v/>
      </c>
      <c r="E152" s="23">
        <f>IFERROR((C152-D152)/D152,NA())</f>
        <v/>
      </c>
      <c r="F152" s="16">
        <f>IF(ISNUMBER(E152),IF(E152&lt;=Settings!$B$6,"BUYBACK ACTIVITY",""),"")</f>
        <v/>
      </c>
      <c r="G152" s="22">
        <f>IFERROR(_xll.BDP(A152,"VOLUME_AVG_30D"),NA())</f>
        <v/>
      </c>
      <c r="H152" s="22">
        <f>IFERROR(_xll.BDP(A152,"PX_VOLUME"),NA())</f>
        <v/>
      </c>
      <c r="I152" s="16">
        <f>IFERROR(H152/G152,NA())</f>
        <v/>
      </c>
      <c r="J152" s="16">
        <f>IF(ISNUMBER(I152),IF(I152&gt;=Settings!$B$7,"VOL SPIKE",""),"")</f>
        <v/>
      </c>
    </row>
    <row r="153">
      <c r="A153" s="16">
        <f>'Rest Universe'!A154</f>
        <v/>
      </c>
      <c r="B153" s="22">
        <f>IFERROR(_xll.BDP(A153,"NAME"),"")</f>
        <v/>
      </c>
      <c r="C153" s="22">
        <f>IFERROR(_xll.BDP(A153,"EQY_SH_OUT"),NA())</f>
        <v/>
      </c>
      <c r="D153" s="22">
        <f>IFERROR(_xll.BDH(A153,"EQY_SH_OUT","-"&amp;Settings!$B$4&amp;"AW","-"&amp;Settings!$B$4&amp;"AW","days=a","fill=p"),NA())</f>
        <v/>
      </c>
      <c r="E153" s="23">
        <f>IFERROR((C153-D153)/D153,NA())</f>
        <v/>
      </c>
      <c r="F153" s="16">
        <f>IF(ISNUMBER(E153),IF(E153&lt;=Settings!$B$6,"BUYBACK ACTIVITY",""),"")</f>
        <v/>
      </c>
      <c r="G153" s="22">
        <f>IFERROR(_xll.BDP(A153,"VOLUME_AVG_30D"),NA())</f>
        <v/>
      </c>
      <c r="H153" s="22">
        <f>IFERROR(_xll.BDP(A153,"PX_VOLUME"),NA())</f>
        <v/>
      </c>
      <c r="I153" s="16">
        <f>IFERROR(H153/G153,NA())</f>
        <v/>
      </c>
      <c r="J153" s="16">
        <f>IF(ISNUMBER(I153),IF(I153&gt;=Settings!$B$7,"VOL SPIKE",""),"")</f>
        <v/>
      </c>
    </row>
    <row r="154">
      <c r="A154" s="16">
        <f>'Rest Universe'!A155</f>
        <v/>
      </c>
      <c r="B154" s="22">
        <f>IFERROR(_xll.BDP(A154,"NAME"),"")</f>
        <v/>
      </c>
      <c r="C154" s="22">
        <f>IFERROR(_xll.BDP(A154,"EQY_SH_OUT"),NA())</f>
        <v/>
      </c>
      <c r="D154" s="22">
        <f>IFERROR(_xll.BDH(A154,"EQY_SH_OUT","-"&amp;Settings!$B$4&amp;"AW","-"&amp;Settings!$B$4&amp;"AW","days=a","fill=p"),NA())</f>
        <v/>
      </c>
      <c r="E154" s="23">
        <f>IFERROR((C154-D154)/D154,NA())</f>
        <v/>
      </c>
      <c r="F154" s="16">
        <f>IF(ISNUMBER(E154),IF(E154&lt;=Settings!$B$6,"BUYBACK ACTIVITY",""),"")</f>
        <v/>
      </c>
      <c r="G154" s="22">
        <f>IFERROR(_xll.BDP(A154,"VOLUME_AVG_30D"),NA())</f>
        <v/>
      </c>
      <c r="H154" s="22">
        <f>IFERROR(_xll.BDP(A154,"PX_VOLUME"),NA())</f>
        <v/>
      </c>
      <c r="I154" s="16">
        <f>IFERROR(H154/G154,NA())</f>
        <v/>
      </c>
      <c r="J154" s="16">
        <f>IF(ISNUMBER(I154),IF(I154&gt;=Settings!$B$7,"VOL SPIKE",""),"")</f>
        <v/>
      </c>
    </row>
    <row r="155">
      <c r="A155" s="16">
        <f>'Rest Universe'!A156</f>
        <v/>
      </c>
      <c r="B155" s="22">
        <f>IFERROR(_xll.BDP(A155,"NAME"),"")</f>
        <v/>
      </c>
      <c r="C155" s="22">
        <f>IFERROR(_xll.BDP(A155,"EQY_SH_OUT"),NA())</f>
        <v/>
      </c>
      <c r="D155" s="22">
        <f>IFERROR(_xll.BDH(A155,"EQY_SH_OUT","-"&amp;Settings!$B$4&amp;"AW","-"&amp;Settings!$B$4&amp;"AW","days=a","fill=p"),NA())</f>
        <v/>
      </c>
      <c r="E155" s="23">
        <f>IFERROR((C155-D155)/D155,NA())</f>
        <v/>
      </c>
      <c r="F155" s="16">
        <f>IF(ISNUMBER(E155),IF(E155&lt;=Settings!$B$6,"BUYBACK ACTIVITY",""),"")</f>
        <v/>
      </c>
      <c r="G155" s="22">
        <f>IFERROR(_xll.BDP(A155,"VOLUME_AVG_30D"),NA())</f>
        <v/>
      </c>
      <c r="H155" s="22">
        <f>IFERROR(_xll.BDP(A155,"PX_VOLUME"),NA())</f>
        <v/>
      </c>
      <c r="I155" s="16">
        <f>IFERROR(H155/G155,NA())</f>
        <v/>
      </c>
      <c r="J155" s="16">
        <f>IF(ISNUMBER(I155),IF(I155&gt;=Settings!$B$7,"VOL SPIKE",""),"")</f>
        <v/>
      </c>
    </row>
    <row r="156">
      <c r="A156" s="16">
        <f>'Rest Universe'!A157</f>
        <v/>
      </c>
      <c r="B156" s="22">
        <f>IFERROR(_xll.BDP(A156,"NAME"),"")</f>
        <v/>
      </c>
      <c r="C156" s="22">
        <f>IFERROR(_xll.BDP(A156,"EQY_SH_OUT"),NA())</f>
        <v/>
      </c>
      <c r="D156" s="22">
        <f>IFERROR(_xll.BDH(A156,"EQY_SH_OUT","-"&amp;Settings!$B$4&amp;"AW","-"&amp;Settings!$B$4&amp;"AW","days=a","fill=p"),NA())</f>
        <v/>
      </c>
      <c r="E156" s="23">
        <f>IFERROR((C156-D156)/D156,NA())</f>
        <v/>
      </c>
      <c r="F156" s="16">
        <f>IF(ISNUMBER(E156),IF(E156&lt;=Settings!$B$6,"BUYBACK ACTIVITY",""),"")</f>
        <v/>
      </c>
      <c r="G156" s="22">
        <f>IFERROR(_xll.BDP(A156,"VOLUME_AVG_30D"),NA())</f>
        <v/>
      </c>
      <c r="H156" s="22">
        <f>IFERROR(_xll.BDP(A156,"PX_VOLUME"),NA())</f>
        <v/>
      </c>
      <c r="I156" s="16">
        <f>IFERROR(H156/G156,NA())</f>
        <v/>
      </c>
      <c r="J156" s="16">
        <f>IF(ISNUMBER(I156),IF(I156&gt;=Settings!$B$7,"VOL SPIKE",""),"")</f>
        <v/>
      </c>
    </row>
    <row r="157">
      <c r="A157" s="16">
        <f>'Rest Universe'!A158</f>
        <v/>
      </c>
      <c r="B157" s="22">
        <f>IFERROR(_xll.BDP(A157,"NAME"),"")</f>
        <v/>
      </c>
      <c r="C157" s="22">
        <f>IFERROR(_xll.BDP(A157,"EQY_SH_OUT"),NA())</f>
        <v/>
      </c>
      <c r="D157" s="22">
        <f>IFERROR(_xll.BDH(A157,"EQY_SH_OUT","-"&amp;Settings!$B$4&amp;"AW","-"&amp;Settings!$B$4&amp;"AW","days=a","fill=p"),NA())</f>
        <v/>
      </c>
      <c r="E157" s="23">
        <f>IFERROR((C157-D157)/D157,NA())</f>
        <v/>
      </c>
      <c r="F157" s="16">
        <f>IF(ISNUMBER(E157),IF(E157&lt;=Settings!$B$6,"BUYBACK ACTIVITY",""),"")</f>
        <v/>
      </c>
      <c r="G157" s="22">
        <f>IFERROR(_xll.BDP(A157,"VOLUME_AVG_30D"),NA())</f>
        <v/>
      </c>
      <c r="H157" s="22">
        <f>IFERROR(_xll.BDP(A157,"PX_VOLUME"),NA())</f>
        <v/>
      </c>
      <c r="I157" s="16">
        <f>IFERROR(H157/G157,NA())</f>
        <v/>
      </c>
      <c r="J157" s="16">
        <f>IF(ISNUMBER(I157),IF(I157&gt;=Settings!$B$7,"VOL SPIKE",""),"")</f>
        <v/>
      </c>
    </row>
    <row r="158">
      <c r="A158" s="16">
        <f>'Rest Universe'!A159</f>
        <v/>
      </c>
      <c r="B158" s="22">
        <f>IFERROR(_xll.BDP(A158,"NAME"),"")</f>
        <v/>
      </c>
      <c r="C158" s="22">
        <f>IFERROR(_xll.BDP(A158,"EQY_SH_OUT"),NA())</f>
        <v/>
      </c>
      <c r="D158" s="22">
        <f>IFERROR(_xll.BDH(A158,"EQY_SH_OUT","-"&amp;Settings!$B$4&amp;"AW","-"&amp;Settings!$B$4&amp;"AW","days=a","fill=p"),NA())</f>
        <v/>
      </c>
      <c r="E158" s="23">
        <f>IFERROR((C158-D158)/D158,NA())</f>
        <v/>
      </c>
      <c r="F158" s="16">
        <f>IF(ISNUMBER(E158),IF(E158&lt;=Settings!$B$6,"BUYBACK ACTIVITY",""),"")</f>
        <v/>
      </c>
      <c r="G158" s="22">
        <f>IFERROR(_xll.BDP(A158,"VOLUME_AVG_30D"),NA())</f>
        <v/>
      </c>
      <c r="H158" s="22">
        <f>IFERROR(_xll.BDP(A158,"PX_VOLUME"),NA())</f>
        <v/>
      </c>
      <c r="I158" s="16">
        <f>IFERROR(H158/G158,NA())</f>
        <v/>
      </c>
      <c r="J158" s="16">
        <f>IF(ISNUMBER(I158),IF(I158&gt;=Settings!$B$7,"VOL SPIKE",""),"")</f>
        <v/>
      </c>
    </row>
    <row r="159">
      <c r="A159" s="16">
        <f>'Rest Universe'!A160</f>
        <v/>
      </c>
      <c r="B159" s="22">
        <f>IFERROR(_xll.BDP(A159,"NAME"),"")</f>
        <v/>
      </c>
      <c r="C159" s="22">
        <f>IFERROR(_xll.BDP(A159,"EQY_SH_OUT"),NA())</f>
        <v/>
      </c>
      <c r="D159" s="22">
        <f>IFERROR(_xll.BDH(A159,"EQY_SH_OUT","-"&amp;Settings!$B$4&amp;"AW","-"&amp;Settings!$B$4&amp;"AW","days=a","fill=p"),NA())</f>
        <v/>
      </c>
      <c r="E159" s="23">
        <f>IFERROR((C159-D159)/D159,NA())</f>
        <v/>
      </c>
      <c r="F159" s="16">
        <f>IF(ISNUMBER(E159),IF(E159&lt;=Settings!$B$6,"BUYBACK ACTIVITY",""),"")</f>
        <v/>
      </c>
      <c r="G159" s="22">
        <f>IFERROR(_xll.BDP(A159,"VOLUME_AVG_30D"),NA())</f>
        <v/>
      </c>
      <c r="H159" s="22">
        <f>IFERROR(_xll.BDP(A159,"PX_VOLUME"),NA())</f>
        <v/>
      </c>
      <c r="I159" s="16">
        <f>IFERROR(H159/G159,NA())</f>
        <v/>
      </c>
      <c r="J159" s="16">
        <f>IF(ISNUMBER(I159),IF(I159&gt;=Settings!$B$7,"VOL SPIKE",""),"")</f>
        <v/>
      </c>
    </row>
    <row r="160">
      <c r="A160" s="16">
        <f>'Rest Universe'!A161</f>
        <v/>
      </c>
      <c r="B160" s="22">
        <f>IFERROR(_xll.BDP(A160,"NAME"),"")</f>
        <v/>
      </c>
      <c r="C160" s="22">
        <f>IFERROR(_xll.BDP(A160,"EQY_SH_OUT"),NA())</f>
        <v/>
      </c>
      <c r="D160" s="22">
        <f>IFERROR(_xll.BDH(A160,"EQY_SH_OUT","-"&amp;Settings!$B$4&amp;"AW","-"&amp;Settings!$B$4&amp;"AW","days=a","fill=p"),NA())</f>
        <v/>
      </c>
      <c r="E160" s="23">
        <f>IFERROR((C160-D160)/D160,NA())</f>
        <v/>
      </c>
      <c r="F160" s="16">
        <f>IF(ISNUMBER(E160),IF(E160&lt;=Settings!$B$6,"BUYBACK ACTIVITY",""),"")</f>
        <v/>
      </c>
      <c r="G160" s="22">
        <f>IFERROR(_xll.BDP(A160,"VOLUME_AVG_30D"),NA())</f>
        <v/>
      </c>
      <c r="H160" s="22">
        <f>IFERROR(_xll.BDP(A160,"PX_VOLUME"),NA())</f>
        <v/>
      </c>
      <c r="I160" s="16">
        <f>IFERROR(H160/G160,NA())</f>
        <v/>
      </c>
      <c r="J160" s="16">
        <f>IF(ISNUMBER(I160),IF(I160&gt;=Settings!$B$7,"VOL SPIKE",""),"")</f>
        <v/>
      </c>
    </row>
    <row r="161">
      <c r="A161" s="16">
        <f>'Rest Universe'!A162</f>
        <v/>
      </c>
      <c r="B161" s="22">
        <f>IFERROR(_xll.BDP(A161,"NAME"),"")</f>
        <v/>
      </c>
      <c r="C161" s="22">
        <f>IFERROR(_xll.BDP(A161,"EQY_SH_OUT"),NA())</f>
        <v/>
      </c>
      <c r="D161" s="22">
        <f>IFERROR(_xll.BDH(A161,"EQY_SH_OUT","-"&amp;Settings!$B$4&amp;"AW","-"&amp;Settings!$B$4&amp;"AW","days=a","fill=p"),NA())</f>
        <v/>
      </c>
      <c r="E161" s="23">
        <f>IFERROR((C161-D161)/D161,NA())</f>
        <v/>
      </c>
      <c r="F161" s="16">
        <f>IF(ISNUMBER(E161),IF(E161&lt;=Settings!$B$6,"BUYBACK ACTIVITY",""),"")</f>
        <v/>
      </c>
      <c r="G161" s="22">
        <f>IFERROR(_xll.BDP(A161,"VOLUME_AVG_30D"),NA())</f>
        <v/>
      </c>
      <c r="H161" s="22">
        <f>IFERROR(_xll.BDP(A161,"PX_VOLUME"),NA())</f>
        <v/>
      </c>
      <c r="I161" s="16">
        <f>IFERROR(H161/G161,NA())</f>
        <v/>
      </c>
      <c r="J161" s="16">
        <f>IF(ISNUMBER(I161),IF(I161&gt;=Settings!$B$7,"VOL SPIKE",""),"")</f>
        <v/>
      </c>
    </row>
    <row r="162">
      <c r="A162" s="16">
        <f>'Rest Universe'!A163</f>
        <v/>
      </c>
      <c r="B162" s="22">
        <f>IFERROR(_xll.BDP(A162,"NAME"),"")</f>
        <v/>
      </c>
      <c r="C162" s="22">
        <f>IFERROR(_xll.BDP(A162,"EQY_SH_OUT"),NA())</f>
        <v/>
      </c>
      <c r="D162" s="22">
        <f>IFERROR(_xll.BDH(A162,"EQY_SH_OUT","-"&amp;Settings!$B$4&amp;"AW","-"&amp;Settings!$B$4&amp;"AW","days=a","fill=p"),NA())</f>
        <v/>
      </c>
      <c r="E162" s="23">
        <f>IFERROR((C162-D162)/D162,NA())</f>
        <v/>
      </c>
      <c r="F162" s="16">
        <f>IF(ISNUMBER(E162),IF(E162&lt;=Settings!$B$6,"BUYBACK ACTIVITY",""),"")</f>
        <v/>
      </c>
      <c r="G162" s="22">
        <f>IFERROR(_xll.BDP(A162,"VOLUME_AVG_30D"),NA())</f>
        <v/>
      </c>
      <c r="H162" s="22">
        <f>IFERROR(_xll.BDP(A162,"PX_VOLUME"),NA())</f>
        <v/>
      </c>
      <c r="I162" s="16">
        <f>IFERROR(H162/G162,NA())</f>
        <v/>
      </c>
      <c r="J162" s="16">
        <f>IF(ISNUMBER(I162),IF(I162&gt;=Settings!$B$7,"VOL SPIKE",""),"")</f>
        <v/>
      </c>
    </row>
    <row r="163">
      <c r="A163" s="16">
        <f>'Rest Universe'!A164</f>
        <v/>
      </c>
      <c r="B163" s="22">
        <f>IFERROR(_xll.BDP(A163,"NAME"),"")</f>
        <v/>
      </c>
      <c r="C163" s="22">
        <f>IFERROR(_xll.BDP(A163,"EQY_SH_OUT"),NA())</f>
        <v/>
      </c>
      <c r="D163" s="22">
        <f>IFERROR(_xll.BDH(A163,"EQY_SH_OUT","-"&amp;Settings!$B$4&amp;"AW","-"&amp;Settings!$B$4&amp;"AW","days=a","fill=p"),NA())</f>
        <v/>
      </c>
      <c r="E163" s="23">
        <f>IFERROR((C163-D163)/D163,NA())</f>
        <v/>
      </c>
      <c r="F163" s="16">
        <f>IF(ISNUMBER(E163),IF(E163&lt;=Settings!$B$6,"BUYBACK ACTIVITY",""),"")</f>
        <v/>
      </c>
      <c r="G163" s="22">
        <f>IFERROR(_xll.BDP(A163,"VOLUME_AVG_30D"),NA())</f>
        <v/>
      </c>
      <c r="H163" s="22">
        <f>IFERROR(_xll.BDP(A163,"PX_VOLUME"),NA())</f>
        <v/>
      </c>
      <c r="I163" s="16">
        <f>IFERROR(H163/G163,NA())</f>
        <v/>
      </c>
      <c r="J163" s="16">
        <f>IF(ISNUMBER(I163),IF(I163&gt;=Settings!$B$7,"VOL SPIKE",""),"")</f>
        <v/>
      </c>
    </row>
    <row r="164">
      <c r="A164" s="16">
        <f>'Rest Universe'!A165</f>
        <v/>
      </c>
      <c r="B164" s="22">
        <f>IFERROR(_xll.BDP(A164,"NAME"),"")</f>
        <v/>
      </c>
      <c r="C164" s="22">
        <f>IFERROR(_xll.BDP(A164,"EQY_SH_OUT"),NA())</f>
        <v/>
      </c>
      <c r="D164" s="22">
        <f>IFERROR(_xll.BDH(A164,"EQY_SH_OUT","-"&amp;Settings!$B$4&amp;"AW","-"&amp;Settings!$B$4&amp;"AW","days=a","fill=p"),NA())</f>
        <v/>
      </c>
      <c r="E164" s="23">
        <f>IFERROR((C164-D164)/D164,NA())</f>
        <v/>
      </c>
      <c r="F164" s="16">
        <f>IF(ISNUMBER(E164),IF(E164&lt;=Settings!$B$6,"BUYBACK ACTIVITY",""),"")</f>
        <v/>
      </c>
      <c r="G164" s="22">
        <f>IFERROR(_xll.BDP(A164,"VOLUME_AVG_30D"),NA())</f>
        <v/>
      </c>
      <c r="H164" s="22">
        <f>IFERROR(_xll.BDP(A164,"PX_VOLUME"),NA())</f>
        <v/>
      </c>
      <c r="I164" s="16">
        <f>IFERROR(H164/G164,NA())</f>
        <v/>
      </c>
      <c r="J164" s="16">
        <f>IF(ISNUMBER(I164),IF(I164&gt;=Settings!$B$7,"VOL SPIKE",""),"")</f>
        <v/>
      </c>
    </row>
    <row r="165">
      <c r="A165" s="16">
        <f>'Rest Universe'!A166</f>
        <v/>
      </c>
      <c r="B165" s="22">
        <f>IFERROR(_xll.BDP(A165,"NAME"),"")</f>
        <v/>
      </c>
      <c r="C165" s="22">
        <f>IFERROR(_xll.BDP(A165,"EQY_SH_OUT"),NA())</f>
        <v/>
      </c>
      <c r="D165" s="22">
        <f>IFERROR(_xll.BDH(A165,"EQY_SH_OUT","-"&amp;Settings!$B$4&amp;"AW","-"&amp;Settings!$B$4&amp;"AW","days=a","fill=p"),NA())</f>
        <v/>
      </c>
      <c r="E165" s="23">
        <f>IFERROR((C165-D165)/D165,NA())</f>
        <v/>
      </c>
      <c r="F165" s="16">
        <f>IF(ISNUMBER(E165),IF(E165&lt;=Settings!$B$6,"BUYBACK ACTIVITY",""),"")</f>
        <v/>
      </c>
      <c r="G165" s="22">
        <f>IFERROR(_xll.BDP(A165,"VOLUME_AVG_30D"),NA())</f>
        <v/>
      </c>
      <c r="H165" s="22">
        <f>IFERROR(_xll.BDP(A165,"PX_VOLUME"),NA())</f>
        <v/>
      </c>
      <c r="I165" s="16">
        <f>IFERROR(H165/G165,NA())</f>
        <v/>
      </c>
      <c r="J165" s="16">
        <f>IF(ISNUMBER(I165),IF(I165&gt;=Settings!$B$7,"VOL SPIKE",""),"")</f>
        <v/>
      </c>
    </row>
    <row r="166">
      <c r="A166" s="16">
        <f>'Rest Universe'!A167</f>
        <v/>
      </c>
      <c r="B166" s="22">
        <f>IFERROR(_xll.BDP(A166,"NAME"),"")</f>
        <v/>
      </c>
      <c r="C166" s="22">
        <f>IFERROR(_xll.BDP(A166,"EQY_SH_OUT"),NA())</f>
        <v/>
      </c>
      <c r="D166" s="22">
        <f>IFERROR(_xll.BDH(A166,"EQY_SH_OUT","-"&amp;Settings!$B$4&amp;"AW","-"&amp;Settings!$B$4&amp;"AW","days=a","fill=p"),NA())</f>
        <v/>
      </c>
      <c r="E166" s="23">
        <f>IFERROR((C166-D166)/D166,NA())</f>
        <v/>
      </c>
      <c r="F166" s="16">
        <f>IF(ISNUMBER(E166),IF(E166&lt;=Settings!$B$6,"BUYBACK ACTIVITY",""),"")</f>
        <v/>
      </c>
      <c r="G166" s="22">
        <f>IFERROR(_xll.BDP(A166,"VOLUME_AVG_30D"),NA())</f>
        <v/>
      </c>
      <c r="H166" s="22">
        <f>IFERROR(_xll.BDP(A166,"PX_VOLUME"),NA())</f>
        <v/>
      </c>
      <c r="I166" s="16">
        <f>IFERROR(H166/G166,NA())</f>
        <v/>
      </c>
      <c r="J166" s="16">
        <f>IF(ISNUMBER(I166),IF(I166&gt;=Settings!$B$7,"VOL SPIKE",""),"")</f>
        <v/>
      </c>
    </row>
    <row r="167">
      <c r="A167" s="16">
        <f>'Rest Universe'!A168</f>
        <v/>
      </c>
      <c r="B167" s="22">
        <f>IFERROR(_xll.BDP(A167,"NAME"),"")</f>
        <v/>
      </c>
      <c r="C167" s="22">
        <f>IFERROR(_xll.BDP(A167,"EQY_SH_OUT"),NA())</f>
        <v/>
      </c>
      <c r="D167" s="22">
        <f>IFERROR(_xll.BDH(A167,"EQY_SH_OUT","-"&amp;Settings!$B$4&amp;"AW","-"&amp;Settings!$B$4&amp;"AW","days=a","fill=p"),NA())</f>
        <v/>
      </c>
      <c r="E167" s="23">
        <f>IFERROR((C167-D167)/D167,NA())</f>
        <v/>
      </c>
      <c r="F167" s="16">
        <f>IF(ISNUMBER(E167),IF(E167&lt;=Settings!$B$6,"BUYBACK ACTIVITY",""),"")</f>
        <v/>
      </c>
      <c r="G167" s="22">
        <f>IFERROR(_xll.BDP(A167,"VOLUME_AVG_30D"),NA())</f>
        <v/>
      </c>
      <c r="H167" s="22">
        <f>IFERROR(_xll.BDP(A167,"PX_VOLUME"),NA())</f>
        <v/>
      </c>
      <c r="I167" s="16">
        <f>IFERROR(H167/G167,NA())</f>
        <v/>
      </c>
      <c r="J167" s="16">
        <f>IF(ISNUMBER(I167),IF(I167&gt;=Settings!$B$7,"VOL SPIKE",""),"")</f>
        <v/>
      </c>
    </row>
    <row r="168">
      <c r="A168" s="16">
        <f>'Rest Universe'!A169</f>
        <v/>
      </c>
      <c r="B168" s="22">
        <f>IFERROR(_xll.BDP(A168,"NAME"),"")</f>
        <v/>
      </c>
      <c r="C168" s="22">
        <f>IFERROR(_xll.BDP(A168,"EQY_SH_OUT"),NA())</f>
        <v/>
      </c>
      <c r="D168" s="22">
        <f>IFERROR(_xll.BDH(A168,"EQY_SH_OUT","-"&amp;Settings!$B$4&amp;"AW","-"&amp;Settings!$B$4&amp;"AW","days=a","fill=p"),NA())</f>
        <v/>
      </c>
      <c r="E168" s="23">
        <f>IFERROR((C168-D168)/D168,NA())</f>
        <v/>
      </c>
      <c r="F168" s="16">
        <f>IF(ISNUMBER(E168),IF(E168&lt;=Settings!$B$6,"BUYBACK ACTIVITY",""),"")</f>
        <v/>
      </c>
      <c r="G168" s="22">
        <f>IFERROR(_xll.BDP(A168,"VOLUME_AVG_30D"),NA())</f>
        <v/>
      </c>
      <c r="H168" s="22">
        <f>IFERROR(_xll.BDP(A168,"PX_VOLUME"),NA())</f>
        <v/>
      </c>
      <c r="I168" s="16">
        <f>IFERROR(H168/G168,NA())</f>
        <v/>
      </c>
      <c r="J168" s="16">
        <f>IF(ISNUMBER(I168),IF(I168&gt;=Settings!$B$7,"VOL SPIKE",""),"")</f>
        <v/>
      </c>
    </row>
    <row r="169">
      <c r="A169" s="16">
        <f>'Rest Universe'!A170</f>
        <v/>
      </c>
      <c r="B169" s="22">
        <f>IFERROR(_xll.BDP(A169,"NAME"),"")</f>
        <v/>
      </c>
      <c r="C169" s="22">
        <f>IFERROR(_xll.BDP(A169,"EQY_SH_OUT"),NA())</f>
        <v/>
      </c>
      <c r="D169" s="22">
        <f>IFERROR(_xll.BDH(A169,"EQY_SH_OUT","-"&amp;Settings!$B$4&amp;"AW","-"&amp;Settings!$B$4&amp;"AW","days=a","fill=p"),NA())</f>
        <v/>
      </c>
      <c r="E169" s="23">
        <f>IFERROR((C169-D169)/D169,NA())</f>
        <v/>
      </c>
      <c r="F169" s="16">
        <f>IF(ISNUMBER(E169),IF(E169&lt;=Settings!$B$6,"BUYBACK ACTIVITY",""),"")</f>
        <v/>
      </c>
      <c r="G169" s="22">
        <f>IFERROR(_xll.BDP(A169,"VOLUME_AVG_30D"),NA())</f>
        <v/>
      </c>
      <c r="H169" s="22">
        <f>IFERROR(_xll.BDP(A169,"PX_VOLUME"),NA())</f>
        <v/>
      </c>
      <c r="I169" s="16">
        <f>IFERROR(H169/G169,NA())</f>
        <v/>
      </c>
      <c r="J169" s="16">
        <f>IF(ISNUMBER(I169),IF(I169&gt;=Settings!$B$7,"VOL SPIKE",""),"")</f>
        <v/>
      </c>
    </row>
    <row r="170">
      <c r="A170" s="16">
        <f>'Rest Universe'!A171</f>
        <v/>
      </c>
      <c r="B170" s="22">
        <f>IFERROR(_xll.BDP(A170,"NAME"),"")</f>
        <v/>
      </c>
      <c r="C170" s="22">
        <f>IFERROR(_xll.BDP(A170,"EQY_SH_OUT"),NA())</f>
        <v/>
      </c>
      <c r="D170" s="22">
        <f>IFERROR(_xll.BDH(A170,"EQY_SH_OUT","-"&amp;Settings!$B$4&amp;"AW","-"&amp;Settings!$B$4&amp;"AW","days=a","fill=p"),NA())</f>
        <v/>
      </c>
      <c r="E170" s="23">
        <f>IFERROR((C170-D170)/D170,NA())</f>
        <v/>
      </c>
      <c r="F170" s="16">
        <f>IF(ISNUMBER(E170),IF(E170&lt;=Settings!$B$6,"BUYBACK ACTIVITY",""),"")</f>
        <v/>
      </c>
      <c r="G170" s="22">
        <f>IFERROR(_xll.BDP(A170,"VOLUME_AVG_30D"),NA())</f>
        <v/>
      </c>
      <c r="H170" s="22">
        <f>IFERROR(_xll.BDP(A170,"PX_VOLUME"),NA())</f>
        <v/>
      </c>
      <c r="I170" s="16">
        <f>IFERROR(H170/G170,NA())</f>
        <v/>
      </c>
      <c r="J170" s="16">
        <f>IF(ISNUMBER(I170),IF(I170&gt;=Settings!$B$7,"VOL SPIKE",""),"")</f>
        <v/>
      </c>
    </row>
    <row r="171">
      <c r="A171" s="16">
        <f>'Rest Universe'!A172</f>
        <v/>
      </c>
      <c r="B171" s="22">
        <f>IFERROR(_xll.BDP(A171,"NAME"),"")</f>
        <v/>
      </c>
      <c r="C171" s="22">
        <f>IFERROR(_xll.BDP(A171,"EQY_SH_OUT"),NA())</f>
        <v/>
      </c>
      <c r="D171" s="22">
        <f>IFERROR(_xll.BDH(A171,"EQY_SH_OUT","-"&amp;Settings!$B$4&amp;"AW","-"&amp;Settings!$B$4&amp;"AW","days=a","fill=p"),NA())</f>
        <v/>
      </c>
      <c r="E171" s="23">
        <f>IFERROR((C171-D171)/D171,NA())</f>
        <v/>
      </c>
      <c r="F171" s="16">
        <f>IF(ISNUMBER(E171),IF(E171&lt;=Settings!$B$6,"BUYBACK ACTIVITY",""),"")</f>
        <v/>
      </c>
      <c r="G171" s="22">
        <f>IFERROR(_xll.BDP(A171,"VOLUME_AVG_30D"),NA())</f>
        <v/>
      </c>
      <c r="H171" s="22">
        <f>IFERROR(_xll.BDP(A171,"PX_VOLUME"),NA())</f>
        <v/>
      </c>
      <c r="I171" s="16">
        <f>IFERROR(H171/G171,NA())</f>
        <v/>
      </c>
      <c r="J171" s="16">
        <f>IF(ISNUMBER(I171),IF(I171&gt;=Settings!$B$7,"VOL SPIKE",""),"")</f>
        <v/>
      </c>
    </row>
    <row r="172">
      <c r="A172" s="16">
        <f>'Rest Universe'!A173</f>
        <v/>
      </c>
      <c r="B172" s="22">
        <f>IFERROR(_xll.BDP(A172,"NAME"),"")</f>
        <v/>
      </c>
      <c r="C172" s="22">
        <f>IFERROR(_xll.BDP(A172,"EQY_SH_OUT"),NA())</f>
        <v/>
      </c>
      <c r="D172" s="22">
        <f>IFERROR(_xll.BDH(A172,"EQY_SH_OUT","-"&amp;Settings!$B$4&amp;"AW","-"&amp;Settings!$B$4&amp;"AW","days=a","fill=p"),NA())</f>
        <v/>
      </c>
      <c r="E172" s="23">
        <f>IFERROR((C172-D172)/D172,NA())</f>
        <v/>
      </c>
      <c r="F172" s="16">
        <f>IF(ISNUMBER(E172),IF(E172&lt;=Settings!$B$6,"BUYBACK ACTIVITY",""),"")</f>
        <v/>
      </c>
      <c r="G172" s="22">
        <f>IFERROR(_xll.BDP(A172,"VOLUME_AVG_30D"),NA())</f>
        <v/>
      </c>
      <c r="H172" s="22">
        <f>IFERROR(_xll.BDP(A172,"PX_VOLUME"),NA())</f>
        <v/>
      </c>
      <c r="I172" s="16">
        <f>IFERROR(H172/G172,NA())</f>
        <v/>
      </c>
      <c r="J172" s="16">
        <f>IF(ISNUMBER(I172),IF(I172&gt;=Settings!$B$7,"VOL SPIKE",""),"")</f>
        <v/>
      </c>
    </row>
    <row r="173">
      <c r="A173" s="16">
        <f>'Rest Universe'!A174</f>
        <v/>
      </c>
      <c r="B173" s="22">
        <f>IFERROR(_xll.BDP(A173,"NAME"),"")</f>
        <v/>
      </c>
      <c r="C173" s="22">
        <f>IFERROR(_xll.BDP(A173,"EQY_SH_OUT"),NA())</f>
        <v/>
      </c>
      <c r="D173" s="22">
        <f>IFERROR(_xll.BDH(A173,"EQY_SH_OUT","-"&amp;Settings!$B$4&amp;"AW","-"&amp;Settings!$B$4&amp;"AW","days=a","fill=p"),NA())</f>
        <v/>
      </c>
      <c r="E173" s="23">
        <f>IFERROR((C173-D173)/D173,NA())</f>
        <v/>
      </c>
      <c r="F173" s="16">
        <f>IF(ISNUMBER(E173),IF(E173&lt;=Settings!$B$6,"BUYBACK ACTIVITY",""),"")</f>
        <v/>
      </c>
      <c r="G173" s="22">
        <f>IFERROR(_xll.BDP(A173,"VOLUME_AVG_30D"),NA())</f>
        <v/>
      </c>
      <c r="H173" s="22">
        <f>IFERROR(_xll.BDP(A173,"PX_VOLUME"),NA())</f>
        <v/>
      </c>
      <c r="I173" s="16">
        <f>IFERROR(H173/G173,NA())</f>
        <v/>
      </c>
      <c r="J173" s="16">
        <f>IF(ISNUMBER(I173),IF(I173&gt;=Settings!$B$7,"VOL SPIKE",""),"")</f>
        <v/>
      </c>
    </row>
    <row r="174">
      <c r="A174" s="16">
        <f>'Rest Universe'!A175</f>
        <v/>
      </c>
      <c r="B174" s="22">
        <f>IFERROR(_xll.BDP(A174,"NAME"),"")</f>
        <v/>
      </c>
      <c r="C174" s="22">
        <f>IFERROR(_xll.BDP(A174,"EQY_SH_OUT"),NA())</f>
        <v/>
      </c>
      <c r="D174" s="22">
        <f>IFERROR(_xll.BDH(A174,"EQY_SH_OUT","-"&amp;Settings!$B$4&amp;"AW","-"&amp;Settings!$B$4&amp;"AW","days=a","fill=p"),NA())</f>
        <v/>
      </c>
      <c r="E174" s="23">
        <f>IFERROR((C174-D174)/D174,NA())</f>
        <v/>
      </c>
      <c r="F174" s="16">
        <f>IF(ISNUMBER(E174),IF(E174&lt;=Settings!$B$6,"BUYBACK ACTIVITY",""),"")</f>
        <v/>
      </c>
      <c r="G174" s="22">
        <f>IFERROR(_xll.BDP(A174,"VOLUME_AVG_30D"),NA())</f>
        <v/>
      </c>
      <c r="H174" s="22">
        <f>IFERROR(_xll.BDP(A174,"PX_VOLUME"),NA())</f>
        <v/>
      </c>
      <c r="I174" s="16">
        <f>IFERROR(H174/G174,NA())</f>
        <v/>
      </c>
      <c r="J174" s="16">
        <f>IF(ISNUMBER(I174),IF(I174&gt;=Settings!$B$7,"VOL SPIKE",""),"")</f>
        <v/>
      </c>
    </row>
    <row r="175">
      <c r="A175" s="16">
        <f>'Rest Universe'!A176</f>
        <v/>
      </c>
      <c r="B175" s="22">
        <f>IFERROR(_xll.BDP(A175,"NAME"),"")</f>
        <v/>
      </c>
      <c r="C175" s="22">
        <f>IFERROR(_xll.BDP(A175,"EQY_SH_OUT"),NA())</f>
        <v/>
      </c>
      <c r="D175" s="22">
        <f>IFERROR(_xll.BDH(A175,"EQY_SH_OUT","-"&amp;Settings!$B$4&amp;"AW","-"&amp;Settings!$B$4&amp;"AW","days=a","fill=p"),NA())</f>
        <v/>
      </c>
      <c r="E175" s="23">
        <f>IFERROR((C175-D175)/D175,NA())</f>
        <v/>
      </c>
      <c r="F175" s="16">
        <f>IF(ISNUMBER(E175),IF(E175&lt;=Settings!$B$6,"BUYBACK ACTIVITY",""),"")</f>
        <v/>
      </c>
      <c r="G175" s="22">
        <f>IFERROR(_xll.BDP(A175,"VOLUME_AVG_30D"),NA())</f>
        <v/>
      </c>
      <c r="H175" s="22">
        <f>IFERROR(_xll.BDP(A175,"PX_VOLUME"),NA())</f>
        <v/>
      </c>
      <c r="I175" s="16">
        <f>IFERROR(H175/G175,NA())</f>
        <v/>
      </c>
      <c r="J175" s="16">
        <f>IF(ISNUMBER(I175),IF(I175&gt;=Settings!$B$7,"VOL SPIKE",""),"")</f>
        <v/>
      </c>
    </row>
    <row r="176">
      <c r="A176" s="16">
        <f>'Rest Universe'!A177</f>
        <v/>
      </c>
      <c r="B176" s="22">
        <f>IFERROR(_xll.BDP(A176,"NAME"),"")</f>
        <v/>
      </c>
      <c r="C176" s="22">
        <f>IFERROR(_xll.BDP(A176,"EQY_SH_OUT"),NA())</f>
        <v/>
      </c>
      <c r="D176" s="22">
        <f>IFERROR(_xll.BDH(A176,"EQY_SH_OUT","-"&amp;Settings!$B$4&amp;"AW","-"&amp;Settings!$B$4&amp;"AW","days=a","fill=p"),NA())</f>
        <v/>
      </c>
      <c r="E176" s="23">
        <f>IFERROR((C176-D176)/D176,NA())</f>
        <v/>
      </c>
      <c r="F176" s="16">
        <f>IF(ISNUMBER(E176),IF(E176&lt;=Settings!$B$6,"BUYBACK ACTIVITY",""),"")</f>
        <v/>
      </c>
      <c r="G176" s="22">
        <f>IFERROR(_xll.BDP(A176,"VOLUME_AVG_30D"),NA())</f>
        <v/>
      </c>
      <c r="H176" s="22">
        <f>IFERROR(_xll.BDP(A176,"PX_VOLUME"),NA())</f>
        <v/>
      </c>
      <c r="I176" s="16">
        <f>IFERROR(H176/G176,NA())</f>
        <v/>
      </c>
      <c r="J176" s="16">
        <f>IF(ISNUMBER(I176),IF(I176&gt;=Settings!$B$7,"VOL SPIKE",""),"")</f>
        <v/>
      </c>
    </row>
    <row r="177">
      <c r="A177" s="16">
        <f>'Rest Universe'!A178</f>
        <v/>
      </c>
      <c r="B177" s="22">
        <f>IFERROR(_xll.BDP(A177,"NAME"),"")</f>
        <v/>
      </c>
      <c r="C177" s="22">
        <f>IFERROR(_xll.BDP(A177,"EQY_SH_OUT"),NA())</f>
        <v/>
      </c>
      <c r="D177" s="22">
        <f>IFERROR(_xll.BDH(A177,"EQY_SH_OUT","-"&amp;Settings!$B$4&amp;"AW","-"&amp;Settings!$B$4&amp;"AW","days=a","fill=p"),NA())</f>
        <v/>
      </c>
      <c r="E177" s="23">
        <f>IFERROR((C177-D177)/D177,NA())</f>
        <v/>
      </c>
      <c r="F177" s="16">
        <f>IF(ISNUMBER(E177),IF(E177&lt;=Settings!$B$6,"BUYBACK ACTIVITY",""),"")</f>
        <v/>
      </c>
      <c r="G177" s="22">
        <f>IFERROR(_xll.BDP(A177,"VOLUME_AVG_30D"),NA())</f>
        <v/>
      </c>
      <c r="H177" s="22">
        <f>IFERROR(_xll.BDP(A177,"PX_VOLUME"),NA())</f>
        <v/>
      </c>
      <c r="I177" s="16">
        <f>IFERROR(H177/G177,NA())</f>
        <v/>
      </c>
      <c r="J177" s="16">
        <f>IF(ISNUMBER(I177),IF(I177&gt;=Settings!$B$7,"VOL SPIKE",""),"")</f>
        <v/>
      </c>
    </row>
    <row r="178">
      <c r="A178" s="16">
        <f>'Rest Universe'!A179</f>
        <v/>
      </c>
      <c r="B178" s="22">
        <f>IFERROR(_xll.BDP(A178,"NAME"),"")</f>
        <v/>
      </c>
      <c r="C178" s="22">
        <f>IFERROR(_xll.BDP(A178,"EQY_SH_OUT"),NA())</f>
        <v/>
      </c>
      <c r="D178" s="22">
        <f>IFERROR(_xll.BDH(A178,"EQY_SH_OUT","-"&amp;Settings!$B$4&amp;"AW","-"&amp;Settings!$B$4&amp;"AW","days=a","fill=p"),NA())</f>
        <v/>
      </c>
      <c r="E178" s="23">
        <f>IFERROR((C178-D178)/D178,NA())</f>
        <v/>
      </c>
      <c r="F178" s="16">
        <f>IF(ISNUMBER(E178),IF(E178&lt;=Settings!$B$6,"BUYBACK ACTIVITY",""),"")</f>
        <v/>
      </c>
      <c r="G178" s="22">
        <f>IFERROR(_xll.BDP(A178,"VOLUME_AVG_30D"),NA())</f>
        <v/>
      </c>
      <c r="H178" s="22">
        <f>IFERROR(_xll.BDP(A178,"PX_VOLUME"),NA())</f>
        <v/>
      </c>
      <c r="I178" s="16">
        <f>IFERROR(H178/G178,NA())</f>
        <v/>
      </c>
      <c r="J178" s="16">
        <f>IF(ISNUMBER(I178),IF(I178&gt;=Settings!$B$7,"VOL SPIKE",""),"")</f>
        <v/>
      </c>
    </row>
    <row r="179">
      <c r="A179" s="16">
        <f>'Rest Universe'!A180</f>
        <v/>
      </c>
      <c r="B179" s="22">
        <f>IFERROR(_xll.BDP(A179,"NAME"),"")</f>
        <v/>
      </c>
      <c r="C179" s="22">
        <f>IFERROR(_xll.BDP(A179,"EQY_SH_OUT"),NA())</f>
        <v/>
      </c>
      <c r="D179" s="22">
        <f>IFERROR(_xll.BDH(A179,"EQY_SH_OUT","-"&amp;Settings!$B$4&amp;"AW","-"&amp;Settings!$B$4&amp;"AW","days=a","fill=p"),NA())</f>
        <v/>
      </c>
      <c r="E179" s="23">
        <f>IFERROR((C179-D179)/D179,NA())</f>
        <v/>
      </c>
      <c r="F179" s="16">
        <f>IF(ISNUMBER(E179),IF(E179&lt;=Settings!$B$6,"BUYBACK ACTIVITY",""),"")</f>
        <v/>
      </c>
      <c r="G179" s="22">
        <f>IFERROR(_xll.BDP(A179,"VOLUME_AVG_30D"),NA())</f>
        <v/>
      </c>
      <c r="H179" s="22">
        <f>IFERROR(_xll.BDP(A179,"PX_VOLUME"),NA())</f>
        <v/>
      </c>
      <c r="I179" s="16">
        <f>IFERROR(H179/G179,NA())</f>
        <v/>
      </c>
      <c r="J179" s="16">
        <f>IF(ISNUMBER(I179),IF(I179&gt;=Settings!$B$7,"VOL SPIKE",""),"")</f>
        <v/>
      </c>
    </row>
    <row r="180">
      <c r="A180" s="16">
        <f>'Rest Universe'!A181</f>
        <v/>
      </c>
      <c r="B180" s="22">
        <f>IFERROR(_xll.BDP(A180,"NAME"),"")</f>
        <v/>
      </c>
      <c r="C180" s="22">
        <f>IFERROR(_xll.BDP(A180,"EQY_SH_OUT"),NA())</f>
        <v/>
      </c>
      <c r="D180" s="22">
        <f>IFERROR(_xll.BDH(A180,"EQY_SH_OUT","-"&amp;Settings!$B$4&amp;"AW","-"&amp;Settings!$B$4&amp;"AW","days=a","fill=p"),NA())</f>
        <v/>
      </c>
      <c r="E180" s="23">
        <f>IFERROR((C180-D180)/D180,NA())</f>
        <v/>
      </c>
      <c r="F180" s="16">
        <f>IF(ISNUMBER(E180),IF(E180&lt;=Settings!$B$6,"BUYBACK ACTIVITY",""),"")</f>
        <v/>
      </c>
      <c r="G180" s="22">
        <f>IFERROR(_xll.BDP(A180,"VOLUME_AVG_30D"),NA())</f>
        <v/>
      </c>
      <c r="H180" s="22">
        <f>IFERROR(_xll.BDP(A180,"PX_VOLUME"),NA())</f>
        <v/>
      </c>
      <c r="I180" s="16">
        <f>IFERROR(H180/G180,NA())</f>
        <v/>
      </c>
      <c r="J180" s="16">
        <f>IF(ISNUMBER(I180),IF(I180&gt;=Settings!$B$7,"VOL SPIKE",""),"")</f>
        <v/>
      </c>
    </row>
    <row r="181">
      <c r="A181" s="16">
        <f>'Rest Universe'!A182</f>
        <v/>
      </c>
      <c r="B181" s="22">
        <f>IFERROR(_xll.BDP(A181,"NAME"),"")</f>
        <v/>
      </c>
      <c r="C181" s="22">
        <f>IFERROR(_xll.BDP(A181,"EQY_SH_OUT"),NA())</f>
        <v/>
      </c>
      <c r="D181" s="22">
        <f>IFERROR(_xll.BDH(A181,"EQY_SH_OUT","-"&amp;Settings!$B$4&amp;"AW","-"&amp;Settings!$B$4&amp;"AW","days=a","fill=p"),NA())</f>
        <v/>
      </c>
      <c r="E181" s="23">
        <f>IFERROR((C181-D181)/D181,NA())</f>
        <v/>
      </c>
      <c r="F181" s="16">
        <f>IF(ISNUMBER(E181),IF(E181&lt;=Settings!$B$6,"BUYBACK ACTIVITY",""),"")</f>
        <v/>
      </c>
      <c r="G181" s="22">
        <f>IFERROR(_xll.BDP(A181,"VOLUME_AVG_30D"),NA())</f>
        <v/>
      </c>
      <c r="H181" s="22">
        <f>IFERROR(_xll.BDP(A181,"PX_VOLUME"),NA())</f>
        <v/>
      </c>
      <c r="I181" s="16">
        <f>IFERROR(H181/G181,NA())</f>
        <v/>
      </c>
      <c r="J181" s="16">
        <f>IF(ISNUMBER(I181),IF(I181&gt;=Settings!$B$7,"VOL SPIKE",""),"")</f>
        <v/>
      </c>
    </row>
    <row r="182">
      <c r="A182" s="16">
        <f>'Rest Universe'!A183</f>
        <v/>
      </c>
      <c r="B182" s="22">
        <f>IFERROR(_xll.BDP(A182,"NAME"),"")</f>
        <v/>
      </c>
      <c r="C182" s="22">
        <f>IFERROR(_xll.BDP(A182,"EQY_SH_OUT"),NA())</f>
        <v/>
      </c>
      <c r="D182" s="22">
        <f>IFERROR(_xll.BDH(A182,"EQY_SH_OUT","-"&amp;Settings!$B$4&amp;"AW","-"&amp;Settings!$B$4&amp;"AW","days=a","fill=p"),NA())</f>
        <v/>
      </c>
      <c r="E182" s="23">
        <f>IFERROR((C182-D182)/D182,NA())</f>
        <v/>
      </c>
      <c r="F182" s="16">
        <f>IF(ISNUMBER(E182),IF(E182&lt;=Settings!$B$6,"BUYBACK ACTIVITY",""),"")</f>
        <v/>
      </c>
      <c r="G182" s="22">
        <f>IFERROR(_xll.BDP(A182,"VOLUME_AVG_30D"),NA())</f>
        <v/>
      </c>
      <c r="H182" s="22">
        <f>IFERROR(_xll.BDP(A182,"PX_VOLUME"),NA())</f>
        <v/>
      </c>
      <c r="I182" s="16">
        <f>IFERROR(H182/G182,NA())</f>
        <v/>
      </c>
      <c r="J182" s="16">
        <f>IF(ISNUMBER(I182),IF(I182&gt;=Settings!$B$7,"VOL SPIKE",""),"")</f>
        <v/>
      </c>
    </row>
    <row r="183">
      <c r="A183" s="16">
        <f>'Rest Universe'!A184</f>
        <v/>
      </c>
      <c r="B183" s="22">
        <f>IFERROR(_xll.BDP(A183,"NAME"),"")</f>
        <v/>
      </c>
      <c r="C183" s="22">
        <f>IFERROR(_xll.BDP(A183,"EQY_SH_OUT"),NA())</f>
        <v/>
      </c>
      <c r="D183" s="22">
        <f>IFERROR(_xll.BDH(A183,"EQY_SH_OUT","-"&amp;Settings!$B$4&amp;"AW","-"&amp;Settings!$B$4&amp;"AW","days=a","fill=p"),NA())</f>
        <v/>
      </c>
      <c r="E183" s="23">
        <f>IFERROR((C183-D183)/D183,NA())</f>
        <v/>
      </c>
      <c r="F183" s="16">
        <f>IF(ISNUMBER(E183),IF(E183&lt;=Settings!$B$6,"BUYBACK ACTIVITY",""),"")</f>
        <v/>
      </c>
      <c r="G183" s="22">
        <f>IFERROR(_xll.BDP(A183,"VOLUME_AVG_30D"),NA())</f>
        <v/>
      </c>
      <c r="H183" s="22">
        <f>IFERROR(_xll.BDP(A183,"PX_VOLUME"),NA())</f>
        <v/>
      </c>
      <c r="I183" s="16">
        <f>IFERROR(H183/G183,NA())</f>
        <v/>
      </c>
      <c r="J183" s="16">
        <f>IF(ISNUMBER(I183),IF(I183&gt;=Settings!$B$7,"VOL SPIKE",""),"")</f>
        <v/>
      </c>
    </row>
    <row r="184">
      <c r="A184" s="16">
        <f>'Rest Universe'!A185</f>
        <v/>
      </c>
      <c r="B184" s="22">
        <f>IFERROR(_xll.BDP(A184,"NAME"),"")</f>
        <v/>
      </c>
      <c r="C184" s="22">
        <f>IFERROR(_xll.BDP(A184,"EQY_SH_OUT"),NA())</f>
        <v/>
      </c>
      <c r="D184" s="22">
        <f>IFERROR(_xll.BDH(A184,"EQY_SH_OUT","-"&amp;Settings!$B$4&amp;"AW","-"&amp;Settings!$B$4&amp;"AW","days=a","fill=p"),NA())</f>
        <v/>
      </c>
      <c r="E184" s="23">
        <f>IFERROR((C184-D184)/D184,NA())</f>
        <v/>
      </c>
      <c r="F184" s="16">
        <f>IF(ISNUMBER(E184),IF(E184&lt;=Settings!$B$6,"BUYBACK ACTIVITY",""),"")</f>
        <v/>
      </c>
      <c r="G184" s="22">
        <f>IFERROR(_xll.BDP(A184,"VOLUME_AVG_30D"),NA())</f>
        <v/>
      </c>
      <c r="H184" s="22">
        <f>IFERROR(_xll.BDP(A184,"PX_VOLUME"),NA())</f>
        <v/>
      </c>
      <c r="I184" s="16">
        <f>IFERROR(H184/G184,NA())</f>
        <v/>
      </c>
      <c r="J184" s="16">
        <f>IF(ISNUMBER(I184),IF(I184&gt;=Settings!$B$7,"VOL SPIKE",""),"")</f>
        <v/>
      </c>
    </row>
    <row r="185">
      <c r="A185" s="16">
        <f>'Rest Universe'!A186</f>
        <v/>
      </c>
      <c r="B185" s="22">
        <f>IFERROR(_xll.BDP(A185,"NAME"),"")</f>
        <v/>
      </c>
      <c r="C185" s="22">
        <f>IFERROR(_xll.BDP(A185,"EQY_SH_OUT"),NA())</f>
        <v/>
      </c>
      <c r="D185" s="22">
        <f>IFERROR(_xll.BDH(A185,"EQY_SH_OUT","-"&amp;Settings!$B$4&amp;"AW","-"&amp;Settings!$B$4&amp;"AW","days=a","fill=p"),NA())</f>
        <v/>
      </c>
      <c r="E185" s="23">
        <f>IFERROR((C185-D185)/D185,NA())</f>
        <v/>
      </c>
      <c r="F185" s="16">
        <f>IF(ISNUMBER(E185),IF(E185&lt;=Settings!$B$6,"BUYBACK ACTIVITY",""),"")</f>
        <v/>
      </c>
      <c r="G185" s="22">
        <f>IFERROR(_xll.BDP(A185,"VOLUME_AVG_30D"),NA())</f>
        <v/>
      </c>
      <c r="H185" s="22">
        <f>IFERROR(_xll.BDP(A185,"PX_VOLUME"),NA())</f>
        <v/>
      </c>
      <c r="I185" s="16">
        <f>IFERROR(H185/G185,NA())</f>
        <v/>
      </c>
      <c r="J185" s="16">
        <f>IF(ISNUMBER(I185),IF(I185&gt;=Settings!$B$7,"VOL SPIKE",""),"")</f>
        <v/>
      </c>
    </row>
    <row r="186">
      <c r="A186" s="16">
        <f>'Rest Universe'!A187</f>
        <v/>
      </c>
      <c r="B186" s="22">
        <f>IFERROR(_xll.BDP(A186,"NAME"),"")</f>
        <v/>
      </c>
      <c r="C186" s="22">
        <f>IFERROR(_xll.BDP(A186,"EQY_SH_OUT"),NA())</f>
        <v/>
      </c>
      <c r="D186" s="22">
        <f>IFERROR(_xll.BDH(A186,"EQY_SH_OUT","-"&amp;Settings!$B$4&amp;"AW","-"&amp;Settings!$B$4&amp;"AW","days=a","fill=p"),NA())</f>
        <v/>
      </c>
      <c r="E186" s="23">
        <f>IFERROR((C186-D186)/D186,NA())</f>
        <v/>
      </c>
      <c r="F186" s="16">
        <f>IF(ISNUMBER(E186),IF(E186&lt;=Settings!$B$6,"BUYBACK ACTIVITY",""),"")</f>
        <v/>
      </c>
      <c r="G186" s="22">
        <f>IFERROR(_xll.BDP(A186,"VOLUME_AVG_30D"),NA())</f>
        <v/>
      </c>
      <c r="H186" s="22">
        <f>IFERROR(_xll.BDP(A186,"PX_VOLUME"),NA())</f>
        <v/>
      </c>
      <c r="I186" s="16">
        <f>IFERROR(H186/G186,NA())</f>
        <v/>
      </c>
      <c r="J186" s="16">
        <f>IF(ISNUMBER(I186),IF(I186&gt;=Settings!$B$7,"VOL SPIKE",""),"")</f>
        <v/>
      </c>
    </row>
    <row r="187">
      <c r="A187" s="16">
        <f>'Rest Universe'!A188</f>
        <v/>
      </c>
      <c r="B187" s="22">
        <f>IFERROR(_xll.BDP(A187,"NAME"),"")</f>
        <v/>
      </c>
      <c r="C187" s="22">
        <f>IFERROR(_xll.BDP(A187,"EQY_SH_OUT"),NA())</f>
        <v/>
      </c>
      <c r="D187" s="22">
        <f>IFERROR(_xll.BDH(A187,"EQY_SH_OUT","-"&amp;Settings!$B$4&amp;"AW","-"&amp;Settings!$B$4&amp;"AW","days=a","fill=p"),NA())</f>
        <v/>
      </c>
      <c r="E187" s="23">
        <f>IFERROR((C187-D187)/D187,NA())</f>
        <v/>
      </c>
      <c r="F187" s="16">
        <f>IF(ISNUMBER(E187),IF(E187&lt;=Settings!$B$6,"BUYBACK ACTIVITY",""),"")</f>
        <v/>
      </c>
      <c r="G187" s="22">
        <f>IFERROR(_xll.BDP(A187,"VOLUME_AVG_30D"),NA())</f>
        <v/>
      </c>
      <c r="H187" s="22">
        <f>IFERROR(_xll.BDP(A187,"PX_VOLUME"),NA())</f>
        <v/>
      </c>
      <c r="I187" s="16">
        <f>IFERROR(H187/G187,NA())</f>
        <v/>
      </c>
      <c r="J187" s="16">
        <f>IF(ISNUMBER(I187),IF(I187&gt;=Settings!$B$7,"VOL SPIKE",""),"")</f>
        <v/>
      </c>
    </row>
    <row r="188">
      <c r="A188" s="16">
        <f>'Rest Universe'!A189</f>
        <v/>
      </c>
      <c r="B188" s="22">
        <f>IFERROR(_xll.BDP(A188,"NAME"),"")</f>
        <v/>
      </c>
      <c r="C188" s="22">
        <f>IFERROR(_xll.BDP(A188,"EQY_SH_OUT"),NA())</f>
        <v/>
      </c>
      <c r="D188" s="22">
        <f>IFERROR(_xll.BDH(A188,"EQY_SH_OUT","-"&amp;Settings!$B$4&amp;"AW","-"&amp;Settings!$B$4&amp;"AW","days=a","fill=p"),NA())</f>
        <v/>
      </c>
      <c r="E188" s="23">
        <f>IFERROR((C188-D188)/D188,NA())</f>
        <v/>
      </c>
      <c r="F188" s="16">
        <f>IF(ISNUMBER(E188),IF(E188&lt;=Settings!$B$6,"BUYBACK ACTIVITY",""),"")</f>
        <v/>
      </c>
      <c r="G188" s="22">
        <f>IFERROR(_xll.BDP(A188,"VOLUME_AVG_30D"),NA())</f>
        <v/>
      </c>
      <c r="H188" s="22">
        <f>IFERROR(_xll.BDP(A188,"PX_VOLUME"),NA())</f>
        <v/>
      </c>
      <c r="I188" s="16">
        <f>IFERROR(H188/G188,NA())</f>
        <v/>
      </c>
      <c r="J188" s="16">
        <f>IF(ISNUMBER(I188),IF(I188&gt;=Settings!$B$7,"VOL SPIKE",""),"")</f>
        <v/>
      </c>
    </row>
    <row r="189">
      <c r="A189" s="16">
        <f>'Rest Universe'!A190</f>
        <v/>
      </c>
      <c r="B189" s="22">
        <f>IFERROR(_xll.BDP(A189,"NAME"),"")</f>
        <v/>
      </c>
      <c r="C189" s="22">
        <f>IFERROR(_xll.BDP(A189,"EQY_SH_OUT"),NA())</f>
        <v/>
      </c>
      <c r="D189" s="22">
        <f>IFERROR(_xll.BDH(A189,"EQY_SH_OUT","-"&amp;Settings!$B$4&amp;"AW","-"&amp;Settings!$B$4&amp;"AW","days=a","fill=p"),NA())</f>
        <v/>
      </c>
      <c r="E189" s="23">
        <f>IFERROR((C189-D189)/D189,NA())</f>
        <v/>
      </c>
      <c r="F189" s="16">
        <f>IF(ISNUMBER(E189),IF(E189&lt;=Settings!$B$6,"BUYBACK ACTIVITY",""),"")</f>
        <v/>
      </c>
      <c r="G189" s="22">
        <f>IFERROR(_xll.BDP(A189,"VOLUME_AVG_30D"),NA())</f>
        <v/>
      </c>
      <c r="H189" s="22">
        <f>IFERROR(_xll.BDP(A189,"PX_VOLUME"),NA())</f>
        <v/>
      </c>
      <c r="I189" s="16">
        <f>IFERROR(H189/G189,NA())</f>
        <v/>
      </c>
      <c r="J189" s="16">
        <f>IF(ISNUMBER(I189),IF(I189&gt;=Settings!$B$7,"VOL SPIKE",""),"")</f>
        <v/>
      </c>
    </row>
    <row r="190">
      <c r="A190" s="16">
        <f>'Rest Universe'!A191</f>
        <v/>
      </c>
      <c r="B190" s="22">
        <f>IFERROR(_xll.BDP(A190,"NAME"),"")</f>
        <v/>
      </c>
      <c r="C190" s="22">
        <f>IFERROR(_xll.BDP(A190,"EQY_SH_OUT"),NA())</f>
        <v/>
      </c>
      <c r="D190" s="22">
        <f>IFERROR(_xll.BDH(A190,"EQY_SH_OUT","-"&amp;Settings!$B$4&amp;"AW","-"&amp;Settings!$B$4&amp;"AW","days=a","fill=p"),NA())</f>
        <v/>
      </c>
      <c r="E190" s="23">
        <f>IFERROR((C190-D190)/D190,NA())</f>
        <v/>
      </c>
      <c r="F190" s="16">
        <f>IF(ISNUMBER(E190),IF(E190&lt;=Settings!$B$6,"BUYBACK ACTIVITY",""),"")</f>
        <v/>
      </c>
      <c r="G190" s="22">
        <f>IFERROR(_xll.BDP(A190,"VOLUME_AVG_30D"),NA())</f>
        <v/>
      </c>
      <c r="H190" s="22">
        <f>IFERROR(_xll.BDP(A190,"PX_VOLUME"),NA())</f>
        <v/>
      </c>
      <c r="I190" s="16">
        <f>IFERROR(H190/G190,NA())</f>
        <v/>
      </c>
      <c r="J190" s="16">
        <f>IF(ISNUMBER(I190),IF(I190&gt;=Settings!$B$7,"VOL SPIKE",""),"")</f>
        <v/>
      </c>
    </row>
    <row r="191">
      <c r="A191" s="16">
        <f>'Rest Universe'!A192</f>
        <v/>
      </c>
      <c r="B191" s="22">
        <f>IFERROR(_xll.BDP(A191,"NAME"),"")</f>
        <v/>
      </c>
      <c r="C191" s="22">
        <f>IFERROR(_xll.BDP(A191,"EQY_SH_OUT"),NA())</f>
        <v/>
      </c>
      <c r="D191" s="22">
        <f>IFERROR(_xll.BDH(A191,"EQY_SH_OUT","-"&amp;Settings!$B$4&amp;"AW","-"&amp;Settings!$B$4&amp;"AW","days=a","fill=p"),NA())</f>
        <v/>
      </c>
      <c r="E191" s="23">
        <f>IFERROR((C191-D191)/D191,NA())</f>
        <v/>
      </c>
      <c r="F191" s="16">
        <f>IF(ISNUMBER(E191),IF(E191&lt;=Settings!$B$6,"BUYBACK ACTIVITY",""),"")</f>
        <v/>
      </c>
      <c r="G191" s="22">
        <f>IFERROR(_xll.BDP(A191,"VOLUME_AVG_30D"),NA())</f>
        <v/>
      </c>
      <c r="H191" s="22">
        <f>IFERROR(_xll.BDP(A191,"PX_VOLUME"),NA())</f>
        <v/>
      </c>
      <c r="I191" s="16">
        <f>IFERROR(H191/G191,NA())</f>
        <v/>
      </c>
      <c r="J191" s="16">
        <f>IF(ISNUMBER(I191),IF(I191&gt;=Settings!$B$7,"VOL SPIKE",""),"")</f>
        <v/>
      </c>
    </row>
    <row r="192">
      <c r="A192" s="16">
        <f>'Rest Universe'!A193</f>
        <v/>
      </c>
      <c r="B192" s="22">
        <f>IFERROR(_xll.BDP(A192,"NAME"),"")</f>
        <v/>
      </c>
      <c r="C192" s="22">
        <f>IFERROR(_xll.BDP(A192,"EQY_SH_OUT"),NA())</f>
        <v/>
      </c>
      <c r="D192" s="22">
        <f>IFERROR(_xll.BDH(A192,"EQY_SH_OUT","-"&amp;Settings!$B$4&amp;"AW","-"&amp;Settings!$B$4&amp;"AW","days=a","fill=p"),NA())</f>
        <v/>
      </c>
      <c r="E192" s="23">
        <f>IFERROR((C192-D192)/D192,NA())</f>
        <v/>
      </c>
      <c r="F192" s="16">
        <f>IF(ISNUMBER(E192),IF(E192&lt;=Settings!$B$6,"BUYBACK ACTIVITY",""),"")</f>
        <v/>
      </c>
      <c r="G192" s="22">
        <f>IFERROR(_xll.BDP(A192,"VOLUME_AVG_30D"),NA())</f>
        <v/>
      </c>
      <c r="H192" s="22">
        <f>IFERROR(_xll.BDP(A192,"PX_VOLUME"),NA())</f>
        <v/>
      </c>
      <c r="I192" s="16">
        <f>IFERROR(H192/G192,NA())</f>
        <v/>
      </c>
      <c r="J192" s="16">
        <f>IF(ISNUMBER(I192),IF(I192&gt;=Settings!$B$7,"VOL SPIKE",""),"")</f>
        <v/>
      </c>
    </row>
    <row r="193">
      <c r="A193" s="16">
        <f>'Rest Universe'!A194</f>
        <v/>
      </c>
      <c r="B193" s="22">
        <f>IFERROR(_xll.BDP(A193,"NAME"),"")</f>
        <v/>
      </c>
      <c r="C193" s="22">
        <f>IFERROR(_xll.BDP(A193,"EQY_SH_OUT"),NA())</f>
        <v/>
      </c>
      <c r="D193" s="22">
        <f>IFERROR(_xll.BDH(A193,"EQY_SH_OUT","-"&amp;Settings!$B$4&amp;"AW","-"&amp;Settings!$B$4&amp;"AW","days=a","fill=p"),NA())</f>
        <v/>
      </c>
      <c r="E193" s="23">
        <f>IFERROR((C193-D193)/D193,NA())</f>
        <v/>
      </c>
      <c r="F193" s="16">
        <f>IF(ISNUMBER(E193),IF(E193&lt;=Settings!$B$6,"BUYBACK ACTIVITY",""),"")</f>
        <v/>
      </c>
      <c r="G193" s="22">
        <f>IFERROR(_xll.BDP(A193,"VOLUME_AVG_30D"),NA())</f>
        <v/>
      </c>
      <c r="H193" s="22">
        <f>IFERROR(_xll.BDP(A193,"PX_VOLUME"),NA())</f>
        <v/>
      </c>
      <c r="I193" s="16">
        <f>IFERROR(H193/G193,NA())</f>
        <v/>
      </c>
      <c r="J193" s="16">
        <f>IF(ISNUMBER(I193),IF(I193&gt;=Settings!$B$7,"VOL SPIKE",""),"")</f>
        <v/>
      </c>
    </row>
    <row r="194">
      <c r="A194" s="16">
        <f>'Rest Universe'!A195</f>
        <v/>
      </c>
      <c r="B194" s="22">
        <f>IFERROR(_xll.BDP(A194,"NAME"),"")</f>
        <v/>
      </c>
      <c r="C194" s="22">
        <f>IFERROR(_xll.BDP(A194,"EQY_SH_OUT"),NA())</f>
        <v/>
      </c>
      <c r="D194" s="22">
        <f>IFERROR(_xll.BDH(A194,"EQY_SH_OUT","-"&amp;Settings!$B$4&amp;"AW","-"&amp;Settings!$B$4&amp;"AW","days=a","fill=p"),NA())</f>
        <v/>
      </c>
      <c r="E194" s="23">
        <f>IFERROR((C194-D194)/D194,NA())</f>
        <v/>
      </c>
      <c r="F194" s="16">
        <f>IF(ISNUMBER(E194),IF(E194&lt;=Settings!$B$6,"BUYBACK ACTIVITY",""),"")</f>
        <v/>
      </c>
      <c r="G194" s="22">
        <f>IFERROR(_xll.BDP(A194,"VOLUME_AVG_30D"),NA())</f>
        <v/>
      </c>
      <c r="H194" s="22">
        <f>IFERROR(_xll.BDP(A194,"PX_VOLUME"),NA())</f>
        <v/>
      </c>
      <c r="I194" s="16">
        <f>IFERROR(H194/G194,NA())</f>
        <v/>
      </c>
      <c r="J194" s="16">
        <f>IF(ISNUMBER(I194),IF(I194&gt;=Settings!$B$7,"VOL SPIKE",""),"")</f>
        <v/>
      </c>
    </row>
    <row r="195">
      <c r="A195" s="16">
        <f>'Rest Universe'!A196</f>
        <v/>
      </c>
      <c r="B195" s="22">
        <f>IFERROR(_xll.BDP(A195,"NAME"),"")</f>
        <v/>
      </c>
      <c r="C195" s="22">
        <f>IFERROR(_xll.BDP(A195,"EQY_SH_OUT"),NA())</f>
        <v/>
      </c>
      <c r="D195" s="22">
        <f>IFERROR(_xll.BDH(A195,"EQY_SH_OUT","-"&amp;Settings!$B$4&amp;"AW","-"&amp;Settings!$B$4&amp;"AW","days=a","fill=p"),NA())</f>
        <v/>
      </c>
      <c r="E195" s="23">
        <f>IFERROR((C195-D195)/D195,NA())</f>
        <v/>
      </c>
      <c r="F195" s="16">
        <f>IF(ISNUMBER(E195),IF(E195&lt;=Settings!$B$6,"BUYBACK ACTIVITY",""),"")</f>
        <v/>
      </c>
      <c r="G195" s="22">
        <f>IFERROR(_xll.BDP(A195,"VOLUME_AVG_30D"),NA())</f>
        <v/>
      </c>
      <c r="H195" s="22">
        <f>IFERROR(_xll.BDP(A195,"PX_VOLUME"),NA())</f>
        <v/>
      </c>
      <c r="I195" s="16">
        <f>IFERROR(H195/G195,NA())</f>
        <v/>
      </c>
      <c r="J195" s="16">
        <f>IF(ISNUMBER(I195),IF(I195&gt;=Settings!$B$7,"VOL SPIKE",""),"")</f>
        <v/>
      </c>
    </row>
    <row r="196">
      <c r="A196" s="16">
        <f>'Rest Universe'!A197</f>
        <v/>
      </c>
      <c r="B196" s="22">
        <f>IFERROR(_xll.BDP(A196,"NAME"),"")</f>
        <v/>
      </c>
      <c r="C196" s="22">
        <f>IFERROR(_xll.BDP(A196,"EQY_SH_OUT"),NA())</f>
        <v/>
      </c>
      <c r="D196" s="22">
        <f>IFERROR(_xll.BDH(A196,"EQY_SH_OUT","-"&amp;Settings!$B$4&amp;"AW","-"&amp;Settings!$B$4&amp;"AW","days=a","fill=p"),NA())</f>
        <v/>
      </c>
      <c r="E196" s="23">
        <f>IFERROR((C196-D196)/D196,NA())</f>
        <v/>
      </c>
      <c r="F196" s="16">
        <f>IF(ISNUMBER(E196),IF(E196&lt;=Settings!$B$6,"BUYBACK ACTIVITY",""),"")</f>
        <v/>
      </c>
      <c r="G196" s="22">
        <f>IFERROR(_xll.BDP(A196,"VOLUME_AVG_30D"),NA())</f>
        <v/>
      </c>
      <c r="H196" s="22">
        <f>IFERROR(_xll.BDP(A196,"PX_VOLUME"),NA())</f>
        <v/>
      </c>
      <c r="I196" s="16">
        <f>IFERROR(H196/G196,NA())</f>
        <v/>
      </c>
      <c r="J196" s="16">
        <f>IF(ISNUMBER(I196),IF(I196&gt;=Settings!$B$7,"VOL SPIKE",""),"")</f>
        <v/>
      </c>
    </row>
    <row r="197">
      <c r="A197" s="16">
        <f>'Rest Universe'!A198</f>
        <v/>
      </c>
      <c r="B197" s="22">
        <f>IFERROR(_xll.BDP(A197,"NAME"),"")</f>
        <v/>
      </c>
      <c r="C197" s="22">
        <f>IFERROR(_xll.BDP(A197,"EQY_SH_OUT"),NA())</f>
        <v/>
      </c>
      <c r="D197" s="22">
        <f>IFERROR(_xll.BDH(A197,"EQY_SH_OUT","-"&amp;Settings!$B$4&amp;"AW","-"&amp;Settings!$B$4&amp;"AW","days=a","fill=p"),NA())</f>
        <v/>
      </c>
      <c r="E197" s="23">
        <f>IFERROR((C197-D197)/D197,NA())</f>
        <v/>
      </c>
      <c r="F197" s="16">
        <f>IF(ISNUMBER(E197),IF(E197&lt;=Settings!$B$6,"BUYBACK ACTIVITY",""),"")</f>
        <v/>
      </c>
      <c r="G197" s="22">
        <f>IFERROR(_xll.BDP(A197,"VOLUME_AVG_30D"),NA())</f>
        <v/>
      </c>
      <c r="H197" s="22">
        <f>IFERROR(_xll.BDP(A197,"PX_VOLUME"),NA())</f>
        <v/>
      </c>
      <c r="I197" s="16">
        <f>IFERROR(H197/G197,NA())</f>
        <v/>
      </c>
      <c r="J197" s="16">
        <f>IF(ISNUMBER(I197),IF(I197&gt;=Settings!$B$7,"VOL SPIKE",""),"")</f>
        <v/>
      </c>
    </row>
    <row r="198">
      <c r="A198" s="16">
        <f>'Rest Universe'!A199</f>
        <v/>
      </c>
      <c r="B198" s="22">
        <f>IFERROR(_xll.BDP(A198,"NAME"),"")</f>
        <v/>
      </c>
      <c r="C198" s="22">
        <f>IFERROR(_xll.BDP(A198,"EQY_SH_OUT"),NA())</f>
        <v/>
      </c>
      <c r="D198" s="22">
        <f>IFERROR(_xll.BDH(A198,"EQY_SH_OUT","-"&amp;Settings!$B$4&amp;"AW","-"&amp;Settings!$B$4&amp;"AW","days=a","fill=p"),NA())</f>
        <v/>
      </c>
      <c r="E198" s="23">
        <f>IFERROR((C198-D198)/D198,NA())</f>
        <v/>
      </c>
      <c r="F198" s="16">
        <f>IF(ISNUMBER(E198),IF(E198&lt;=Settings!$B$6,"BUYBACK ACTIVITY",""),"")</f>
        <v/>
      </c>
      <c r="G198" s="22">
        <f>IFERROR(_xll.BDP(A198,"VOLUME_AVG_30D"),NA())</f>
        <v/>
      </c>
      <c r="H198" s="22">
        <f>IFERROR(_xll.BDP(A198,"PX_VOLUME"),NA())</f>
        <v/>
      </c>
      <c r="I198" s="16">
        <f>IFERROR(H198/G198,NA())</f>
        <v/>
      </c>
      <c r="J198" s="16">
        <f>IF(ISNUMBER(I198),IF(I198&gt;=Settings!$B$7,"VOL SPIKE",""),"")</f>
        <v/>
      </c>
    </row>
    <row r="199">
      <c r="A199" s="16">
        <f>'Rest Universe'!A200</f>
        <v/>
      </c>
      <c r="B199" s="22">
        <f>IFERROR(_xll.BDP(A199,"NAME"),"")</f>
        <v/>
      </c>
      <c r="C199" s="22">
        <f>IFERROR(_xll.BDP(A199,"EQY_SH_OUT"),NA())</f>
        <v/>
      </c>
      <c r="D199" s="22">
        <f>IFERROR(_xll.BDH(A199,"EQY_SH_OUT","-"&amp;Settings!$B$4&amp;"AW","-"&amp;Settings!$B$4&amp;"AW","days=a","fill=p"),NA())</f>
        <v/>
      </c>
      <c r="E199" s="23">
        <f>IFERROR((C199-D199)/D199,NA())</f>
        <v/>
      </c>
      <c r="F199" s="16">
        <f>IF(ISNUMBER(E199),IF(E199&lt;=Settings!$B$6,"BUYBACK ACTIVITY",""),"")</f>
        <v/>
      </c>
      <c r="G199" s="22">
        <f>IFERROR(_xll.BDP(A199,"VOLUME_AVG_30D"),NA())</f>
        <v/>
      </c>
      <c r="H199" s="22">
        <f>IFERROR(_xll.BDP(A199,"PX_VOLUME"),NA())</f>
        <v/>
      </c>
      <c r="I199" s="16">
        <f>IFERROR(H199/G199,NA())</f>
        <v/>
      </c>
      <c r="J199" s="16">
        <f>IF(ISNUMBER(I199),IF(I199&gt;=Settings!$B$7,"VOL SPIKE",""),"")</f>
        <v/>
      </c>
    </row>
    <row r="200">
      <c r="A200" s="16">
        <f>'Rest Universe'!A201</f>
        <v/>
      </c>
      <c r="B200" s="22">
        <f>IFERROR(_xll.BDP(A200,"NAME"),"")</f>
        <v/>
      </c>
      <c r="C200" s="22">
        <f>IFERROR(_xll.BDP(A200,"EQY_SH_OUT"),NA())</f>
        <v/>
      </c>
      <c r="D200" s="22">
        <f>IFERROR(_xll.BDH(A200,"EQY_SH_OUT","-"&amp;Settings!$B$4&amp;"AW","-"&amp;Settings!$B$4&amp;"AW","days=a","fill=p"),NA())</f>
        <v/>
      </c>
      <c r="E200" s="23">
        <f>IFERROR((C200-D200)/D200,NA())</f>
        <v/>
      </c>
      <c r="F200" s="16">
        <f>IF(ISNUMBER(E200),IF(E200&lt;=Settings!$B$6,"BUYBACK ACTIVITY",""),"")</f>
        <v/>
      </c>
      <c r="G200" s="22">
        <f>IFERROR(_xll.BDP(A200,"VOLUME_AVG_30D"),NA())</f>
        <v/>
      </c>
      <c r="H200" s="22">
        <f>IFERROR(_xll.BDP(A200,"PX_VOLUME"),NA())</f>
        <v/>
      </c>
      <c r="I200" s="16">
        <f>IFERROR(H200/G200,NA())</f>
        <v/>
      </c>
      <c r="J200" s="16">
        <f>IF(ISNUMBER(I200),IF(I200&gt;=Settings!$B$7,"VOL SPIKE",""),"")</f>
        <v/>
      </c>
    </row>
    <row r="201">
      <c r="A201" s="16">
        <f>'Rest Universe'!A202</f>
        <v/>
      </c>
      <c r="B201" s="22">
        <f>IFERROR(_xll.BDP(A201,"NAME"),"")</f>
        <v/>
      </c>
      <c r="C201" s="22">
        <f>IFERROR(_xll.BDP(A201,"EQY_SH_OUT"),NA())</f>
        <v/>
      </c>
      <c r="D201" s="22">
        <f>IFERROR(_xll.BDH(A201,"EQY_SH_OUT","-"&amp;Settings!$B$4&amp;"AW","-"&amp;Settings!$B$4&amp;"AW","days=a","fill=p"),NA())</f>
        <v/>
      </c>
      <c r="E201" s="23">
        <f>IFERROR((C201-D201)/D201,NA())</f>
        <v/>
      </c>
      <c r="F201" s="16">
        <f>IF(ISNUMBER(E201),IF(E201&lt;=Settings!$B$6,"BUYBACK ACTIVITY",""),"")</f>
        <v/>
      </c>
      <c r="G201" s="22">
        <f>IFERROR(_xll.BDP(A201,"VOLUME_AVG_30D"),NA())</f>
        <v/>
      </c>
      <c r="H201" s="22">
        <f>IFERROR(_xll.BDP(A201,"PX_VOLUME"),NA())</f>
        <v/>
      </c>
      <c r="I201" s="16">
        <f>IFERROR(H201/G201,NA())</f>
        <v/>
      </c>
      <c r="J201" s="16">
        <f>IF(ISNUMBER(I201),IF(I201&gt;=Settings!$B$7,"VOL SPIKE",""),"")</f>
        <v/>
      </c>
    </row>
    <row r="202">
      <c r="A202" s="16">
        <f>'Rest Universe'!A203</f>
        <v/>
      </c>
      <c r="B202" s="22">
        <f>IFERROR(_xll.BDP(A202,"NAME"),"")</f>
        <v/>
      </c>
      <c r="C202" s="22">
        <f>IFERROR(_xll.BDP(A202,"EQY_SH_OUT"),NA())</f>
        <v/>
      </c>
      <c r="D202" s="22">
        <f>IFERROR(_xll.BDH(A202,"EQY_SH_OUT","-"&amp;Settings!$B$4&amp;"AW","-"&amp;Settings!$B$4&amp;"AW","days=a","fill=p"),NA())</f>
        <v/>
      </c>
      <c r="E202" s="23">
        <f>IFERROR((C202-D202)/D202,NA())</f>
        <v/>
      </c>
      <c r="F202" s="16">
        <f>IF(ISNUMBER(E202),IF(E202&lt;=Settings!$B$6,"BUYBACK ACTIVITY",""),"")</f>
        <v/>
      </c>
      <c r="G202" s="22">
        <f>IFERROR(_xll.BDP(A202,"VOLUME_AVG_30D"),NA())</f>
        <v/>
      </c>
      <c r="H202" s="22">
        <f>IFERROR(_xll.BDP(A202,"PX_VOLUME"),NA())</f>
        <v/>
      </c>
      <c r="I202" s="16">
        <f>IFERROR(H202/G202,NA())</f>
        <v/>
      </c>
      <c r="J202" s="16">
        <f>IF(ISNUMBER(I202),IF(I202&gt;=Settings!$B$7,"VOL SPIKE",""),"")</f>
        <v/>
      </c>
    </row>
    <row r="203">
      <c r="A203" s="16">
        <f>'Rest Universe'!A204</f>
        <v/>
      </c>
      <c r="B203" s="22">
        <f>IFERROR(_xll.BDP(A203,"NAME"),"")</f>
        <v/>
      </c>
      <c r="C203" s="22">
        <f>IFERROR(_xll.BDP(A203,"EQY_SH_OUT"),NA())</f>
        <v/>
      </c>
      <c r="D203" s="22">
        <f>IFERROR(_xll.BDH(A203,"EQY_SH_OUT","-"&amp;Settings!$B$4&amp;"AW","-"&amp;Settings!$B$4&amp;"AW","days=a","fill=p"),NA())</f>
        <v/>
      </c>
      <c r="E203" s="23">
        <f>IFERROR((C203-D203)/D203,NA())</f>
        <v/>
      </c>
      <c r="F203" s="16">
        <f>IF(ISNUMBER(E203),IF(E203&lt;=Settings!$B$6,"BUYBACK ACTIVITY",""),"")</f>
        <v/>
      </c>
      <c r="G203" s="22">
        <f>IFERROR(_xll.BDP(A203,"VOLUME_AVG_30D"),NA())</f>
        <v/>
      </c>
      <c r="H203" s="22">
        <f>IFERROR(_xll.BDP(A203,"PX_VOLUME"),NA())</f>
        <v/>
      </c>
      <c r="I203" s="16">
        <f>IFERROR(H203/G203,NA())</f>
        <v/>
      </c>
      <c r="J203" s="16">
        <f>IF(ISNUMBER(I203),IF(I203&gt;=Settings!$B$7,"VOL SPIKE",""),"")</f>
        <v/>
      </c>
    </row>
    <row r="204">
      <c r="A204" s="16">
        <f>'Rest Universe'!A205</f>
        <v/>
      </c>
      <c r="B204" s="22">
        <f>IFERROR(_xll.BDP(A204,"NAME"),"")</f>
        <v/>
      </c>
      <c r="C204" s="22">
        <f>IFERROR(_xll.BDP(A204,"EQY_SH_OUT"),NA())</f>
        <v/>
      </c>
      <c r="D204" s="22">
        <f>IFERROR(_xll.BDH(A204,"EQY_SH_OUT","-"&amp;Settings!$B$4&amp;"AW","-"&amp;Settings!$B$4&amp;"AW","days=a","fill=p"),NA())</f>
        <v/>
      </c>
      <c r="E204" s="23">
        <f>IFERROR((C204-D204)/D204,NA())</f>
        <v/>
      </c>
      <c r="F204" s="16">
        <f>IF(ISNUMBER(E204),IF(E204&lt;=Settings!$B$6,"BUYBACK ACTIVITY",""),"")</f>
        <v/>
      </c>
      <c r="G204" s="22">
        <f>IFERROR(_xll.BDP(A204,"VOLUME_AVG_30D"),NA())</f>
        <v/>
      </c>
      <c r="H204" s="22">
        <f>IFERROR(_xll.BDP(A204,"PX_VOLUME"),NA())</f>
        <v/>
      </c>
      <c r="I204" s="16">
        <f>IFERROR(H204/G204,NA())</f>
        <v/>
      </c>
      <c r="J204" s="16">
        <f>IF(ISNUMBER(I204),IF(I204&gt;=Settings!$B$7,"VOL SPIKE",""),"")</f>
        <v/>
      </c>
    </row>
    <row r="205">
      <c r="A205" s="16">
        <f>'Rest Universe'!A206</f>
        <v/>
      </c>
      <c r="B205" s="22">
        <f>IFERROR(_xll.BDP(A205,"NAME"),"")</f>
        <v/>
      </c>
      <c r="C205" s="22">
        <f>IFERROR(_xll.BDP(A205,"EQY_SH_OUT"),NA())</f>
        <v/>
      </c>
      <c r="D205" s="22">
        <f>IFERROR(_xll.BDH(A205,"EQY_SH_OUT","-"&amp;Settings!$B$4&amp;"AW","-"&amp;Settings!$B$4&amp;"AW","days=a","fill=p"),NA())</f>
        <v/>
      </c>
      <c r="E205" s="23">
        <f>IFERROR((C205-D205)/D205,NA())</f>
        <v/>
      </c>
      <c r="F205" s="16">
        <f>IF(ISNUMBER(E205),IF(E205&lt;=Settings!$B$6,"BUYBACK ACTIVITY",""),"")</f>
        <v/>
      </c>
      <c r="G205" s="22">
        <f>IFERROR(_xll.BDP(A205,"VOLUME_AVG_30D"),NA())</f>
        <v/>
      </c>
      <c r="H205" s="22">
        <f>IFERROR(_xll.BDP(A205,"PX_VOLUME"),NA())</f>
        <v/>
      </c>
      <c r="I205" s="16">
        <f>IFERROR(H205/G205,NA())</f>
        <v/>
      </c>
      <c r="J205" s="16">
        <f>IF(ISNUMBER(I205),IF(I205&gt;=Settings!$B$7,"VOL SPIKE",""),"")</f>
        <v/>
      </c>
    </row>
    <row r="206">
      <c r="A206" s="16">
        <f>'Rest Universe'!A207</f>
        <v/>
      </c>
      <c r="B206" s="22">
        <f>IFERROR(_xll.BDP(A206,"NAME"),"")</f>
        <v/>
      </c>
      <c r="C206" s="22">
        <f>IFERROR(_xll.BDP(A206,"EQY_SH_OUT"),NA())</f>
        <v/>
      </c>
      <c r="D206" s="22">
        <f>IFERROR(_xll.BDH(A206,"EQY_SH_OUT","-"&amp;Settings!$B$4&amp;"AW","-"&amp;Settings!$B$4&amp;"AW","days=a","fill=p"),NA())</f>
        <v/>
      </c>
      <c r="E206" s="23">
        <f>IFERROR((C206-D206)/D206,NA())</f>
        <v/>
      </c>
      <c r="F206" s="16">
        <f>IF(ISNUMBER(E206),IF(E206&lt;=Settings!$B$6,"BUYBACK ACTIVITY",""),"")</f>
        <v/>
      </c>
      <c r="G206" s="22">
        <f>IFERROR(_xll.BDP(A206,"VOLUME_AVG_30D"),NA())</f>
        <v/>
      </c>
      <c r="H206" s="22">
        <f>IFERROR(_xll.BDP(A206,"PX_VOLUME"),NA())</f>
        <v/>
      </c>
      <c r="I206" s="16">
        <f>IFERROR(H206/G206,NA())</f>
        <v/>
      </c>
      <c r="J206" s="16">
        <f>IF(ISNUMBER(I206),IF(I206&gt;=Settings!$B$7,"VOL SPIKE",""),"")</f>
        <v/>
      </c>
    </row>
    <row r="207">
      <c r="A207" s="16">
        <f>'Rest Universe'!A208</f>
        <v/>
      </c>
      <c r="B207" s="22">
        <f>IFERROR(_xll.BDP(A207,"NAME"),"")</f>
        <v/>
      </c>
      <c r="C207" s="22">
        <f>IFERROR(_xll.BDP(A207,"EQY_SH_OUT"),NA())</f>
        <v/>
      </c>
      <c r="D207" s="22">
        <f>IFERROR(_xll.BDH(A207,"EQY_SH_OUT","-"&amp;Settings!$B$4&amp;"AW","-"&amp;Settings!$B$4&amp;"AW","days=a","fill=p"),NA())</f>
        <v/>
      </c>
      <c r="E207" s="23">
        <f>IFERROR((C207-D207)/D207,NA())</f>
        <v/>
      </c>
      <c r="F207" s="16">
        <f>IF(ISNUMBER(E207),IF(E207&lt;=Settings!$B$6,"BUYBACK ACTIVITY",""),"")</f>
        <v/>
      </c>
      <c r="G207" s="22">
        <f>IFERROR(_xll.BDP(A207,"VOLUME_AVG_30D"),NA())</f>
        <v/>
      </c>
      <c r="H207" s="22">
        <f>IFERROR(_xll.BDP(A207,"PX_VOLUME"),NA())</f>
        <v/>
      </c>
      <c r="I207" s="16">
        <f>IFERROR(H207/G207,NA())</f>
        <v/>
      </c>
      <c r="J207" s="16">
        <f>IF(ISNUMBER(I207),IF(I207&gt;=Settings!$B$7,"VOL SPIKE",""),"")</f>
        <v/>
      </c>
    </row>
    <row r="208">
      <c r="A208" s="16">
        <f>'Rest Universe'!A209</f>
        <v/>
      </c>
      <c r="B208" s="22">
        <f>IFERROR(_xll.BDP(A208,"NAME"),"")</f>
        <v/>
      </c>
      <c r="C208" s="22">
        <f>IFERROR(_xll.BDP(A208,"EQY_SH_OUT"),NA())</f>
        <v/>
      </c>
      <c r="D208" s="22">
        <f>IFERROR(_xll.BDH(A208,"EQY_SH_OUT","-"&amp;Settings!$B$4&amp;"AW","-"&amp;Settings!$B$4&amp;"AW","days=a","fill=p"),NA())</f>
        <v/>
      </c>
      <c r="E208" s="23">
        <f>IFERROR((C208-D208)/D208,NA())</f>
        <v/>
      </c>
      <c r="F208" s="16">
        <f>IF(ISNUMBER(E208),IF(E208&lt;=Settings!$B$6,"BUYBACK ACTIVITY",""),"")</f>
        <v/>
      </c>
      <c r="G208" s="22">
        <f>IFERROR(_xll.BDP(A208,"VOLUME_AVG_30D"),NA())</f>
        <v/>
      </c>
      <c r="H208" s="22">
        <f>IFERROR(_xll.BDP(A208,"PX_VOLUME"),NA())</f>
        <v/>
      </c>
      <c r="I208" s="16">
        <f>IFERROR(H208/G208,NA())</f>
        <v/>
      </c>
      <c r="J208" s="16">
        <f>IF(ISNUMBER(I208),IF(I208&gt;=Settings!$B$7,"VOL SPIKE",""),"")</f>
        <v/>
      </c>
    </row>
    <row r="209">
      <c r="A209" s="16">
        <f>'Rest Universe'!A210</f>
        <v/>
      </c>
      <c r="B209" s="22">
        <f>IFERROR(_xll.BDP(A209,"NAME"),"")</f>
        <v/>
      </c>
      <c r="C209" s="22">
        <f>IFERROR(_xll.BDP(A209,"EQY_SH_OUT"),NA())</f>
        <v/>
      </c>
      <c r="D209" s="22">
        <f>IFERROR(_xll.BDH(A209,"EQY_SH_OUT","-"&amp;Settings!$B$4&amp;"AW","-"&amp;Settings!$B$4&amp;"AW","days=a","fill=p"),NA())</f>
        <v/>
      </c>
      <c r="E209" s="23">
        <f>IFERROR((C209-D209)/D209,NA())</f>
        <v/>
      </c>
      <c r="F209" s="16">
        <f>IF(ISNUMBER(E209),IF(E209&lt;=Settings!$B$6,"BUYBACK ACTIVITY",""),"")</f>
        <v/>
      </c>
      <c r="G209" s="22">
        <f>IFERROR(_xll.BDP(A209,"VOLUME_AVG_30D"),NA())</f>
        <v/>
      </c>
      <c r="H209" s="22">
        <f>IFERROR(_xll.BDP(A209,"PX_VOLUME"),NA())</f>
        <v/>
      </c>
      <c r="I209" s="16">
        <f>IFERROR(H209/G209,NA())</f>
        <v/>
      </c>
      <c r="J209" s="16">
        <f>IF(ISNUMBER(I209),IF(I209&gt;=Settings!$B$7,"VOL SPIKE",""),"")</f>
        <v/>
      </c>
    </row>
    <row r="210">
      <c r="A210" s="16">
        <f>'Rest Universe'!A211</f>
        <v/>
      </c>
      <c r="B210" s="22">
        <f>IFERROR(_xll.BDP(A210,"NAME"),"")</f>
        <v/>
      </c>
      <c r="C210" s="22">
        <f>IFERROR(_xll.BDP(A210,"EQY_SH_OUT"),NA())</f>
        <v/>
      </c>
      <c r="D210" s="22">
        <f>IFERROR(_xll.BDH(A210,"EQY_SH_OUT","-"&amp;Settings!$B$4&amp;"AW","-"&amp;Settings!$B$4&amp;"AW","days=a","fill=p"),NA())</f>
        <v/>
      </c>
      <c r="E210" s="23">
        <f>IFERROR((C210-D210)/D210,NA())</f>
        <v/>
      </c>
      <c r="F210" s="16">
        <f>IF(ISNUMBER(E210),IF(E210&lt;=Settings!$B$6,"BUYBACK ACTIVITY",""),"")</f>
        <v/>
      </c>
      <c r="G210" s="22">
        <f>IFERROR(_xll.BDP(A210,"VOLUME_AVG_30D"),NA())</f>
        <v/>
      </c>
      <c r="H210" s="22">
        <f>IFERROR(_xll.BDP(A210,"PX_VOLUME"),NA())</f>
        <v/>
      </c>
      <c r="I210" s="16">
        <f>IFERROR(H210/G210,NA())</f>
        <v/>
      </c>
      <c r="J210" s="16">
        <f>IF(ISNUMBER(I210),IF(I210&gt;=Settings!$B$7,"VOL SPIKE",""),"")</f>
        <v/>
      </c>
    </row>
    <row r="211">
      <c r="A211" s="16">
        <f>'Rest Universe'!A212</f>
        <v/>
      </c>
      <c r="B211" s="22">
        <f>IFERROR(_xll.BDP(A211,"NAME"),"")</f>
        <v/>
      </c>
      <c r="C211" s="22">
        <f>IFERROR(_xll.BDP(A211,"EQY_SH_OUT"),NA())</f>
        <v/>
      </c>
      <c r="D211" s="22">
        <f>IFERROR(_xll.BDH(A211,"EQY_SH_OUT","-"&amp;Settings!$B$4&amp;"AW","-"&amp;Settings!$B$4&amp;"AW","days=a","fill=p"),NA())</f>
        <v/>
      </c>
      <c r="E211" s="23">
        <f>IFERROR((C211-D211)/D211,NA())</f>
        <v/>
      </c>
      <c r="F211" s="16">
        <f>IF(ISNUMBER(E211),IF(E211&lt;=Settings!$B$6,"BUYBACK ACTIVITY",""),"")</f>
        <v/>
      </c>
      <c r="G211" s="22">
        <f>IFERROR(_xll.BDP(A211,"VOLUME_AVG_30D"),NA())</f>
        <v/>
      </c>
      <c r="H211" s="22">
        <f>IFERROR(_xll.BDP(A211,"PX_VOLUME"),NA())</f>
        <v/>
      </c>
      <c r="I211" s="16">
        <f>IFERROR(H211/G211,NA())</f>
        <v/>
      </c>
      <c r="J211" s="16">
        <f>IF(ISNUMBER(I211),IF(I211&gt;=Settings!$B$7,"VOL SPIKE",""),"")</f>
        <v/>
      </c>
    </row>
    <row r="212">
      <c r="A212" s="16">
        <f>'Rest Universe'!A213</f>
        <v/>
      </c>
      <c r="B212" s="22">
        <f>IFERROR(_xll.BDP(A212,"NAME"),"")</f>
        <v/>
      </c>
      <c r="C212" s="22">
        <f>IFERROR(_xll.BDP(A212,"EQY_SH_OUT"),NA())</f>
        <v/>
      </c>
      <c r="D212" s="22">
        <f>IFERROR(_xll.BDH(A212,"EQY_SH_OUT","-"&amp;Settings!$B$4&amp;"AW","-"&amp;Settings!$B$4&amp;"AW","days=a","fill=p"),NA())</f>
        <v/>
      </c>
      <c r="E212" s="23">
        <f>IFERROR((C212-D212)/D212,NA())</f>
        <v/>
      </c>
      <c r="F212" s="16">
        <f>IF(ISNUMBER(E212),IF(E212&lt;=Settings!$B$6,"BUYBACK ACTIVITY",""),"")</f>
        <v/>
      </c>
      <c r="G212" s="22">
        <f>IFERROR(_xll.BDP(A212,"VOLUME_AVG_30D"),NA())</f>
        <v/>
      </c>
      <c r="H212" s="22">
        <f>IFERROR(_xll.BDP(A212,"PX_VOLUME"),NA())</f>
        <v/>
      </c>
      <c r="I212" s="16">
        <f>IFERROR(H212/G212,NA())</f>
        <v/>
      </c>
      <c r="J212" s="16">
        <f>IF(ISNUMBER(I212),IF(I212&gt;=Settings!$B$7,"VOL SPIKE",""),"")</f>
        <v/>
      </c>
    </row>
    <row r="213">
      <c r="A213" s="16">
        <f>'Rest Universe'!A214</f>
        <v/>
      </c>
      <c r="B213" s="22">
        <f>IFERROR(_xll.BDP(A213,"NAME"),"")</f>
        <v/>
      </c>
      <c r="C213" s="22">
        <f>IFERROR(_xll.BDP(A213,"EQY_SH_OUT"),NA())</f>
        <v/>
      </c>
      <c r="D213" s="22">
        <f>IFERROR(_xll.BDH(A213,"EQY_SH_OUT","-"&amp;Settings!$B$4&amp;"AW","-"&amp;Settings!$B$4&amp;"AW","days=a","fill=p"),NA())</f>
        <v/>
      </c>
      <c r="E213" s="23">
        <f>IFERROR((C213-D213)/D213,NA())</f>
        <v/>
      </c>
      <c r="F213" s="16">
        <f>IF(ISNUMBER(E213),IF(E213&lt;=Settings!$B$6,"BUYBACK ACTIVITY",""),"")</f>
        <v/>
      </c>
      <c r="G213" s="22">
        <f>IFERROR(_xll.BDP(A213,"VOLUME_AVG_30D"),NA())</f>
        <v/>
      </c>
      <c r="H213" s="22">
        <f>IFERROR(_xll.BDP(A213,"PX_VOLUME"),NA())</f>
        <v/>
      </c>
      <c r="I213" s="16">
        <f>IFERROR(H213/G213,NA())</f>
        <v/>
      </c>
      <c r="J213" s="16">
        <f>IF(ISNUMBER(I213),IF(I213&gt;=Settings!$B$7,"VOL SPIKE",""),"")</f>
        <v/>
      </c>
    </row>
    <row r="214">
      <c r="A214" s="16">
        <f>'Rest Universe'!A215</f>
        <v/>
      </c>
      <c r="B214" s="22">
        <f>IFERROR(_xll.BDP(A214,"NAME"),"")</f>
        <v/>
      </c>
      <c r="C214" s="22">
        <f>IFERROR(_xll.BDP(A214,"EQY_SH_OUT"),NA())</f>
        <v/>
      </c>
      <c r="D214" s="22">
        <f>IFERROR(_xll.BDH(A214,"EQY_SH_OUT","-"&amp;Settings!$B$4&amp;"AW","-"&amp;Settings!$B$4&amp;"AW","days=a","fill=p"),NA())</f>
        <v/>
      </c>
      <c r="E214" s="23">
        <f>IFERROR((C214-D214)/D214,NA())</f>
        <v/>
      </c>
      <c r="F214" s="16">
        <f>IF(ISNUMBER(E214),IF(E214&lt;=Settings!$B$6,"BUYBACK ACTIVITY",""),"")</f>
        <v/>
      </c>
      <c r="G214" s="22">
        <f>IFERROR(_xll.BDP(A214,"VOLUME_AVG_30D"),NA())</f>
        <v/>
      </c>
      <c r="H214" s="22">
        <f>IFERROR(_xll.BDP(A214,"PX_VOLUME"),NA())</f>
        <v/>
      </c>
      <c r="I214" s="16">
        <f>IFERROR(H214/G214,NA())</f>
        <v/>
      </c>
      <c r="J214" s="16">
        <f>IF(ISNUMBER(I214),IF(I214&gt;=Settings!$B$7,"VOL SPIKE",""),"")</f>
        <v/>
      </c>
    </row>
    <row r="215">
      <c r="A215" s="16">
        <f>'Rest Universe'!A216</f>
        <v/>
      </c>
      <c r="B215" s="22">
        <f>IFERROR(_xll.BDP(A215,"NAME"),"")</f>
        <v/>
      </c>
      <c r="C215" s="22">
        <f>IFERROR(_xll.BDP(A215,"EQY_SH_OUT"),NA())</f>
        <v/>
      </c>
      <c r="D215" s="22">
        <f>IFERROR(_xll.BDH(A215,"EQY_SH_OUT","-"&amp;Settings!$B$4&amp;"AW","-"&amp;Settings!$B$4&amp;"AW","days=a","fill=p"),NA())</f>
        <v/>
      </c>
      <c r="E215" s="23">
        <f>IFERROR((C215-D215)/D215,NA())</f>
        <v/>
      </c>
      <c r="F215" s="16">
        <f>IF(ISNUMBER(E215),IF(E215&lt;=Settings!$B$6,"BUYBACK ACTIVITY",""),"")</f>
        <v/>
      </c>
      <c r="G215" s="22">
        <f>IFERROR(_xll.BDP(A215,"VOLUME_AVG_30D"),NA())</f>
        <v/>
      </c>
      <c r="H215" s="22">
        <f>IFERROR(_xll.BDP(A215,"PX_VOLUME"),NA())</f>
        <v/>
      </c>
      <c r="I215" s="16">
        <f>IFERROR(H215/G215,NA())</f>
        <v/>
      </c>
      <c r="J215" s="16">
        <f>IF(ISNUMBER(I215),IF(I215&gt;=Settings!$B$7,"VOL SPIKE",""),"")</f>
        <v/>
      </c>
    </row>
    <row r="216">
      <c r="A216" s="16">
        <f>'Rest Universe'!A217</f>
        <v/>
      </c>
      <c r="B216" s="22">
        <f>IFERROR(_xll.BDP(A216,"NAME"),"")</f>
        <v/>
      </c>
      <c r="C216" s="22">
        <f>IFERROR(_xll.BDP(A216,"EQY_SH_OUT"),NA())</f>
        <v/>
      </c>
      <c r="D216" s="22">
        <f>IFERROR(_xll.BDH(A216,"EQY_SH_OUT","-"&amp;Settings!$B$4&amp;"AW","-"&amp;Settings!$B$4&amp;"AW","days=a","fill=p"),NA())</f>
        <v/>
      </c>
      <c r="E216" s="23">
        <f>IFERROR((C216-D216)/D216,NA())</f>
        <v/>
      </c>
      <c r="F216" s="16">
        <f>IF(ISNUMBER(E216),IF(E216&lt;=Settings!$B$6,"BUYBACK ACTIVITY",""),"")</f>
        <v/>
      </c>
      <c r="G216" s="22">
        <f>IFERROR(_xll.BDP(A216,"VOLUME_AVG_30D"),NA())</f>
        <v/>
      </c>
      <c r="H216" s="22">
        <f>IFERROR(_xll.BDP(A216,"PX_VOLUME"),NA())</f>
        <v/>
      </c>
      <c r="I216" s="16">
        <f>IFERROR(H216/G216,NA())</f>
        <v/>
      </c>
      <c r="J216" s="16">
        <f>IF(ISNUMBER(I216),IF(I216&gt;=Settings!$B$7,"VOL SPIKE",""),"")</f>
        <v/>
      </c>
    </row>
    <row r="217">
      <c r="A217" s="16">
        <f>'Rest Universe'!A218</f>
        <v/>
      </c>
      <c r="B217" s="22">
        <f>IFERROR(_xll.BDP(A217,"NAME"),"")</f>
        <v/>
      </c>
      <c r="C217" s="22">
        <f>IFERROR(_xll.BDP(A217,"EQY_SH_OUT"),NA())</f>
        <v/>
      </c>
      <c r="D217" s="22">
        <f>IFERROR(_xll.BDH(A217,"EQY_SH_OUT","-"&amp;Settings!$B$4&amp;"AW","-"&amp;Settings!$B$4&amp;"AW","days=a","fill=p"),NA())</f>
        <v/>
      </c>
      <c r="E217" s="23">
        <f>IFERROR((C217-D217)/D217,NA())</f>
        <v/>
      </c>
      <c r="F217" s="16">
        <f>IF(ISNUMBER(E217),IF(E217&lt;=Settings!$B$6,"BUYBACK ACTIVITY",""),"")</f>
        <v/>
      </c>
      <c r="G217" s="22">
        <f>IFERROR(_xll.BDP(A217,"VOLUME_AVG_30D"),NA())</f>
        <v/>
      </c>
      <c r="H217" s="22">
        <f>IFERROR(_xll.BDP(A217,"PX_VOLUME"),NA())</f>
        <v/>
      </c>
      <c r="I217" s="16">
        <f>IFERROR(H217/G217,NA())</f>
        <v/>
      </c>
      <c r="J217" s="16">
        <f>IF(ISNUMBER(I217),IF(I217&gt;=Settings!$B$7,"VOL SPIKE",""),"")</f>
        <v/>
      </c>
    </row>
    <row r="218">
      <c r="A218" s="16">
        <f>'Rest Universe'!A219</f>
        <v/>
      </c>
      <c r="B218" s="22">
        <f>IFERROR(_xll.BDP(A218,"NAME"),"")</f>
        <v/>
      </c>
      <c r="C218" s="22">
        <f>IFERROR(_xll.BDP(A218,"EQY_SH_OUT"),NA())</f>
        <v/>
      </c>
      <c r="D218" s="22">
        <f>IFERROR(_xll.BDH(A218,"EQY_SH_OUT","-"&amp;Settings!$B$4&amp;"AW","-"&amp;Settings!$B$4&amp;"AW","days=a","fill=p"),NA())</f>
        <v/>
      </c>
      <c r="E218" s="23">
        <f>IFERROR((C218-D218)/D218,NA())</f>
        <v/>
      </c>
      <c r="F218" s="16">
        <f>IF(ISNUMBER(E218),IF(E218&lt;=Settings!$B$6,"BUYBACK ACTIVITY",""),"")</f>
        <v/>
      </c>
      <c r="G218" s="22">
        <f>IFERROR(_xll.BDP(A218,"VOLUME_AVG_30D"),NA())</f>
        <v/>
      </c>
      <c r="H218" s="22">
        <f>IFERROR(_xll.BDP(A218,"PX_VOLUME"),NA())</f>
        <v/>
      </c>
      <c r="I218" s="16">
        <f>IFERROR(H218/G218,NA())</f>
        <v/>
      </c>
      <c r="J218" s="16">
        <f>IF(ISNUMBER(I218),IF(I218&gt;=Settings!$B$7,"VOL SPIKE",""),"")</f>
        <v/>
      </c>
    </row>
    <row r="219">
      <c r="A219" s="16">
        <f>'Rest Universe'!A220</f>
        <v/>
      </c>
      <c r="B219" s="22">
        <f>IFERROR(_xll.BDP(A219,"NAME"),"")</f>
        <v/>
      </c>
      <c r="C219" s="22">
        <f>IFERROR(_xll.BDP(A219,"EQY_SH_OUT"),NA())</f>
        <v/>
      </c>
      <c r="D219" s="22">
        <f>IFERROR(_xll.BDH(A219,"EQY_SH_OUT","-"&amp;Settings!$B$4&amp;"AW","-"&amp;Settings!$B$4&amp;"AW","days=a","fill=p"),NA())</f>
        <v/>
      </c>
      <c r="E219" s="23">
        <f>IFERROR((C219-D219)/D219,NA())</f>
        <v/>
      </c>
      <c r="F219" s="16">
        <f>IF(ISNUMBER(E219),IF(E219&lt;=Settings!$B$6,"BUYBACK ACTIVITY",""),"")</f>
        <v/>
      </c>
      <c r="G219" s="22">
        <f>IFERROR(_xll.BDP(A219,"VOLUME_AVG_30D"),NA())</f>
        <v/>
      </c>
      <c r="H219" s="22">
        <f>IFERROR(_xll.BDP(A219,"PX_VOLUME"),NA())</f>
        <v/>
      </c>
      <c r="I219" s="16">
        <f>IFERROR(H219/G219,NA())</f>
        <v/>
      </c>
      <c r="J219" s="16">
        <f>IF(ISNUMBER(I219),IF(I219&gt;=Settings!$B$7,"VOL SPIKE",""),"")</f>
        <v/>
      </c>
    </row>
    <row r="220">
      <c r="A220" s="16">
        <f>'Rest Universe'!A221</f>
        <v/>
      </c>
      <c r="B220" s="22">
        <f>IFERROR(_xll.BDP(A220,"NAME"),"")</f>
        <v/>
      </c>
      <c r="C220" s="22">
        <f>IFERROR(_xll.BDP(A220,"EQY_SH_OUT"),NA())</f>
        <v/>
      </c>
      <c r="D220" s="22">
        <f>IFERROR(_xll.BDH(A220,"EQY_SH_OUT","-"&amp;Settings!$B$4&amp;"AW","-"&amp;Settings!$B$4&amp;"AW","days=a","fill=p"),NA())</f>
        <v/>
      </c>
      <c r="E220" s="23">
        <f>IFERROR((C220-D220)/D220,NA())</f>
        <v/>
      </c>
      <c r="F220" s="16">
        <f>IF(ISNUMBER(E220),IF(E220&lt;=Settings!$B$6,"BUYBACK ACTIVITY",""),"")</f>
        <v/>
      </c>
      <c r="G220" s="22">
        <f>IFERROR(_xll.BDP(A220,"VOLUME_AVG_30D"),NA())</f>
        <v/>
      </c>
      <c r="H220" s="22">
        <f>IFERROR(_xll.BDP(A220,"PX_VOLUME"),NA())</f>
        <v/>
      </c>
      <c r="I220" s="16">
        <f>IFERROR(H220/G220,NA())</f>
        <v/>
      </c>
      <c r="J220" s="16">
        <f>IF(ISNUMBER(I220),IF(I220&gt;=Settings!$B$7,"VOL SPIKE",""),"")</f>
        <v/>
      </c>
    </row>
    <row r="221">
      <c r="A221" s="16">
        <f>'Rest Universe'!A222</f>
        <v/>
      </c>
      <c r="B221" s="22">
        <f>IFERROR(_xll.BDP(A221,"NAME"),"")</f>
        <v/>
      </c>
      <c r="C221" s="22">
        <f>IFERROR(_xll.BDP(A221,"EQY_SH_OUT"),NA())</f>
        <v/>
      </c>
      <c r="D221" s="22">
        <f>IFERROR(_xll.BDH(A221,"EQY_SH_OUT","-"&amp;Settings!$B$4&amp;"AW","-"&amp;Settings!$B$4&amp;"AW","days=a","fill=p"),NA())</f>
        <v/>
      </c>
      <c r="E221" s="23">
        <f>IFERROR((C221-D221)/D221,NA())</f>
        <v/>
      </c>
      <c r="F221" s="16">
        <f>IF(ISNUMBER(E221),IF(E221&lt;=Settings!$B$6,"BUYBACK ACTIVITY",""),"")</f>
        <v/>
      </c>
      <c r="G221" s="22">
        <f>IFERROR(_xll.BDP(A221,"VOLUME_AVG_30D"),NA())</f>
        <v/>
      </c>
      <c r="H221" s="22">
        <f>IFERROR(_xll.BDP(A221,"PX_VOLUME"),NA())</f>
        <v/>
      </c>
      <c r="I221" s="16">
        <f>IFERROR(H221/G221,NA())</f>
        <v/>
      </c>
      <c r="J221" s="16">
        <f>IF(ISNUMBER(I221),IF(I221&gt;=Settings!$B$7,"VOL SPIKE",""),"")</f>
        <v/>
      </c>
    </row>
    <row r="222">
      <c r="A222" s="16">
        <f>'Rest Universe'!A223</f>
        <v/>
      </c>
      <c r="B222" s="22">
        <f>IFERROR(_xll.BDP(A222,"NAME"),"")</f>
        <v/>
      </c>
      <c r="C222" s="22">
        <f>IFERROR(_xll.BDP(A222,"EQY_SH_OUT"),NA())</f>
        <v/>
      </c>
      <c r="D222" s="22">
        <f>IFERROR(_xll.BDH(A222,"EQY_SH_OUT","-"&amp;Settings!$B$4&amp;"AW","-"&amp;Settings!$B$4&amp;"AW","days=a","fill=p"),NA())</f>
        <v/>
      </c>
      <c r="E222" s="23">
        <f>IFERROR((C222-D222)/D222,NA())</f>
        <v/>
      </c>
      <c r="F222" s="16">
        <f>IF(ISNUMBER(E222),IF(E222&lt;=Settings!$B$6,"BUYBACK ACTIVITY",""),"")</f>
        <v/>
      </c>
      <c r="G222" s="22">
        <f>IFERROR(_xll.BDP(A222,"VOLUME_AVG_30D"),NA())</f>
        <v/>
      </c>
      <c r="H222" s="22">
        <f>IFERROR(_xll.BDP(A222,"PX_VOLUME"),NA())</f>
        <v/>
      </c>
      <c r="I222" s="16">
        <f>IFERROR(H222/G222,NA())</f>
        <v/>
      </c>
      <c r="J222" s="16">
        <f>IF(ISNUMBER(I222),IF(I222&gt;=Settings!$B$7,"VOL SPIKE",""),"")</f>
        <v/>
      </c>
    </row>
    <row r="223">
      <c r="A223" s="16">
        <f>'Rest Universe'!A224</f>
        <v/>
      </c>
      <c r="B223" s="22">
        <f>IFERROR(_xll.BDP(A223,"NAME"),"")</f>
        <v/>
      </c>
      <c r="C223" s="22">
        <f>IFERROR(_xll.BDP(A223,"EQY_SH_OUT"),NA())</f>
        <v/>
      </c>
      <c r="D223" s="22">
        <f>IFERROR(_xll.BDH(A223,"EQY_SH_OUT","-"&amp;Settings!$B$4&amp;"AW","-"&amp;Settings!$B$4&amp;"AW","days=a","fill=p"),NA())</f>
        <v/>
      </c>
      <c r="E223" s="23">
        <f>IFERROR((C223-D223)/D223,NA())</f>
        <v/>
      </c>
      <c r="F223" s="16">
        <f>IF(ISNUMBER(E223),IF(E223&lt;=Settings!$B$6,"BUYBACK ACTIVITY",""),"")</f>
        <v/>
      </c>
      <c r="G223" s="22">
        <f>IFERROR(_xll.BDP(A223,"VOLUME_AVG_30D"),NA())</f>
        <v/>
      </c>
      <c r="H223" s="22">
        <f>IFERROR(_xll.BDP(A223,"PX_VOLUME"),NA())</f>
        <v/>
      </c>
      <c r="I223" s="16">
        <f>IFERROR(H223/G223,NA())</f>
        <v/>
      </c>
      <c r="J223" s="16">
        <f>IF(ISNUMBER(I223),IF(I223&gt;=Settings!$B$7,"VOL SPIKE",""),"")</f>
        <v/>
      </c>
    </row>
    <row r="224">
      <c r="A224" s="16">
        <f>'Rest Universe'!A225</f>
        <v/>
      </c>
      <c r="B224" s="22">
        <f>IFERROR(_xll.BDP(A224,"NAME"),"")</f>
        <v/>
      </c>
      <c r="C224" s="22">
        <f>IFERROR(_xll.BDP(A224,"EQY_SH_OUT"),NA())</f>
        <v/>
      </c>
      <c r="D224" s="22">
        <f>IFERROR(_xll.BDH(A224,"EQY_SH_OUT","-"&amp;Settings!$B$4&amp;"AW","-"&amp;Settings!$B$4&amp;"AW","days=a","fill=p"),NA())</f>
        <v/>
      </c>
      <c r="E224" s="23">
        <f>IFERROR((C224-D224)/D224,NA())</f>
        <v/>
      </c>
      <c r="F224" s="16">
        <f>IF(ISNUMBER(E224),IF(E224&lt;=Settings!$B$6,"BUYBACK ACTIVITY",""),"")</f>
        <v/>
      </c>
      <c r="G224" s="22">
        <f>IFERROR(_xll.BDP(A224,"VOLUME_AVG_30D"),NA())</f>
        <v/>
      </c>
      <c r="H224" s="22">
        <f>IFERROR(_xll.BDP(A224,"PX_VOLUME"),NA())</f>
        <v/>
      </c>
      <c r="I224" s="16">
        <f>IFERROR(H224/G224,NA())</f>
        <v/>
      </c>
      <c r="J224" s="16">
        <f>IF(ISNUMBER(I224),IF(I224&gt;=Settings!$B$7,"VOL SPIKE",""),"")</f>
        <v/>
      </c>
    </row>
    <row r="225">
      <c r="A225" s="16">
        <f>'Rest Universe'!A226</f>
        <v/>
      </c>
      <c r="B225" s="22">
        <f>IFERROR(_xll.BDP(A225,"NAME"),"")</f>
        <v/>
      </c>
      <c r="C225" s="22">
        <f>IFERROR(_xll.BDP(A225,"EQY_SH_OUT"),NA())</f>
        <v/>
      </c>
      <c r="D225" s="22">
        <f>IFERROR(_xll.BDH(A225,"EQY_SH_OUT","-"&amp;Settings!$B$4&amp;"AW","-"&amp;Settings!$B$4&amp;"AW","days=a","fill=p"),NA())</f>
        <v/>
      </c>
      <c r="E225" s="23">
        <f>IFERROR((C225-D225)/D225,NA())</f>
        <v/>
      </c>
      <c r="F225" s="16">
        <f>IF(ISNUMBER(E225),IF(E225&lt;=Settings!$B$6,"BUYBACK ACTIVITY",""),"")</f>
        <v/>
      </c>
      <c r="G225" s="22">
        <f>IFERROR(_xll.BDP(A225,"VOLUME_AVG_30D"),NA())</f>
        <v/>
      </c>
      <c r="H225" s="22">
        <f>IFERROR(_xll.BDP(A225,"PX_VOLUME"),NA())</f>
        <v/>
      </c>
      <c r="I225" s="16">
        <f>IFERROR(H225/G225,NA())</f>
        <v/>
      </c>
      <c r="J225" s="16">
        <f>IF(ISNUMBER(I225),IF(I225&gt;=Settings!$B$7,"VOL SPIKE",""),"")</f>
        <v/>
      </c>
    </row>
    <row r="226">
      <c r="A226" s="16">
        <f>'Rest Universe'!A227</f>
        <v/>
      </c>
      <c r="B226" s="22">
        <f>IFERROR(_xll.BDP(A226,"NAME"),"")</f>
        <v/>
      </c>
      <c r="C226" s="22">
        <f>IFERROR(_xll.BDP(A226,"EQY_SH_OUT"),NA())</f>
        <v/>
      </c>
      <c r="D226" s="22">
        <f>IFERROR(_xll.BDH(A226,"EQY_SH_OUT","-"&amp;Settings!$B$4&amp;"AW","-"&amp;Settings!$B$4&amp;"AW","days=a","fill=p"),NA())</f>
        <v/>
      </c>
      <c r="E226" s="23">
        <f>IFERROR((C226-D226)/D226,NA())</f>
        <v/>
      </c>
      <c r="F226" s="16">
        <f>IF(ISNUMBER(E226),IF(E226&lt;=Settings!$B$6,"BUYBACK ACTIVITY",""),"")</f>
        <v/>
      </c>
      <c r="G226" s="22">
        <f>IFERROR(_xll.BDP(A226,"VOLUME_AVG_30D"),NA())</f>
        <v/>
      </c>
      <c r="H226" s="22">
        <f>IFERROR(_xll.BDP(A226,"PX_VOLUME"),NA())</f>
        <v/>
      </c>
      <c r="I226" s="16">
        <f>IFERROR(H226/G226,NA())</f>
        <v/>
      </c>
      <c r="J226" s="16">
        <f>IF(ISNUMBER(I226),IF(I226&gt;=Settings!$B$7,"VOL SPIKE",""),"")</f>
        <v/>
      </c>
    </row>
    <row r="227">
      <c r="A227" s="16">
        <f>'Rest Universe'!A228</f>
        <v/>
      </c>
      <c r="B227" s="22">
        <f>IFERROR(_xll.BDP(A227,"NAME"),"")</f>
        <v/>
      </c>
      <c r="C227" s="22">
        <f>IFERROR(_xll.BDP(A227,"EQY_SH_OUT"),NA())</f>
        <v/>
      </c>
      <c r="D227" s="22">
        <f>IFERROR(_xll.BDH(A227,"EQY_SH_OUT","-"&amp;Settings!$B$4&amp;"AW","-"&amp;Settings!$B$4&amp;"AW","days=a","fill=p"),NA())</f>
        <v/>
      </c>
      <c r="E227" s="23">
        <f>IFERROR((C227-D227)/D227,NA())</f>
        <v/>
      </c>
      <c r="F227" s="16">
        <f>IF(ISNUMBER(E227),IF(E227&lt;=Settings!$B$6,"BUYBACK ACTIVITY",""),"")</f>
        <v/>
      </c>
      <c r="G227" s="22">
        <f>IFERROR(_xll.BDP(A227,"VOLUME_AVG_30D"),NA())</f>
        <v/>
      </c>
      <c r="H227" s="22">
        <f>IFERROR(_xll.BDP(A227,"PX_VOLUME"),NA())</f>
        <v/>
      </c>
      <c r="I227" s="16">
        <f>IFERROR(H227/G227,NA())</f>
        <v/>
      </c>
      <c r="J227" s="16">
        <f>IF(ISNUMBER(I227),IF(I227&gt;=Settings!$B$7,"VOL SPIKE",""),"")</f>
        <v/>
      </c>
    </row>
    <row r="228">
      <c r="A228" s="16">
        <f>'Rest Universe'!A229</f>
        <v/>
      </c>
      <c r="B228" s="22">
        <f>IFERROR(_xll.BDP(A228,"NAME"),"")</f>
        <v/>
      </c>
      <c r="C228" s="22">
        <f>IFERROR(_xll.BDP(A228,"EQY_SH_OUT"),NA())</f>
        <v/>
      </c>
      <c r="D228" s="22">
        <f>IFERROR(_xll.BDH(A228,"EQY_SH_OUT","-"&amp;Settings!$B$4&amp;"AW","-"&amp;Settings!$B$4&amp;"AW","days=a","fill=p"),NA())</f>
        <v/>
      </c>
      <c r="E228" s="23">
        <f>IFERROR((C228-D228)/D228,NA())</f>
        <v/>
      </c>
      <c r="F228" s="16">
        <f>IF(ISNUMBER(E228),IF(E228&lt;=Settings!$B$6,"BUYBACK ACTIVITY",""),"")</f>
        <v/>
      </c>
      <c r="G228" s="22">
        <f>IFERROR(_xll.BDP(A228,"VOLUME_AVG_30D"),NA())</f>
        <v/>
      </c>
      <c r="H228" s="22">
        <f>IFERROR(_xll.BDP(A228,"PX_VOLUME"),NA())</f>
        <v/>
      </c>
      <c r="I228" s="16">
        <f>IFERROR(H228/G228,NA())</f>
        <v/>
      </c>
      <c r="J228" s="16">
        <f>IF(ISNUMBER(I228),IF(I228&gt;=Settings!$B$7,"VOL SPIKE",""),"")</f>
        <v/>
      </c>
    </row>
    <row r="229">
      <c r="A229" s="16">
        <f>'Rest Universe'!A230</f>
        <v/>
      </c>
      <c r="B229" s="22">
        <f>IFERROR(_xll.BDP(A229,"NAME"),"")</f>
        <v/>
      </c>
      <c r="C229" s="22">
        <f>IFERROR(_xll.BDP(A229,"EQY_SH_OUT"),NA())</f>
        <v/>
      </c>
      <c r="D229" s="22">
        <f>IFERROR(_xll.BDH(A229,"EQY_SH_OUT","-"&amp;Settings!$B$4&amp;"AW","-"&amp;Settings!$B$4&amp;"AW","days=a","fill=p"),NA())</f>
        <v/>
      </c>
      <c r="E229" s="23">
        <f>IFERROR((C229-D229)/D229,NA())</f>
        <v/>
      </c>
      <c r="F229" s="16">
        <f>IF(ISNUMBER(E229),IF(E229&lt;=Settings!$B$6,"BUYBACK ACTIVITY",""),"")</f>
        <v/>
      </c>
      <c r="G229" s="22">
        <f>IFERROR(_xll.BDP(A229,"VOLUME_AVG_30D"),NA())</f>
        <v/>
      </c>
      <c r="H229" s="22">
        <f>IFERROR(_xll.BDP(A229,"PX_VOLUME"),NA())</f>
        <v/>
      </c>
      <c r="I229" s="16">
        <f>IFERROR(H229/G229,NA())</f>
        <v/>
      </c>
      <c r="J229" s="16">
        <f>IF(ISNUMBER(I229),IF(I229&gt;=Settings!$B$7,"VOL SPIKE",""),"")</f>
        <v/>
      </c>
    </row>
    <row r="230">
      <c r="A230" s="16">
        <f>'Rest Universe'!A231</f>
        <v/>
      </c>
      <c r="B230" s="22">
        <f>IFERROR(_xll.BDP(A230,"NAME"),"")</f>
        <v/>
      </c>
      <c r="C230" s="22">
        <f>IFERROR(_xll.BDP(A230,"EQY_SH_OUT"),NA())</f>
        <v/>
      </c>
      <c r="D230" s="22">
        <f>IFERROR(_xll.BDH(A230,"EQY_SH_OUT","-"&amp;Settings!$B$4&amp;"AW","-"&amp;Settings!$B$4&amp;"AW","days=a","fill=p"),NA())</f>
        <v/>
      </c>
      <c r="E230" s="23">
        <f>IFERROR((C230-D230)/D230,NA())</f>
        <v/>
      </c>
      <c r="F230" s="16">
        <f>IF(ISNUMBER(E230),IF(E230&lt;=Settings!$B$6,"BUYBACK ACTIVITY",""),"")</f>
        <v/>
      </c>
      <c r="G230" s="22">
        <f>IFERROR(_xll.BDP(A230,"VOLUME_AVG_30D"),NA())</f>
        <v/>
      </c>
      <c r="H230" s="22">
        <f>IFERROR(_xll.BDP(A230,"PX_VOLUME"),NA())</f>
        <v/>
      </c>
      <c r="I230" s="16">
        <f>IFERROR(H230/G230,NA())</f>
        <v/>
      </c>
      <c r="J230" s="16">
        <f>IF(ISNUMBER(I230),IF(I230&gt;=Settings!$B$7,"VOL SPIKE",""),"")</f>
        <v/>
      </c>
    </row>
    <row r="231">
      <c r="A231" s="16">
        <f>'Rest Universe'!A232</f>
        <v/>
      </c>
      <c r="B231" s="22">
        <f>IFERROR(_xll.BDP(A231,"NAME"),"")</f>
        <v/>
      </c>
      <c r="C231" s="22">
        <f>IFERROR(_xll.BDP(A231,"EQY_SH_OUT"),NA())</f>
        <v/>
      </c>
      <c r="D231" s="22">
        <f>IFERROR(_xll.BDH(A231,"EQY_SH_OUT","-"&amp;Settings!$B$4&amp;"AW","-"&amp;Settings!$B$4&amp;"AW","days=a","fill=p"),NA())</f>
        <v/>
      </c>
      <c r="E231" s="23">
        <f>IFERROR((C231-D231)/D231,NA())</f>
        <v/>
      </c>
      <c r="F231" s="16">
        <f>IF(ISNUMBER(E231),IF(E231&lt;=Settings!$B$6,"BUYBACK ACTIVITY",""),"")</f>
        <v/>
      </c>
      <c r="G231" s="22">
        <f>IFERROR(_xll.BDP(A231,"VOLUME_AVG_30D"),NA())</f>
        <v/>
      </c>
      <c r="H231" s="22">
        <f>IFERROR(_xll.BDP(A231,"PX_VOLUME"),NA())</f>
        <v/>
      </c>
      <c r="I231" s="16">
        <f>IFERROR(H231/G231,NA())</f>
        <v/>
      </c>
      <c r="J231" s="16">
        <f>IF(ISNUMBER(I231),IF(I231&gt;=Settings!$B$7,"VOL SPIKE",""),"")</f>
        <v/>
      </c>
    </row>
    <row r="232">
      <c r="A232" s="16">
        <f>'Rest Universe'!A233</f>
        <v/>
      </c>
      <c r="B232" s="22">
        <f>IFERROR(_xll.BDP(A232,"NAME"),"")</f>
        <v/>
      </c>
      <c r="C232" s="22">
        <f>IFERROR(_xll.BDP(A232,"EQY_SH_OUT"),NA())</f>
        <v/>
      </c>
      <c r="D232" s="22">
        <f>IFERROR(_xll.BDH(A232,"EQY_SH_OUT","-"&amp;Settings!$B$4&amp;"AW","-"&amp;Settings!$B$4&amp;"AW","days=a","fill=p"),NA())</f>
        <v/>
      </c>
      <c r="E232" s="23">
        <f>IFERROR((C232-D232)/D232,NA())</f>
        <v/>
      </c>
      <c r="F232" s="16">
        <f>IF(ISNUMBER(E232),IF(E232&lt;=Settings!$B$6,"BUYBACK ACTIVITY",""),"")</f>
        <v/>
      </c>
      <c r="G232" s="22">
        <f>IFERROR(_xll.BDP(A232,"VOLUME_AVG_30D"),NA())</f>
        <v/>
      </c>
      <c r="H232" s="22">
        <f>IFERROR(_xll.BDP(A232,"PX_VOLUME"),NA())</f>
        <v/>
      </c>
      <c r="I232" s="16">
        <f>IFERROR(H232/G232,NA())</f>
        <v/>
      </c>
      <c r="J232" s="16">
        <f>IF(ISNUMBER(I232),IF(I232&gt;=Settings!$B$7,"VOL SPIKE",""),"")</f>
        <v/>
      </c>
    </row>
    <row r="233">
      <c r="A233" s="16">
        <f>'Rest Universe'!A234</f>
        <v/>
      </c>
      <c r="B233" s="22">
        <f>IFERROR(_xll.BDP(A233,"NAME"),"")</f>
        <v/>
      </c>
      <c r="C233" s="22">
        <f>IFERROR(_xll.BDP(A233,"EQY_SH_OUT"),NA())</f>
        <v/>
      </c>
      <c r="D233" s="22">
        <f>IFERROR(_xll.BDH(A233,"EQY_SH_OUT","-"&amp;Settings!$B$4&amp;"AW","-"&amp;Settings!$B$4&amp;"AW","days=a","fill=p"),NA())</f>
        <v/>
      </c>
      <c r="E233" s="23">
        <f>IFERROR((C233-D233)/D233,NA())</f>
        <v/>
      </c>
      <c r="F233" s="16">
        <f>IF(ISNUMBER(E233),IF(E233&lt;=Settings!$B$6,"BUYBACK ACTIVITY",""),"")</f>
        <v/>
      </c>
      <c r="G233" s="22">
        <f>IFERROR(_xll.BDP(A233,"VOLUME_AVG_30D"),NA())</f>
        <v/>
      </c>
      <c r="H233" s="22">
        <f>IFERROR(_xll.BDP(A233,"PX_VOLUME"),NA())</f>
        <v/>
      </c>
      <c r="I233" s="16">
        <f>IFERROR(H233/G233,NA())</f>
        <v/>
      </c>
      <c r="J233" s="16">
        <f>IF(ISNUMBER(I233),IF(I233&gt;=Settings!$B$7,"VOL SPIKE",""),"")</f>
        <v/>
      </c>
    </row>
    <row r="234">
      <c r="A234" s="16">
        <f>'Rest Universe'!A235</f>
        <v/>
      </c>
      <c r="B234" s="22">
        <f>IFERROR(_xll.BDP(A234,"NAME"),"")</f>
        <v/>
      </c>
      <c r="C234" s="22">
        <f>IFERROR(_xll.BDP(A234,"EQY_SH_OUT"),NA())</f>
        <v/>
      </c>
      <c r="D234" s="22">
        <f>IFERROR(_xll.BDH(A234,"EQY_SH_OUT","-"&amp;Settings!$B$4&amp;"AW","-"&amp;Settings!$B$4&amp;"AW","days=a","fill=p"),NA())</f>
        <v/>
      </c>
      <c r="E234" s="23">
        <f>IFERROR((C234-D234)/D234,NA())</f>
        <v/>
      </c>
      <c r="F234" s="16">
        <f>IF(ISNUMBER(E234),IF(E234&lt;=Settings!$B$6,"BUYBACK ACTIVITY",""),"")</f>
        <v/>
      </c>
      <c r="G234" s="22">
        <f>IFERROR(_xll.BDP(A234,"VOLUME_AVG_30D"),NA())</f>
        <v/>
      </c>
      <c r="H234" s="22">
        <f>IFERROR(_xll.BDP(A234,"PX_VOLUME"),NA())</f>
        <v/>
      </c>
      <c r="I234" s="16">
        <f>IFERROR(H234/G234,NA())</f>
        <v/>
      </c>
      <c r="J234" s="16">
        <f>IF(ISNUMBER(I234),IF(I234&gt;=Settings!$B$7,"VOL SPIKE",""),"")</f>
        <v/>
      </c>
    </row>
    <row r="235">
      <c r="A235" s="16">
        <f>'Rest Universe'!A236</f>
        <v/>
      </c>
      <c r="B235" s="22">
        <f>IFERROR(_xll.BDP(A235,"NAME"),"")</f>
        <v/>
      </c>
      <c r="C235" s="22">
        <f>IFERROR(_xll.BDP(A235,"EQY_SH_OUT"),NA())</f>
        <v/>
      </c>
      <c r="D235" s="22">
        <f>IFERROR(_xll.BDH(A235,"EQY_SH_OUT","-"&amp;Settings!$B$4&amp;"AW","-"&amp;Settings!$B$4&amp;"AW","days=a","fill=p"),NA())</f>
        <v/>
      </c>
      <c r="E235" s="23">
        <f>IFERROR((C235-D235)/D235,NA())</f>
        <v/>
      </c>
      <c r="F235" s="16">
        <f>IF(ISNUMBER(E235),IF(E235&lt;=Settings!$B$6,"BUYBACK ACTIVITY",""),"")</f>
        <v/>
      </c>
      <c r="G235" s="22">
        <f>IFERROR(_xll.BDP(A235,"VOLUME_AVG_30D"),NA())</f>
        <v/>
      </c>
      <c r="H235" s="22">
        <f>IFERROR(_xll.BDP(A235,"PX_VOLUME"),NA())</f>
        <v/>
      </c>
      <c r="I235" s="16">
        <f>IFERROR(H235/G235,NA())</f>
        <v/>
      </c>
      <c r="J235" s="16">
        <f>IF(ISNUMBER(I235),IF(I235&gt;=Settings!$B$7,"VOL SPIKE",""),"")</f>
        <v/>
      </c>
    </row>
    <row r="236">
      <c r="A236" s="16">
        <f>'Rest Universe'!A237</f>
        <v/>
      </c>
      <c r="B236" s="22">
        <f>IFERROR(_xll.BDP(A236,"NAME"),"")</f>
        <v/>
      </c>
      <c r="C236" s="22">
        <f>IFERROR(_xll.BDP(A236,"EQY_SH_OUT"),NA())</f>
        <v/>
      </c>
      <c r="D236" s="22">
        <f>IFERROR(_xll.BDH(A236,"EQY_SH_OUT","-"&amp;Settings!$B$4&amp;"AW","-"&amp;Settings!$B$4&amp;"AW","days=a","fill=p"),NA())</f>
        <v/>
      </c>
      <c r="E236" s="23">
        <f>IFERROR((C236-D236)/D236,NA())</f>
        <v/>
      </c>
      <c r="F236" s="16">
        <f>IF(ISNUMBER(E236),IF(E236&lt;=Settings!$B$6,"BUYBACK ACTIVITY",""),"")</f>
        <v/>
      </c>
      <c r="G236" s="22">
        <f>IFERROR(_xll.BDP(A236,"VOLUME_AVG_30D"),NA())</f>
        <v/>
      </c>
      <c r="H236" s="22">
        <f>IFERROR(_xll.BDP(A236,"PX_VOLUME"),NA())</f>
        <v/>
      </c>
      <c r="I236" s="16">
        <f>IFERROR(H236/G236,NA())</f>
        <v/>
      </c>
      <c r="J236" s="16">
        <f>IF(ISNUMBER(I236),IF(I236&gt;=Settings!$B$7,"VOL SPIKE",""),"")</f>
        <v/>
      </c>
    </row>
    <row r="237">
      <c r="A237" s="16">
        <f>'Rest Universe'!A238</f>
        <v/>
      </c>
      <c r="B237" s="22">
        <f>IFERROR(_xll.BDP(A237,"NAME"),"")</f>
        <v/>
      </c>
      <c r="C237" s="22">
        <f>IFERROR(_xll.BDP(A237,"EQY_SH_OUT"),NA())</f>
        <v/>
      </c>
      <c r="D237" s="22">
        <f>IFERROR(_xll.BDH(A237,"EQY_SH_OUT","-"&amp;Settings!$B$4&amp;"AW","-"&amp;Settings!$B$4&amp;"AW","days=a","fill=p"),NA())</f>
        <v/>
      </c>
      <c r="E237" s="23">
        <f>IFERROR((C237-D237)/D237,NA())</f>
        <v/>
      </c>
      <c r="F237" s="16">
        <f>IF(ISNUMBER(E237),IF(E237&lt;=Settings!$B$6,"BUYBACK ACTIVITY",""),"")</f>
        <v/>
      </c>
      <c r="G237" s="22">
        <f>IFERROR(_xll.BDP(A237,"VOLUME_AVG_30D"),NA())</f>
        <v/>
      </c>
      <c r="H237" s="22">
        <f>IFERROR(_xll.BDP(A237,"PX_VOLUME"),NA())</f>
        <v/>
      </c>
      <c r="I237" s="16">
        <f>IFERROR(H237/G237,NA())</f>
        <v/>
      </c>
      <c r="J237" s="16">
        <f>IF(ISNUMBER(I237),IF(I237&gt;=Settings!$B$7,"VOL SPIKE",""),"")</f>
        <v/>
      </c>
    </row>
    <row r="238">
      <c r="A238" s="16">
        <f>'Rest Universe'!A239</f>
        <v/>
      </c>
      <c r="B238" s="22">
        <f>IFERROR(_xll.BDP(A238,"NAME"),"")</f>
        <v/>
      </c>
      <c r="C238" s="22">
        <f>IFERROR(_xll.BDP(A238,"EQY_SH_OUT"),NA())</f>
        <v/>
      </c>
      <c r="D238" s="22">
        <f>IFERROR(_xll.BDH(A238,"EQY_SH_OUT","-"&amp;Settings!$B$4&amp;"AW","-"&amp;Settings!$B$4&amp;"AW","days=a","fill=p"),NA())</f>
        <v/>
      </c>
      <c r="E238" s="23">
        <f>IFERROR((C238-D238)/D238,NA())</f>
        <v/>
      </c>
      <c r="F238" s="16">
        <f>IF(ISNUMBER(E238),IF(E238&lt;=Settings!$B$6,"BUYBACK ACTIVITY",""),"")</f>
        <v/>
      </c>
      <c r="G238" s="22">
        <f>IFERROR(_xll.BDP(A238,"VOLUME_AVG_30D"),NA())</f>
        <v/>
      </c>
      <c r="H238" s="22">
        <f>IFERROR(_xll.BDP(A238,"PX_VOLUME"),NA())</f>
        <v/>
      </c>
      <c r="I238" s="16">
        <f>IFERROR(H238/G238,NA())</f>
        <v/>
      </c>
      <c r="J238" s="16">
        <f>IF(ISNUMBER(I238),IF(I238&gt;=Settings!$B$7,"VOL SPIKE",""),"")</f>
        <v/>
      </c>
    </row>
    <row r="239">
      <c r="A239" s="16">
        <f>'Rest Universe'!A240</f>
        <v/>
      </c>
      <c r="B239" s="22">
        <f>IFERROR(_xll.BDP(A239,"NAME"),"")</f>
        <v/>
      </c>
      <c r="C239" s="22">
        <f>IFERROR(_xll.BDP(A239,"EQY_SH_OUT"),NA())</f>
        <v/>
      </c>
      <c r="D239" s="22">
        <f>IFERROR(_xll.BDH(A239,"EQY_SH_OUT","-"&amp;Settings!$B$4&amp;"AW","-"&amp;Settings!$B$4&amp;"AW","days=a","fill=p"),NA())</f>
        <v/>
      </c>
      <c r="E239" s="23">
        <f>IFERROR((C239-D239)/D239,NA())</f>
        <v/>
      </c>
      <c r="F239" s="16">
        <f>IF(ISNUMBER(E239),IF(E239&lt;=Settings!$B$6,"BUYBACK ACTIVITY",""),"")</f>
        <v/>
      </c>
      <c r="G239" s="22">
        <f>IFERROR(_xll.BDP(A239,"VOLUME_AVG_30D"),NA())</f>
        <v/>
      </c>
      <c r="H239" s="22">
        <f>IFERROR(_xll.BDP(A239,"PX_VOLUME"),NA())</f>
        <v/>
      </c>
      <c r="I239" s="16">
        <f>IFERROR(H239/G239,NA())</f>
        <v/>
      </c>
      <c r="J239" s="16">
        <f>IF(ISNUMBER(I239),IF(I239&gt;=Settings!$B$7,"VOL SPIKE",""),"")</f>
        <v/>
      </c>
    </row>
    <row r="240">
      <c r="A240" s="16">
        <f>'Rest Universe'!A241</f>
        <v/>
      </c>
      <c r="B240" s="22">
        <f>IFERROR(_xll.BDP(A240,"NAME"),"")</f>
        <v/>
      </c>
      <c r="C240" s="22">
        <f>IFERROR(_xll.BDP(A240,"EQY_SH_OUT"),NA())</f>
        <v/>
      </c>
      <c r="D240" s="22">
        <f>IFERROR(_xll.BDH(A240,"EQY_SH_OUT","-"&amp;Settings!$B$4&amp;"AW","-"&amp;Settings!$B$4&amp;"AW","days=a","fill=p"),NA())</f>
        <v/>
      </c>
      <c r="E240" s="23">
        <f>IFERROR((C240-D240)/D240,NA())</f>
        <v/>
      </c>
      <c r="F240" s="16">
        <f>IF(ISNUMBER(E240),IF(E240&lt;=Settings!$B$6,"BUYBACK ACTIVITY",""),"")</f>
        <v/>
      </c>
      <c r="G240" s="22">
        <f>IFERROR(_xll.BDP(A240,"VOLUME_AVG_30D"),NA())</f>
        <v/>
      </c>
      <c r="H240" s="22">
        <f>IFERROR(_xll.BDP(A240,"PX_VOLUME"),NA())</f>
        <v/>
      </c>
      <c r="I240" s="16">
        <f>IFERROR(H240/G240,NA())</f>
        <v/>
      </c>
      <c r="J240" s="16">
        <f>IF(ISNUMBER(I240),IF(I240&gt;=Settings!$B$7,"VOL SPIKE",""),"")</f>
        <v/>
      </c>
    </row>
    <row r="241">
      <c r="A241" s="16">
        <f>'Rest Universe'!A242</f>
        <v/>
      </c>
      <c r="B241" s="22">
        <f>IFERROR(_xll.BDP(A241,"NAME"),"")</f>
        <v/>
      </c>
      <c r="C241" s="22">
        <f>IFERROR(_xll.BDP(A241,"EQY_SH_OUT"),NA())</f>
        <v/>
      </c>
      <c r="D241" s="22">
        <f>IFERROR(_xll.BDH(A241,"EQY_SH_OUT","-"&amp;Settings!$B$4&amp;"AW","-"&amp;Settings!$B$4&amp;"AW","days=a","fill=p"),NA())</f>
        <v/>
      </c>
      <c r="E241" s="23">
        <f>IFERROR((C241-D241)/D241,NA())</f>
        <v/>
      </c>
      <c r="F241" s="16">
        <f>IF(ISNUMBER(E241),IF(E241&lt;=Settings!$B$6,"BUYBACK ACTIVITY",""),"")</f>
        <v/>
      </c>
      <c r="G241" s="22">
        <f>IFERROR(_xll.BDP(A241,"VOLUME_AVG_30D"),NA())</f>
        <v/>
      </c>
      <c r="H241" s="22">
        <f>IFERROR(_xll.BDP(A241,"PX_VOLUME"),NA())</f>
        <v/>
      </c>
      <c r="I241" s="16">
        <f>IFERROR(H241/G241,NA())</f>
        <v/>
      </c>
      <c r="J241" s="16">
        <f>IF(ISNUMBER(I241),IF(I241&gt;=Settings!$B$7,"VOL SPIKE",""),"")</f>
        <v/>
      </c>
    </row>
    <row r="242">
      <c r="A242" s="16">
        <f>'Rest Universe'!A243</f>
        <v/>
      </c>
      <c r="B242" s="22">
        <f>IFERROR(_xll.BDP(A242,"NAME"),"")</f>
        <v/>
      </c>
      <c r="C242" s="22">
        <f>IFERROR(_xll.BDP(A242,"EQY_SH_OUT"),NA())</f>
        <v/>
      </c>
      <c r="D242" s="22">
        <f>IFERROR(_xll.BDH(A242,"EQY_SH_OUT","-"&amp;Settings!$B$4&amp;"AW","-"&amp;Settings!$B$4&amp;"AW","days=a","fill=p"),NA())</f>
        <v/>
      </c>
      <c r="E242" s="23">
        <f>IFERROR((C242-D242)/D242,NA())</f>
        <v/>
      </c>
      <c r="F242" s="16">
        <f>IF(ISNUMBER(E242),IF(E242&lt;=Settings!$B$6,"BUYBACK ACTIVITY",""),"")</f>
        <v/>
      </c>
      <c r="G242" s="22">
        <f>IFERROR(_xll.BDP(A242,"VOLUME_AVG_30D"),NA())</f>
        <v/>
      </c>
      <c r="H242" s="22">
        <f>IFERROR(_xll.BDP(A242,"PX_VOLUME"),NA())</f>
        <v/>
      </c>
      <c r="I242" s="16">
        <f>IFERROR(H242/G242,NA())</f>
        <v/>
      </c>
      <c r="J242" s="16">
        <f>IF(ISNUMBER(I242),IF(I242&gt;=Settings!$B$7,"VOL SPIKE",""),"")</f>
        <v/>
      </c>
    </row>
    <row r="243">
      <c r="A243" s="16">
        <f>'Rest Universe'!A244</f>
        <v/>
      </c>
      <c r="B243" s="22">
        <f>IFERROR(_xll.BDP(A243,"NAME"),"")</f>
        <v/>
      </c>
      <c r="C243" s="22">
        <f>IFERROR(_xll.BDP(A243,"EQY_SH_OUT"),NA())</f>
        <v/>
      </c>
      <c r="D243" s="22">
        <f>IFERROR(_xll.BDH(A243,"EQY_SH_OUT","-"&amp;Settings!$B$4&amp;"AW","-"&amp;Settings!$B$4&amp;"AW","days=a","fill=p"),NA())</f>
        <v/>
      </c>
      <c r="E243" s="23">
        <f>IFERROR((C243-D243)/D243,NA())</f>
        <v/>
      </c>
      <c r="F243" s="16">
        <f>IF(ISNUMBER(E243),IF(E243&lt;=Settings!$B$6,"BUYBACK ACTIVITY",""),"")</f>
        <v/>
      </c>
      <c r="G243" s="22">
        <f>IFERROR(_xll.BDP(A243,"VOLUME_AVG_30D"),NA())</f>
        <v/>
      </c>
      <c r="H243" s="22">
        <f>IFERROR(_xll.BDP(A243,"PX_VOLUME"),NA())</f>
        <v/>
      </c>
      <c r="I243" s="16">
        <f>IFERROR(H243/G243,NA())</f>
        <v/>
      </c>
      <c r="J243" s="16">
        <f>IF(ISNUMBER(I243),IF(I243&gt;=Settings!$B$7,"VOL SPIKE",""),"")</f>
        <v/>
      </c>
    </row>
    <row r="244">
      <c r="A244" s="16">
        <f>'Rest Universe'!A245</f>
        <v/>
      </c>
      <c r="B244" s="22">
        <f>IFERROR(_xll.BDP(A244,"NAME"),"")</f>
        <v/>
      </c>
      <c r="C244" s="22">
        <f>IFERROR(_xll.BDP(A244,"EQY_SH_OUT"),NA())</f>
        <v/>
      </c>
      <c r="D244" s="22">
        <f>IFERROR(_xll.BDH(A244,"EQY_SH_OUT","-"&amp;Settings!$B$4&amp;"AW","-"&amp;Settings!$B$4&amp;"AW","days=a","fill=p"),NA())</f>
        <v/>
      </c>
      <c r="E244" s="23">
        <f>IFERROR((C244-D244)/D244,NA())</f>
        <v/>
      </c>
      <c r="F244" s="16">
        <f>IF(ISNUMBER(E244),IF(E244&lt;=Settings!$B$6,"BUYBACK ACTIVITY",""),"")</f>
        <v/>
      </c>
      <c r="G244" s="22">
        <f>IFERROR(_xll.BDP(A244,"VOLUME_AVG_30D"),NA())</f>
        <v/>
      </c>
      <c r="H244" s="22">
        <f>IFERROR(_xll.BDP(A244,"PX_VOLUME"),NA())</f>
        <v/>
      </c>
      <c r="I244" s="16">
        <f>IFERROR(H244/G244,NA())</f>
        <v/>
      </c>
      <c r="J244" s="16">
        <f>IF(ISNUMBER(I244),IF(I244&gt;=Settings!$B$7,"VOL SPIKE",""),"")</f>
        <v/>
      </c>
    </row>
    <row r="245">
      <c r="A245" s="16">
        <f>'Rest Universe'!A246</f>
        <v/>
      </c>
      <c r="B245" s="22">
        <f>IFERROR(_xll.BDP(A245,"NAME"),"")</f>
        <v/>
      </c>
      <c r="C245" s="22">
        <f>IFERROR(_xll.BDP(A245,"EQY_SH_OUT"),NA())</f>
        <v/>
      </c>
      <c r="D245" s="22">
        <f>IFERROR(_xll.BDH(A245,"EQY_SH_OUT","-"&amp;Settings!$B$4&amp;"AW","-"&amp;Settings!$B$4&amp;"AW","days=a","fill=p"),NA())</f>
        <v/>
      </c>
      <c r="E245" s="23">
        <f>IFERROR((C245-D245)/D245,NA())</f>
        <v/>
      </c>
      <c r="F245" s="16">
        <f>IF(ISNUMBER(E245),IF(E245&lt;=Settings!$B$6,"BUYBACK ACTIVITY",""),"")</f>
        <v/>
      </c>
      <c r="G245" s="22">
        <f>IFERROR(_xll.BDP(A245,"VOLUME_AVG_30D"),NA())</f>
        <v/>
      </c>
      <c r="H245" s="22">
        <f>IFERROR(_xll.BDP(A245,"PX_VOLUME"),NA())</f>
        <v/>
      </c>
      <c r="I245" s="16">
        <f>IFERROR(H245/G245,NA())</f>
        <v/>
      </c>
      <c r="J245" s="16">
        <f>IF(ISNUMBER(I245),IF(I245&gt;=Settings!$B$7,"VOL SPIKE",""),"")</f>
        <v/>
      </c>
    </row>
    <row r="246">
      <c r="A246" s="16">
        <f>'Rest Universe'!A247</f>
        <v/>
      </c>
      <c r="B246" s="22">
        <f>IFERROR(_xll.BDP(A246,"NAME"),"")</f>
        <v/>
      </c>
      <c r="C246" s="22">
        <f>IFERROR(_xll.BDP(A246,"EQY_SH_OUT"),NA())</f>
        <v/>
      </c>
      <c r="D246" s="22">
        <f>IFERROR(_xll.BDH(A246,"EQY_SH_OUT","-"&amp;Settings!$B$4&amp;"AW","-"&amp;Settings!$B$4&amp;"AW","days=a","fill=p"),NA())</f>
        <v/>
      </c>
      <c r="E246" s="23">
        <f>IFERROR((C246-D246)/D246,NA())</f>
        <v/>
      </c>
      <c r="F246" s="16">
        <f>IF(ISNUMBER(E246),IF(E246&lt;=Settings!$B$6,"BUYBACK ACTIVITY",""),"")</f>
        <v/>
      </c>
      <c r="G246" s="22">
        <f>IFERROR(_xll.BDP(A246,"VOLUME_AVG_30D"),NA())</f>
        <v/>
      </c>
      <c r="H246" s="22">
        <f>IFERROR(_xll.BDP(A246,"PX_VOLUME"),NA())</f>
        <v/>
      </c>
      <c r="I246" s="16">
        <f>IFERROR(H246/G246,NA())</f>
        <v/>
      </c>
      <c r="J246" s="16">
        <f>IF(ISNUMBER(I246),IF(I246&gt;=Settings!$B$7,"VOL SPIKE",""),"")</f>
        <v/>
      </c>
    </row>
    <row r="247">
      <c r="A247" s="16">
        <f>'Rest Universe'!A248</f>
        <v/>
      </c>
      <c r="B247" s="22">
        <f>IFERROR(_xll.BDP(A247,"NAME"),"")</f>
        <v/>
      </c>
      <c r="C247" s="22">
        <f>IFERROR(_xll.BDP(A247,"EQY_SH_OUT"),NA())</f>
        <v/>
      </c>
      <c r="D247" s="22">
        <f>IFERROR(_xll.BDH(A247,"EQY_SH_OUT","-"&amp;Settings!$B$4&amp;"AW","-"&amp;Settings!$B$4&amp;"AW","days=a","fill=p"),NA())</f>
        <v/>
      </c>
      <c r="E247" s="23">
        <f>IFERROR((C247-D247)/D247,NA())</f>
        <v/>
      </c>
      <c r="F247" s="16">
        <f>IF(ISNUMBER(E247),IF(E247&lt;=Settings!$B$6,"BUYBACK ACTIVITY",""),"")</f>
        <v/>
      </c>
      <c r="G247" s="22">
        <f>IFERROR(_xll.BDP(A247,"VOLUME_AVG_30D"),NA())</f>
        <v/>
      </c>
      <c r="H247" s="22">
        <f>IFERROR(_xll.BDP(A247,"PX_VOLUME"),NA())</f>
        <v/>
      </c>
      <c r="I247" s="16">
        <f>IFERROR(H247/G247,NA())</f>
        <v/>
      </c>
      <c r="J247" s="16">
        <f>IF(ISNUMBER(I247),IF(I247&gt;=Settings!$B$7,"VOL SPIKE",""),"")</f>
        <v/>
      </c>
    </row>
    <row r="248">
      <c r="A248" s="16">
        <f>'Rest Universe'!A249</f>
        <v/>
      </c>
      <c r="B248" s="22">
        <f>IFERROR(_xll.BDP(A248,"NAME"),"")</f>
        <v/>
      </c>
      <c r="C248" s="22">
        <f>IFERROR(_xll.BDP(A248,"EQY_SH_OUT"),NA())</f>
        <v/>
      </c>
      <c r="D248" s="22">
        <f>IFERROR(_xll.BDH(A248,"EQY_SH_OUT","-"&amp;Settings!$B$4&amp;"AW","-"&amp;Settings!$B$4&amp;"AW","days=a","fill=p"),NA())</f>
        <v/>
      </c>
      <c r="E248" s="23">
        <f>IFERROR((C248-D248)/D248,NA())</f>
        <v/>
      </c>
      <c r="F248" s="16">
        <f>IF(ISNUMBER(E248),IF(E248&lt;=Settings!$B$6,"BUYBACK ACTIVITY",""),"")</f>
        <v/>
      </c>
      <c r="G248" s="22">
        <f>IFERROR(_xll.BDP(A248,"VOLUME_AVG_30D"),NA())</f>
        <v/>
      </c>
      <c r="H248" s="22">
        <f>IFERROR(_xll.BDP(A248,"PX_VOLUME"),NA())</f>
        <v/>
      </c>
      <c r="I248" s="16">
        <f>IFERROR(H248/G248,NA())</f>
        <v/>
      </c>
      <c r="J248" s="16">
        <f>IF(ISNUMBER(I248),IF(I248&gt;=Settings!$B$7,"VOL SPIKE",""),"")</f>
        <v/>
      </c>
    </row>
    <row r="249">
      <c r="A249" s="16">
        <f>'Rest Universe'!A250</f>
        <v/>
      </c>
      <c r="B249" s="22">
        <f>IFERROR(_xll.BDP(A249,"NAME"),"")</f>
        <v/>
      </c>
      <c r="C249" s="22">
        <f>IFERROR(_xll.BDP(A249,"EQY_SH_OUT"),NA())</f>
        <v/>
      </c>
      <c r="D249" s="22">
        <f>IFERROR(_xll.BDH(A249,"EQY_SH_OUT","-"&amp;Settings!$B$4&amp;"AW","-"&amp;Settings!$B$4&amp;"AW","days=a","fill=p"),NA())</f>
        <v/>
      </c>
      <c r="E249" s="23">
        <f>IFERROR((C249-D249)/D249,NA())</f>
        <v/>
      </c>
      <c r="F249" s="16">
        <f>IF(ISNUMBER(E249),IF(E249&lt;=Settings!$B$6,"BUYBACK ACTIVITY",""),"")</f>
        <v/>
      </c>
      <c r="G249" s="22">
        <f>IFERROR(_xll.BDP(A249,"VOLUME_AVG_30D"),NA())</f>
        <v/>
      </c>
      <c r="H249" s="22">
        <f>IFERROR(_xll.BDP(A249,"PX_VOLUME"),NA())</f>
        <v/>
      </c>
      <c r="I249" s="16">
        <f>IFERROR(H249/G249,NA())</f>
        <v/>
      </c>
      <c r="J249" s="16">
        <f>IF(ISNUMBER(I249),IF(I249&gt;=Settings!$B$7,"VOL SPIKE",""),"")</f>
        <v/>
      </c>
    </row>
    <row r="250">
      <c r="A250" s="16">
        <f>'Rest Universe'!A251</f>
        <v/>
      </c>
      <c r="B250" s="22">
        <f>IFERROR(_xll.BDP(A250,"NAME"),"")</f>
        <v/>
      </c>
      <c r="C250" s="22">
        <f>IFERROR(_xll.BDP(A250,"EQY_SH_OUT"),NA())</f>
        <v/>
      </c>
      <c r="D250" s="22">
        <f>IFERROR(_xll.BDH(A250,"EQY_SH_OUT","-"&amp;Settings!$B$4&amp;"AW","-"&amp;Settings!$B$4&amp;"AW","days=a","fill=p"),NA())</f>
        <v/>
      </c>
      <c r="E250" s="23">
        <f>IFERROR((C250-D250)/D250,NA())</f>
        <v/>
      </c>
      <c r="F250" s="16">
        <f>IF(ISNUMBER(E250),IF(E250&lt;=Settings!$B$6,"BUYBACK ACTIVITY",""),"")</f>
        <v/>
      </c>
      <c r="G250" s="22">
        <f>IFERROR(_xll.BDP(A250,"VOLUME_AVG_30D"),NA())</f>
        <v/>
      </c>
      <c r="H250" s="22">
        <f>IFERROR(_xll.BDP(A250,"PX_VOLUME"),NA())</f>
        <v/>
      </c>
      <c r="I250" s="16">
        <f>IFERROR(H250/G250,NA())</f>
        <v/>
      </c>
      <c r="J250" s="16">
        <f>IF(ISNUMBER(I250),IF(I250&gt;=Settings!$B$7,"VOL SPIKE",""),"")</f>
        <v/>
      </c>
    </row>
    <row r="251">
      <c r="A251" s="16">
        <f>'Rest Universe'!A252</f>
        <v/>
      </c>
      <c r="B251" s="22">
        <f>IFERROR(_xll.BDP(A251,"NAME"),"")</f>
        <v/>
      </c>
      <c r="C251" s="22">
        <f>IFERROR(_xll.BDP(A251,"EQY_SH_OUT"),NA())</f>
        <v/>
      </c>
      <c r="D251" s="22">
        <f>IFERROR(_xll.BDH(A251,"EQY_SH_OUT","-"&amp;Settings!$B$4&amp;"AW","-"&amp;Settings!$B$4&amp;"AW","days=a","fill=p"),NA())</f>
        <v/>
      </c>
      <c r="E251" s="23">
        <f>IFERROR((C251-D251)/D251,NA())</f>
        <v/>
      </c>
      <c r="F251" s="16">
        <f>IF(ISNUMBER(E251),IF(E251&lt;=Settings!$B$6,"BUYBACK ACTIVITY",""),"")</f>
        <v/>
      </c>
      <c r="G251" s="22">
        <f>IFERROR(_xll.BDP(A251,"VOLUME_AVG_30D"),NA())</f>
        <v/>
      </c>
      <c r="H251" s="22">
        <f>IFERROR(_xll.BDP(A251,"PX_VOLUME"),NA())</f>
        <v/>
      </c>
      <c r="I251" s="16">
        <f>IFERROR(H251/G251,NA())</f>
        <v/>
      </c>
      <c r="J251" s="16">
        <f>IF(ISNUMBER(I251),IF(I251&gt;=Settings!$B$7,"VOL SPIKE",""),"")</f>
        <v/>
      </c>
    </row>
    <row r="252">
      <c r="A252" s="16">
        <f>'Rest Universe'!A253</f>
        <v/>
      </c>
      <c r="B252" s="22">
        <f>IFERROR(_xll.BDP(A252,"NAME"),"")</f>
        <v/>
      </c>
      <c r="C252" s="22">
        <f>IFERROR(_xll.BDP(A252,"EQY_SH_OUT"),NA())</f>
        <v/>
      </c>
      <c r="D252" s="22">
        <f>IFERROR(_xll.BDH(A252,"EQY_SH_OUT","-"&amp;Settings!$B$4&amp;"AW","-"&amp;Settings!$B$4&amp;"AW","days=a","fill=p"),NA())</f>
        <v/>
      </c>
      <c r="E252" s="23">
        <f>IFERROR((C252-D252)/D252,NA())</f>
        <v/>
      </c>
      <c r="F252" s="16">
        <f>IF(ISNUMBER(E252),IF(E252&lt;=Settings!$B$6,"BUYBACK ACTIVITY",""),"")</f>
        <v/>
      </c>
      <c r="G252" s="22">
        <f>IFERROR(_xll.BDP(A252,"VOLUME_AVG_30D"),NA())</f>
        <v/>
      </c>
      <c r="H252" s="22">
        <f>IFERROR(_xll.BDP(A252,"PX_VOLUME"),NA())</f>
        <v/>
      </c>
      <c r="I252" s="16">
        <f>IFERROR(H252/G252,NA())</f>
        <v/>
      </c>
      <c r="J252" s="16">
        <f>IF(ISNUMBER(I252),IF(I252&gt;=Settings!$B$7,"VOL SPIKE",""),"")</f>
        <v/>
      </c>
    </row>
    <row r="253">
      <c r="A253" s="16">
        <f>'Rest Universe'!A254</f>
        <v/>
      </c>
      <c r="B253" s="22">
        <f>IFERROR(_xll.BDP(A253,"NAME"),"")</f>
        <v/>
      </c>
      <c r="C253" s="22">
        <f>IFERROR(_xll.BDP(A253,"EQY_SH_OUT"),NA())</f>
        <v/>
      </c>
      <c r="D253" s="22">
        <f>IFERROR(_xll.BDH(A253,"EQY_SH_OUT","-"&amp;Settings!$B$4&amp;"AW","-"&amp;Settings!$B$4&amp;"AW","days=a","fill=p"),NA())</f>
        <v/>
      </c>
      <c r="E253" s="23">
        <f>IFERROR((C253-D253)/D253,NA())</f>
        <v/>
      </c>
      <c r="F253" s="16">
        <f>IF(ISNUMBER(E253),IF(E253&lt;=Settings!$B$6,"BUYBACK ACTIVITY",""),"")</f>
        <v/>
      </c>
      <c r="G253" s="22">
        <f>IFERROR(_xll.BDP(A253,"VOLUME_AVG_30D"),NA())</f>
        <v/>
      </c>
      <c r="H253" s="22">
        <f>IFERROR(_xll.BDP(A253,"PX_VOLUME"),NA())</f>
        <v/>
      </c>
      <c r="I253" s="16">
        <f>IFERROR(H253/G253,NA())</f>
        <v/>
      </c>
      <c r="J253" s="16">
        <f>IF(ISNUMBER(I253),IF(I253&gt;=Settings!$B$7,"VOL SPIKE",""),"")</f>
        <v/>
      </c>
    </row>
    <row r="254">
      <c r="A254" s="16">
        <f>'Rest Universe'!A255</f>
        <v/>
      </c>
      <c r="B254" s="22">
        <f>IFERROR(_xll.BDP(A254,"NAME"),"")</f>
        <v/>
      </c>
      <c r="C254" s="22">
        <f>IFERROR(_xll.BDP(A254,"EQY_SH_OUT"),NA())</f>
        <v/>
      </c>
      <c r="D254" s="22">
        <f>IFERROR(_xll.BDH(A254,"EQY_SH_OUT","-"&amp;Settings!$B$4&amp;"AW","-"&amp;Settings!$B$4&amp;"AW","days=a","fill=p"),NA())</f>
        <v/>
      </c>
      <c r="E254" s="23">
        <f>IFERROR((C254-D254)/D254,NA())</f>
        <v/>
      </c>
      <c r="F254" s="16">
        <f>IF(ISNUMBER(E254),IF(E254&lt;=Settings!$B$6,"BUYBACK ACTIVITY",""),"")</f>
        <v/>
      </c>
      <c r="G254" s="22">
        <f>IFERROR(_xll.BDP(A254,"VOLUME_AVG_30D"),NA())</f>
        <v/>
      </c>
      <c r="H254" s="22">
        <f>IFERROR(_xll.BDP(A254,"PX_VOLUME"),NA())</f>
        <v/>
      </c>
      <c r="I254" s="16">
        <f>IFERROR(H254/G254,NA())</f>
        <v/>
      </c>
      <c r="J254" s="16">
        <f>IF(ISNUMBER(I254),IF(I254&gt;=Settings!$B$7,"VOL SPIKE",""),"")</f>
        <v/>
      </c>
    </row>
    <row r="255">
      <c r="A255" s="16">
        <f>'Rest Universe'!A256</f>
        <v/>
      </c>
      <c r="B255" s="22">
        <f>IFERROR(_xll.BDP(A255,"NAME"),"")</f>
        <v/>
      </c>
      <c r="C255" s="22">
        <f>IFERROR(_xll.BDP(A255,"EQY_SH_OUT"),NA())</f>
        <v/>
      </c>
      <c r="D255" s="22">
        <f>IFERROR(_xll.BDH(A255,"EQY_SH_OUT","-"&amp;Settings!$B$4&amp;"AW","-"&amp;Settings!$B$4&amp;"AW","days=a","fill=p"),NA())</f>
        <v/>
      </c>
      <c r="E255" s="23">
        <f>IFERROR((C255-D255)/D255,NA())</f>
        <v/>
      </c>
      <c r="F255" s="16">
        <f>IF(ISNUMBER(E255),IF(E255&lt;=Settings!$B$6,"BUYBACK ACTIVITY",""),"")</f>
        <v/>
      </c>
      <c r="G255" s="22">
        <f>IFERROR(_xll.BDP(A255,"VOLUME_AVG_30D"),NA())</f>
        <v/>
      </c>
      <c r="H255" s="22">
        <f>IFERROR(_xll.BDP(A255,"PX_VOLUME"),NA())</f>
        <v/>
      </c>
      <c r="I255" s="16">
        <f>IFERROR(H255/G255,NA())</f>
        <v/>
      </c>
      <c r="J255" s="16">
        <f>IF(ISNUMBER(I255),IF(I255&gt;=Settings!$B$7,"VOL SPIKE",""),"")</f>
        <v/>
      </c>
    </row>
    <row r="256">
      <c r="A256" s="16">
        <f>'Rest Universe'!A257</f>
        <v/>
      </c>
      <c r="B256" s="22">
        <f>IFERROR(_xll.BDP(A256,"NAME"),"")</f>
        <v/>
      </c>
      <c r="C256" s="22">
        <f>IFERROR(_xll.BDP(A256,"EQY_SH_OUT"),NA())</f>
        <v/>
      </c>
      <c r="D256" s="22">
        <f>IFERROR(_xll.BDH(A256,"EQY_SH_OUT","-"&amp;Settings!$B$4&amp;"AW","-"&amp;Settings!$B$4&amp;"AW","days=a","fill=p"),NA())</f>
        <v/>
      </c>
      <c r="E256" s="23">
        <f>IFERROR((C256-D256)/D256,NA())</f>
        <v/>
      </c>
      <c r="F256" s="16">
        <f>IF(ISNUMBER(E256),IF(E256&lt;=Settings!$B$6,"BUYBACK ACTIVITY",""),"")</f>
        <v/>
      </c>
      <c r="G256" s="22">
        <f>IFERROR(_xll.BDP(A256,"VOLUME_AVG_30D"),NA())</f>
        <v/>
      </c>
      <c r="H256" s="22">
        <f>IFERROR(_xll.BDP(A256,"PX_VOLUME"),NA())</f>
        <v/>
      </c>
      <c r="I256" s="16">
        <f>IFERROR(H256/G256,NA())</f>
        <v/>
      </c>
      <c r="J256" s="16">
        <f>IF(ISNUMBER(I256),IF(I256&gt;=Settings!$B$7,"VOL SPIKE",""),"")</f>
        <v/>
      </c>
    </row>
    <row r="257">
      <c r="A257" s="16">
        <f>'Rest Universe'!A258</f>
        <v/>
      </c>
      <c r="B257" s="22">
        <f>IFERROR(_xll.BDP(A257,"NAME"),"")</f>
        <v/>
      </c>
      <c r="C257" s="22">
        <f>IFERROR(_xll.BDP(A257,"EQY_SH_OUT"),NA())</f>
        <v/>
      </c>
      <c r="D257" s="22">
        <f>IFERROR(_xll.BDH(A257,"EQY_SH_OUT","-"&amp;Settings!$B$4&amp;"AW","-"&amp;Settings!$B$4&amp;"AW","days=a","fill=p"),NA())</f>
        <v/>
      </c>
      <c r="E257" s="23">
        <f>IFERROR((C257-D257)/D257,NA())</f>
        <v/>
      </c>
      <c r="F257" s="16">
        <f>IF(ISNUMBER(E257),IF(E257&lt;=Settings!$B$6,"BUYBACK ACTIVITY",""),"")</f>
        <v/>
      </c>
      <c r="G257" s="22">
        <f>IFERROR(_xll.BDP(A257,"VOLUME_AVG_30D"),NA())</f>
        <v/>
      </c>
      <c r="H257" s="22">
        <f>IFERROR(_xll.BDP(A257,"PX_VOLUME"),NA())</f>
        <v/>
      </c>
      <c r="I257" s="16">
        <f>IFERROR(H257/G257,NA())</f>
        <v/>
      </c>
      <c r="J257" s="16">
        <f>IF(ISNUMBER(I257),IF(I257&gt;=Settings!$B$7,"VOL SPIKE",""),"")</f>
        <v/>
      </c>
    </row>
    <row r="258">
      <c r="A258" s="16">
        <f>'Rest Universe'!A259</f>
        <v/>
      </c>
      <c r="B258" s="22">
        <f>IFERROR(_xll.BDP(A258,"NAME"),"")</f>
        <v/>
      </c>
      <c r="C258" s="22">
        <f>IFERROR(_xll.BDP(A258,"EQY_SH_OUT"),NA())</f>
        <v/>
      </c>
      <c r="D258" s="22">
        <f>IFERROR(_xll.BDH(A258,"EQY_SH_OUT","-"&amp;Settings!$B$4&amp;"AW","-"&amp;Settings!$B$4&amp;"AW","days=a","fill=p"),NA())</f>
        <v/>
      </c>
      <c r="E258" s="23">
        <f>IFERROR((C258-D258)/D258,NA())</f>
        <v/>
      </c>
      <c r="F258" s="16">
        <f>IF(ISNUMBER(E258),IF(E258&lt;=Settings!$B$6,"BUYBACK ACTIVITY",""),"")</f>
        <v/>
      </c>
      <c r="G258" s="22">
        <f>IFERROR(_xll.BDP(A258,"VOLUME_AVG_30D"),NA())</f>
        <v/>
      </c>
      <c r="H258" s="22">
        <f>IFERROR(_xll.BDP(A258,"PX_VOLUME"),NA())</f>
        <v/>
      </c>
      <c r="I258" s="16">
        <f>IFERROR(H258/G258,NA())</f>
        <v/>
      </c>
      <c r="J258" s="16">
        <f>IF(ISNUMBER(I258),IF(I258&gt;=Settings!$B$7,"VOL SPIKE",""),"")</f>
        <v/>
      </c>
    </row>
    <row r="259">
      <c r="A259" s="16">
        <f>'Rest Universe'!A260</f>
        <v/>
      </c>
      <c r="B259" s="22">
        <f>IFERROR(_xll.BDP(A259,"NAME"),"")</f>
        <v/>
      </c>
      <c r="C259" s="22">
        <f>IFERROR(_xll.BDP(A259,"EQY_SH_OUT"),NA())</f>
        <v/>
      </c>
      <c r="D259" s="22">
        <f>IFERROR(_xll.BDH(A259,"EQY_SH_OUT","-"&amp;Settings!$B$4&amp;"AW","-"&amp;Settings!$B$4&amp;"AW","days=a","fill=p"),NA())</f>
        <v/>
      </c>
      <c r="E259" s="23">
        <f>IFERROR((C259-D259)/D259,NA())</f>
        <v/>
      </c>
      <c r="F259" s="16">
        <f>IF(ISNUMBER(E259),IF(E259&lt;=Settings!$B$6,"BUYBACK ACTIVITY",""),"")</f>
        <v/>
      </c>
      <c r="G259" s="22">
        <f>IFERROR(_xll.BDP(A259,"VOLUME_AVG_30D"),NA())</f>
        <v/>
      </c>
      <c r="H259" s="22">
        <f>IFERROR(_xll.BDP(A259,"PX_VOLUME"),NA())</f>
        <v/>
      </c>
      <c r="I259" s="16">
        <f>IFERROR(H259/G259,NA())</f>
        <v/>
      </c>
      <c r="J259" s="16">
        <f>IF(ISNUMBER(I259),IF(I259&gt;=Settings!$B$7,"VOL SPIKE",""),"")</f>
        <v/>
      </c>
    </row>
    <row r="260">
      <c r="A260" s="16">
        <f>'Rest Universe'!A261</f>
        <v/>
      </c>
      <c r="B260" s="22">
        <f>IFERROR(_xll.BDP(A260,"NAME"),"")</f>
        <v/>
      </c>
      <c r="C260" s="22">
        <f>IFERROR(_xll.BDP(A260,"EQY_SH_OUT"),NA())</f>
        <v/>
      </c>
      <c r="D260" s="22">
        <f>IFERROR(_xll.BDH(A260,"EQY_SH_OUT","-"&amp;Settings!$B$4&amp;"AW","-"&amp;Settings!$B$4&amp;"AW","days=a","fill=p"),NA())</f>
        <v/>
      </c>
      <c r="E260" s="23">
        <f>IFERROR((C260-D260)/D260,NA())</f>
        <v/>
      </c>
      <c r="F260" s="16">
        <f>IF(ISNUMBER(E260),IF(E260&lt;=Settings!$B$6,"BUYBACK ACTIVITY",""),"")</f>
        <v/>
      </c>
      <c r="G260" s="22">
        <f>IFERROR(_xll.BDP(A260,"VOLUME_AVG_30D"),NA())</f>
        <v/>
      </c>
      <c r="H260" s="22">
        <f>IFERROR(_xll.BDP(A260,"PX_VOLUME"),NA())</f>
        <v/>
      </c>
      <c r="I260" s="16">
        <f>IFERROR(H260/G260,NA())</f>
        <v/>
      </c>
      <c r="J260" s="16">
        <f>IF(ISNUMBER(I260),IF(I260&gt;=Settings!$B$7,"VOL SPIKE",""),"")</f>
        <v/>
      </c>
    </row>
    <row r="261">
      <c r="A261" s="16">
        <f>'Rest Universe'!A262</f>
        <v/>
      </c>
      <c r="B261" s="22">
        <f>IFERROR(_xll.BDP(A261,"NAME"),"")</f>
        <v/>
      </c>
      <c r="C261" s="22">
        <f>IFERROR(_xll.BDP(A261,"EQY_SH_OUT"),NA())</f>
        <v/>
      </c>
      <c r="D261" s="22">
        <f>IFERROR(_xll.BDH(A261,"EQY_SH_OUT","-"&amp;Settings!$B$4&amp;"AW","-"&amp;Settings!$B$4&amp;"AW","days=a","fill=p"),NA())</f>
        <v/>
      </c>
      <c r="E261" s="23">
        <f>IFERROR((C261-D261)/D261,NA())</f>
        <v/>
      </c>
      <c r="F261" s="16">
        <f>IF(ISNUMBER(E261),IF(E261&lt;=Settings!$B$6,"BUYBACK ACTIVITY",""),"")</f>
        <v/>
      </c>
      <c r="G261" s="22">
        <f>IFERROR(_xll.BDP(A261,"VOLUME_AVG_30D"),NA())</f>
        <v/>
      </c>
      <c r="H261" s="22">
        <f>IFERROR(_xll.BDP(A261,"PX_VOLUME"),NA())</f>
        <v/>
      </c>
      <c r="I261" s="16">
        <f>IFERROR(H261/G261,NA())</f>
        <v/>
      </c>
      <c r="J261" s="16">
        <f>IF(ISNUMBER(I261),IF(I261&gt;=Settings!$B$7,"VOL SPIKE",""),"")</f>
        <v/>
      </c>
    </row>
    <row r="262">
      <c r="A262" s="16">
        <f>'Rest Universe'!A263</f>
        <v/>
      </c>
      <c r="B262" s="22">
        <f>IFERROR(_xll.BDP(A262,"NAME"),"")</f>
        <v/>
      </c>
      <c r="C262" s="22">
        <f>IFERROR(_xll.BDP(A262,"EQY_SH_OUT"),NA())</f>
        <v/>
      </c>
      <c r="D262" s="22">
        <f>IFERROR(_xll.BDH(A262,"EQY_SH_OUT","-"&amp;Settings!$B$4&amp;"AW","-"&amp;Settings!$B$4&amp;"AW","days=a","fill=p"),NA())</f>
        <v/>
      </c>
      <c r="E262" s="23">
        <f>IFERROR((C262-D262)/D262,NA())</f>
        <v/>
      </c>
      <c r="F262" s="16">
        <f>IF(ISNUMBER(E262),IF(E262&lt;=Settings!$B$6,"BUYBACK ACTIVITY",""),"")</f>
        <v/>
      </c>
      <c r="G262" s="22">
        <f>IFERROR(_xll.BDP(A262,"VOLUME_AVG_30D"),NA())</f>
        <v/>
      </c>
      <c r="H262" s="22">
        <f>IFERROR(_xll.BDP(A262,"PX_VOLUME"),NA())</f>
        <v/>
      </c>
      <c r="I262" s="16">
        <f>IFERROR(H262/G262,NA())</f>
        <v/>
      </c>
      <c r="J262" s="16">
        <f>IF(ISNUMBER(I262),IF(I262&gt;=Settings!$B$7,"VOL SPIKE",""),"")</f>
        <v/>
      </c>
    </row>
    <row r="263">
      <c r="A263" s="16">
        <f>'Rest Universe'!A264</f>
        <v/>
      </c>
      <c r="B263" s="22">
        <f>IFERROR(_xll.BDP(A263,"NAME"),"")</f>
        <v/>
      </c>
      <c r="C263" s="22">
        <f>IFERROR(_xll.BDP(A263,"EQY_SH_OUT"),NA())</f>
        <v/>
      </c>
      <c r="D263" s="22">
        <f>IFERROR(_xll.BDH(A263,"EQY_SH_OUT","-"&amp;Settings!$B$4&amp;"AW","-"&amp;Settings!$B$4&amp;"AW","days=a","fill=p"),NA())</f>
        <v/>
      </c>
      <c r="E263" s="23">
        <f>IFERROR((C263-D263)/D263,NA())</f>
        <v/>
      </c>
      <c r="F263" s="16">
        <f>IF(ISNUMBER(E263),IF(E263&lt;=Settings!$B$6,"BUYBACK ACTIVITY",""),"")</f>
        <v/>
      </c>
      <c r="G263" s="22">
        <f>IFERROR(_xll.BDP(A263,"VOLUME_AVG_30D"),NA())</f>
        <v/>
      </c>
      <c r="H263" s="22">
        <f>IFERROR(_xll.BDP(A263,"PX_VOLUME"),NA())</f>
        <v/>
      </c>
      <c r="I263" s="16">
        <f>IFERROR(H263/G263,NA())</f>
        <v/>
      </c>
      <c r="J263" s="16">
        <f>IF(ISNUMBER(I263),IF(I263&gt;=Settings!$B$7,"VOL SPIKE",""),"")</f>
        <v/>
      </c>
    </row>
    <row r="264">
      <c r="A264" s="16">
        <f>'Rest Universe'!A265</f>
        <v/>
      </c>
      <c r="B264" s="22">
        <f>IFERROR(_xll.BDP(A264,"NAME"),"")</f>
        <v/>
      </c>
      <c r="C264" s="22">
        <f>IFERROR(_xll.BDP(A264,"EQY_SH_OUT"),NA())</f>
        <v/>
      </c>
      <c r="D264" s="22">
        <f>IFERROR(_xll.BDH(A264,"EQY_SH_OUT","-"&amp;Settings!$B$4&amp;"AW","-"&amp;Settings!$B$4&amp;"AW","days=a","fill=p"),NA())</f>
        <v/>
      </c>
      <c r="E264" s="23">
        <f>IFERROR((C264-D264)/D264,NA())</f>
        <v/>
      </c>
      <c r="F264" s="16">
        <f>IF(ISNUMBER(E264),IF(E264&lt;=Settings!$B$6,"BUYBACK ACTIVITY",""),"")</f>
        <v/>
      </c>
      <c r="G264" s="22">
        <f>IFERROR(_xll.BDP(A264,"VOLUME_AVG_30D"),NA())</f>
        <v/>
      </c>
      <c r="H264" s="22">
        <f>IFERROR(_xll.BDP(A264,"PX_VOLUME"),NA())</f>
        <v/>
      </c>
      <c r="I264" s="16">
        <f>IFERROR(H264/G264,NA())</f>
        <v/>
      </c>
      <c r="J264" s="16">
        <f>IF(ISNUMBER(I264),IF(I264&gt;=Settings!$B$7,"VOL SPIKE",""),"")</f>
        <v/>
      </c>
    </row>
    <row r="265">
      <c r="A265" s="16">
        <f>'Rest Universe'!A266</f>
        <v/>
      </c>
      <c r="B265" s="22">
        <f>IFERROR(_xll.BDP(A265,"NAME"),"")</f>
        <v/>
      </c>
      <c r="C265" s="22">
        <f>IFERROR(_xll.BDP(A265,"EQY_SH_OUT"),NA())</f>
        <v/>
      </c>
      <c r="D265" s="22">
        <f>IFERROR(_xll.BDH(A265,"EQY_SH_OUT","-"&amp;Settings!$B$4&amp;"AW","-"&amp;Settings!$B$4&amp;"AW","days=a","fill=p"),NA())</f>
        <v/>
      </c>
      <c r="E265" s="23">
        <f>IFERROR((C265-D265)/D265,NA())</f>
        <v/>
      </c>
      <c r="F265" s="16">
        <f>IF(ISNUMBER(E265),IF(E265&lt;=Settings!$B$6,"BUYBACK ACTIVITY",""),"")</f>
        <v/>
      </c>
      <c r="G265" s="22">
        <f>IFERROR(_xll.BDP(A265,"VOLUME_AVG_30D"),NA())</f>
        <v/>
      </c>
      <c r="H265" s="22">
        <f>IFERROR(_xll.BDP(A265,"PX_VOLUME"),NA())</f>
        <v/>
      </c>
      <c r="I265" s="16">
        <f>IFERROR(H265/G265,NA())</f>
        <v/>
      </c>
      <c r="J265" s="16">
        <f>IF(ISNUMBER(I265),IF(I265&gt;=Settings!$B$7,"VOL SPIKE",""),"")</f>
        <v/>
      </c>
    </row>
    <row r="266">
      <c r="A266" s="16">
        <f>'Rest Universe'!A267</f>
        <v/>
      </c>
      <c r="B266" s="22">
        <f>IFERROR(_xll.BDP(A266,"NAME"),"")</f>
        <v/>
      </c>
      <c r="C266" s="22">
        <f>IFERROR(_xll.BDP(A266,"EQY_SH_OUT"),NA())</f>
        <v/>
      </c>
      <c r="D266" s="22">
        <f>IFERROR(_xll.BDH(A266,"EQY_SH_OUT","-"&amp;Settings!$B$4&amp;"AW","-"&amp;Settings!$B$4&amp;"AW","days=a","fill=p"),NA())</f>
        <v/>
      </c>
      <c r="E266" s="23">
        <f>IFERROR((C266-D266)/D266,NA())</f>
        <v/>
      </c>
      <c r="F266" s="16">
        <f>IF(ISNUMBER(E266),IF(E266&lt;=Settings!$B$6,"BUYBACK ACTIVITY",""),"")</f>
        <v/>
      </c>
      <c r="G266" s="22">
        <f>IFERROR(_xll.BDP(A266,"VOLUME_AVG_30D"),NA())</f>
        <v/>
      </c>
      <c r="H266" s="22">
        <f>IFERROR(_xll.BDP(A266,"PX_VOLUME"),NA())</f>
        <v/>
      </c>
      <c r="I266" s="16">
        <f>IFERROR(H266/G266,NA())</f>
        <v/>
      </c>
      <c r="J266" s="16">
        <f>IF(ISNUMBER(I266),IF(I266&gt;=Settings!$B$7,"VOL SPIKE",""),"")</f>
        <v/>
      </c>
    </row>
    <row r="267">
      <c r="A267" s="16">
        <f>'Rest Universe'!A268</f>
        <v/>
      </c>
      <c r="B267" s="22">
        <f>IFERROR(_xll.BDP(A267,"NAME"),"")</f>
        <v/>
      </c>
      <c r="C267" s="22">
        <f>IFERROR(_xll.BDP(A267,"EQY_SH_OUT"),NA())</f>
        <v/>
      </c>
      <c r="D267" s="22">
        <f>IFERROR(_xll.BDH(A267,"EQY_SH_OUT","-"&amp;Settings!$B$4&amp;"AW","-"&amp;Settings!$B$4&amp;"AW","days=a","fill=p"),NA())</f>
        <v/>
      </c>
      <c r="E267" s="23">
        <f>IFERROR((C267-D267)/D267,NA())</f>
        <v/>
      </c>
      <c r="F267" s="16">
        <f>IF(ISNUMBER(E267),IF(E267&lt;=Settings!$B$6,"BUYBACK ACTIVITY",""),"")</f>
        <v/>
      </c>
      <c r="G267" s="22">
        <f>IFERROR(_xll.BDP(A267,"VOLUME_AVG_30D"),NA())</f>
        <v/>
      </c>
      <c r="H267" s="22">
        <f>IFERROR(_xll.BDP(A267,"PX_VOLUME"),NA())</f>
        <v/>
      </c>
      <c r="I267" s="16">
        <f>IFERROR(H267/G267,NA())</f>
        <v/>
      </c>
      <c r="J267" s="16">
        <f>IF(ISNUMBER(I267),IF(I267&gt;=Settings!$B$7,"VOL SPIKE",""),"")</f>
        <v/>
      </c>
    </row>
    <row r="268">
      <c r="A268" s="16">
        <f>'Rest Universe'!A269</f>
        <v/>
      </c>
      <c r="B268" s="22">
        <f>IFERROR(_xll.BDP(A268,"NAME"),"")</f>
        <v/>
      </c>
      <c r="C268" s="22">
        <f>IFERROR(_xll.BDP(A268,"EQY_SH_OUT"),NA())</f>
        <v/>
      </c>
      <c r="D268" s="22">
        <f>IFERROR(_xll.BDH(A268,"EQY_SH_OUT","-"&amp;Settings!$B$4&amp;"AW","-"&amp;Settings!$B$4&amp;"AW","days=a","fill=p"),NA())</f>
        <v/>
      </c>
      <c r="E268" s="23">
        <f>IFERROR((C268-D268)/D268,NA())</f>
        <v/>
      </c>
      <c r="F268" s="16">
        <f>IF(ISNUMBER(E268),IF(E268&lt;=Settings!$B$6,"BUYBACK ACTIVITY",""),"")</f>
        <v/>
      </c>
      <c r="G268" s="22">
        <f>IFERROR(_xll.BDP(A268,"VOLUME_AVG_30D"),NA())</f>
        <v/>
      </c>
      <c r="H268" s="22">
        <f>IFERROR(_xll.BDP(A268,"PX_VOLUME"),NA())</f>
        <v/>
      </c>
      <c r="I268" s="16">
        <f>IFERROR(H268/G268,NA())</f>
        <v/>
      </c>
      <c r="J268" s="16">
        <f>IF(ISNUMBER(I268),IF(I268&gt;=Settings!$B$7,"VOL SPIKE",""),"")</f>
        <v/>
      </c>
    </row>
    <row r="269">
      <c r="A269" s="16">
        <f>'Rest Universe'!A270</f>
        <v/>
      </c>
      <c r="B269" s="22">
        <f>IFERROR(_xll.BDP(A269,"NAME"),"")</f>
        <v/>
      </c>
      <c r="C269" s="22">
        <f>IFERROR(_xll.BDP(A269,"EQY_SH_OUT"),NA())</f>
        <v/>
      </c>
      <c r="D269" s="22">
        <f>IFERROR(_xll.BDH(A269,"EQY_SH_OUT","-"&amp;Settings!$B$4&amp;"AW","-"&amp;Settings!$B$4&amp;"AW","days=a","fill=p"),NA())</f>
        <v/>
      </c>
      <c r="E269" s="23">
        <f>IFERROR((C269-D269)/D269,NA())</f>
        <v/>
      </c>
      <c r="F269" s="16">
        <f>IF(ISNUMBER(E269),IF(E269&lt;=Settings!$B$6,"BUYBACK ACTIVITY",""),"")</f>
        <v/>
      </c>
      <c r="G269" s="22">
        <f>IFERROR(_xll.BDP(A269,"VOLUME_AVG_30D"),NA())</f>
        <v/>
      </c>
      <c r="H269" s="22">
        <f>IFERROR(_xll.BDP(A269,"PX_VOLUME"),NA())</f>
        <v/>
      </c>
      <c r="I269" s="16">
        <f>IFERROR(H269/G269,NA())</f>
        <v/>
      </c>
      <c r="J269" s="16">
        <f>IF(ISNUMBER(I269),IF(I269&gt;=Settings!$B$7,"VOL SPIKE",""),"")</f>
        <v/>
      </c>
    </row>
    <row r="270">
      <c r="A270" s="16">
        <f>'Rest Universe'!A271</f>
        <v/>
      </c>
      <c r="B270" s="22">
        <f>IFERROR(_xll.BDP(A270,"NAME"),"")</f>
        <v/>
      </c>
      <c r="C270" s="22">
        <f>IFERROR(_xll.BDP(A270,"EQY_SH_OUT"),NA())</f>
        <v/>
      </c>
      <c r="D270" s="22">
        <f>IFERROR(_xll.BDH(A270,"EQY_SH_OUT","-"&amp;Settings!$B$4&amp;"AW","-"&amp;Settings!$B$4&amp;"AW","days=a","fill=p"),NA())</f>
        <v/>
      </c>
      <c r="E270" s="23">
        <f>IFERROR((C270-D270)/D270,NA())</f>
        <v/>
      </c>
      <c r="F270" s="16">
        <f>IF(ISNUMBER(E270),IF(E270&lt;=Settings!$B$6,"BUYBACK ACTIVITY",""),"")</f>
        <v/>
      </c>
      <c r="G270" s="22">
        <f>IFERROR(_xll.BDP(A270,"VOLUME_AVG_30D"),NA())</f>
        <v/>
      </c>
      <c r="H270" s="22">
        <f>IFERROR(_xll.BDP(A270,"PX_VOLUME"),NA())</f>
        <v/>
      </c>
      <c r="I270" s="16">
        <f>IFERROR(H270/G270,NA())</f>
        <v/>
      </c>
      <c r="J270" s="16">
        <f>IF(ISNUMBER(I270),IF(I270&gt;=Settings!$B$7,"VOL SPIKE",""),"")</f>
        <v/>
      </c>
    </row>
    <row r="271">
      <c r="A271" s="16">
        <f>'Rest Universe'!A272</f>
        <v/>
      </c>
      <c r="B271" s="22">
        <f>IFERROR(_xll.BDP(A271,"NAME"),"")</f>
        <v/>
      </c>
      <c r="C271" s="22">
        <f>IFERROR(_xll.BDP(A271,"EQY_SH_OUT"),NA())</f>
        <v/>
      </c>
      <c r="D271" s="22">
        <f>IFERROR(_xll.BDH(A271,"EQY_SH_OUT","-"&amp;Settings!$B$4&amp;"AW","-"&amp;Settings!$B$4&amp;"AW","days=a","fill=p"),NA())</f>
        <v/>
      </c>
      <c r="E271" s="23">
        <f>IFERROR((C271-D271)/D271,NA())</f>
        <v/>
      </c>
      <c r="F271" s="16">
        <f>IF(ISNUMBER(E271),IF(E271&lt;=Settings!$B$6,"BUYBACK ACTIVITY",""),"")</f>
        <v/>
      </c>
      <c r="G271" s="22">
        <f>IFERROR(_xll.BDP(A271,"VOLUME_AVG_30D"),NA())</f>
        <v/>
      </c>
      <c r="H271" s="22">
        <f>IFERROR(_xll.BDP(A271,"PX_VOLUME"),NA())</f>
        <v/>
      </c>
      <c r="I271" s="16">
        <f>IFERROR(H271/G271,NA())</f>
        <v/>
      </c>
      <c r="J271" s="16">
        <f>IF(ISNUMBER(I271),IF(I271&gt;=Settings!$B$7,"VOL SPIKE",""),"")</f>
        <v/>
      </c>
    </row>
    <row r="272">
      <c r="A272" s="16">
        <f>'Rest Universe'!A273</f>
        <v/>
      </c>
      <c r="B272" s="22">
        <f>IFERROR(_xll.BDP(A272,"NAME"),"")</f>
        <v/>
      </c>
      <c r="C272" s="22">
        <f>IFERROR(_xll.BDP(A272,"EQY_SH_OUT"),NA())</f>
        <v/>
      </c>
      <c r="D272" s="22">
        <f>IFERROR(_xll.BDH(A272,"EQY_SH_OUT","-"&amp;Settings!$B$4&amp;"AW","-"&amp;Settings!$B$4&amp;"AW","days=a","fill=p"),NA())</f>
        <v/>
      </c>
      <c r="E272" s="23">
        <f>IFERROR((C272-D272)/D272,NA())</f>
        <v/>
      </c>
      <c r="F272" s="16">
        <f>IF(ISNUMBER(E272),IF(E272&lt;=Settings!$B$6,"BUYBACK ACTIVITY",""),"")</f>
        <v/>
      </c>
      <c r="G272" s="22">
        <f>IFERROR(_xll.BDP(A272,"VOLUME_AVG_30D"),NA())</f>
        <v/>
      </c>
      <c r="H272" s="22">
        <f>IFERROR(_xll.BDP(A272,"PX_VOLUME"),NA())</f>
        <v/>
      </c>
      <c r="I272" s="16">
        <f>IFERROR(H272/G272,NA())</f>
        <v/>
      </c>
      <c r="J272" s="16">
        <f>IF(ISNUMBER(I272),IF(I272&gt;=Settings!$B$7,"VOL SPIKE",""),"")</f>
        <v/>
      </c>
    </row>
    <row r="273">
      <c r="A273" s="16">
        <f>'Rest Universe'!A274</f>
        <v/>
      </c>
      <c r="B273" s="22">
        <f>IFERROR(_xll.BDP(A273,"NAME"),"")</f>
        <v/>
      </c>
      <c r="C273" s="22">
        <f>IFERROR(_xll.BDP(A273,"EQY_SH_OUT"),NA())</f>
        <v/>
      </c>
      <c r="D273" s="22">
        <f>IFERROR(_xll.BDH(A273,"EQY_SH_OUT","-"&amp;Settings!$B$4&amp;"AW","-"&amp;Settings!$B$4&amp;"AW","days=a","fill=p"),NA())</f>
        <v/>
      </c>
      <c r="E273" s="23">
        <f>IFERROR((C273-D273)/D273,NA())</f>
        <v/>
      </c>
      <c r="F273" s="16">
        <f>IF(ISNUMBER(E273),IF(E273&lt;=Settings!$B$6,"BUYBACK ACTIVITY",""),"")</f>
        <v/>
      </c>
      <c r="G273" s="22">
        <f>IFERROR(_xll.BDP(A273,"VOLUME_AVG_30D"),NA())</f>
        <v/>
      </c>
      <c r="H273" s="22">
        <f>IFERROR(_xll.BDP(A273,"PX_VOLUME"),NA())</f>
        <v/>
      </c>
      <c r="I273" s="16">
        <f>IFERROR(H273/G273,NA())</f>
        <v/>
      </c>
      <c r="J273" s="16">
        <f>IF(ISNUMBER(I273),IF(I273&gt;=Settings!$B$7,"VOL SPIKE",""),"")</f>
        <v/>
      </c>
    </row>
    <row r="274">
      <c r="A274" s="16">
        <f>'Rest Universe'!A275</f>
        <v/>
      </c>
      <c r="B274" s="22">
        <f>IFERROR(_xll.BDP(A274,"NAME"),"")</f>
        <v/>
      </c>
      <c r="C274" s="22">
        <f>IFERROR(_xll.BDP(A274,"EQY_SH_OUT"),NA())</f>
        <v/>
      </c>
      <c r="D274" s="22">
        <f>IFERROR(_xll.BDH(A274,"EQY_SH_OUT","-"&amp;Settings!$B$4&amp;"AW","-"&amp;Settings!$B$4&amp;"AW","days=a","fill=p"),NA())</f>
        <v/>
      </c>
      <c r="E274" s="23">
        <f>IFERROR((C274-D274)/D274,NA())</f>
        <v/>
      </c>
      <c r="F274" s="16">
        <f>IF(ISNUMBER(E274),IF(E274&lt;=Settings!$B$6,"BUYBACK ACTIVITY",""),"")</f>
        <v/>
      </c>
      <c r="G274" s="22">
        <f>IFERROR(_xll.BDP(A274,"VOLUME_AVG_30D"),NA())</f>
        <v/>
      </c>
      <c r="H274" s="22">
        <f>IFERROR(_xll.BDP(A274,"PX_VOLUME"),NA())</f>
        <v/>
      </c>
      <c r="I274" s="16">
        <f>IFERROR(H274/G274,NA())</f>
        <v/>
      </c>
      <c r="J274" s="16">
        <f>IF(ISNUMBER(I274),IF(I274&gt;=Settings!$B$7,"VOL SPIKE",""),"")</f>
        <v/>
      </c>
    </row>
    <row r="275">
      <c r="A275" s="16">
        <f>'Rest Universe'!A276</f>
        <v/>
      </c>
      <c r="B275" s="22">
        <f>IFERROR(_xll.BDP(A275,"NAME"),"")</f>
        <v/>
      </c>
      <c r="C275" s="22">
        <f>IFERROR(_xll.BDP(A275,"EQY_SH_OUT"),NA())</f>
        <v/>
      </c>
      <c r="D275" s="22">
        <f>IFERROR(_xll.BDH(A275,"EQY_SH_OUT","-"&amp;Settings!$B$4&amp;"AW","-"&amp;Settings!$B$4&amp;"AW","days=a","fill=p"),NA())</f>
        <v/>
      </c>
      <c r="E275" s="23">
        <f>IFERROR((C275-D275)/D275,NA())</f>
        <v/>
      </c>
      <c r="F275" s="16">
        <f>IF(ISNUMBER(E275),IF(E275&lt;=Settings!$B$6,"BUYBACK ACTIVITY",""),"")</f>
        <v/>
      </c>
      <c r="G275" s="22">
        <f>IFERROR(_xll.BDP(A275,"VOLUME_AVG_30D"),NA())</f>
        <v/>
      </c>
      <c r="H275" s="22">
        <f>IFERROR(_xll.BDP(A275,"PX_VOLUME"),NA())</f>
        <v/>
      </c>
      <c r="I275" s="16">
        <f>IFERROR(H275/G275,NA())</f>
        <v/>
      </c>
      <c r="J275" s="16">
        <f>IF(ISNUMBER(I275),IF(I275&gt;=Settings!$B$7,"VOL SPIKE",""),"")</f>
        <v/>
      </c>
    </row>
    <row r="276">
      <c r="A276" s="16">
        <f>'Rest Universe'!A277</f>
        <v/>
      </c>
      <c r="B276" s="22">
        <f>IFERROR(_xll.BDP(A276,"NAME"),"")</f>
        <v/>
      </c>
      <c r="C276" s="22">
        <f>IFERROR(_xll.BDP(A276,"EQY_SH_OUT"),NA())</f>
        <v/>
      </c>
      <c r="D276" s="22">
        <f>IFERROR(_xll.BDH(A276,"EQY_SH_OUT","-"&amp;Settings!$B$4&amp;"AW","-"&amp;Settings!$B$4&amp;"AW","days=a","fill=p"),NA())</f>
        <v/>
      </c>
      <c r="E276" s="23">
        <f>IFERROR((C276-D276)/D276,NA())</f>
        <v/>
      </c>
      <c r="F276" s="16">
        <f>IF(ISNUMBER(E276),IF(E276&lt;=Settings!$B$6,"BUYBACK ACTIVITY",""),"")</f>
        <v/>
      </c>
      <c r="G276" s="22">
        <f>IFERROR(_xll.BDP(A276,"VOLUME_AVG_30D"),NA())</f>
        <v/>
      </c>
      <c r="H276" s="22">
        <f>IFERROR(_xll.BDP(A276,"PX_VOLUME"),NA())</f>
        <v/>
      </c>
      <c r="I276" s="16">
        <f>IFERROR(H276/G276,NA())</f>
        <v/>
      </c>
      <c r="J276" s="16">
        <f>IF(ISNUMBER(I276),IF(I276&gt;=Settings!$B$7,"VOL SPIKE",""),"")</f>
        <v/>
      </c>
    </row>
    <row r="277">
      <c r="A277" s="16">
        <f>'Rest Universe'!A278</f>
        <v/>
      </c>
      <c r="B277" s="22">
        <f>IFERROR(_xll.BDP(A277,"NAME"),"")</f>
        <v/>
      </c>
      <c r="C277" s="22">
        <f>IFERROR(_xll.BDP(A277,"EQY_SH_OUT"),NA())</f>
        <v/>
      </c>
      <c r="D277" s="22">
        <f>IFERROR(_xll.BDH(A277,"EQY_SH_OUT","-"&amp;Settings!$B$4&amp;"AW","-"&amp;Settings!$B$4&amp;"AW","days=a","fill=p"),NA())</f>
        <v/>
      </c>
      <c r="E277" s="23">
        <f>IFERROR((C277-D277)/D277,NA())</f>
        <v/>
      </c>
      <c r="F277" s="16">
        <f>IF(ISNUMBER(E277),IF(E277&lt;=Settings!$B$6,"BUYBACK ACTIVITY",""),"")</f>
        <v/>
      </c>
      <c r="G277" s="22">
        <f>IFERROR(_xll.BDP(A277,"VOLUME_AVG_30D"),NA())</f>
        <v/>
      </c>
      <c r="H277" s="22">
        <f>IFERROR(_xll.BDP(A277,"PX_VOLUME"),NA())</f>
        <v/>
      </c>
      <c r="I277" s="16">
        <f>IFERROR(H277/G277,NA())</f>
        <v/>
      </c>
      <c r="J277" s="16">
        <f>IF(ISNUMBER(I277),IF(I277&gt;=Settings!$B$7,"VOL SPIKE",""),"")</f>
        <v/>
      </c>
    </row>
    <row r="278">
      <c r="A278" s="16">
        <f>'Rest Universe'!A279</f>
        <v/>
      </c>
      <c r="B278" s="22">
        <f>IFERROR(_xll.BDP(A278,"NAME"),"")</f>
        <v/>
      </c>
      <c r="C278" s="22">
        <f>IFERROR(_xll.BDP(A278,"EQY_SH_OUT"),NA())</f>
        <v/>
      </c>
      <c r="D278" s="22">
        <f>IFERROR(_xll.BDH(A278,"EQY_SH_OUT","-"&amp;Settings!$B$4&amp;"AW","-"&amp;Settings!$B$4&amp;"AW","days=a","fill=p"),NA())</f>
        <v/>
      </c>
      <c r="E278" s="23">
        <f>IFERROR((C278-D278)/D278,NA())</f>
        <v/>
      </c>
      <c r="F278" s="16">
        <f>IF(ISNUMBER(E278),IF(E278&lt;=Settings!$B$6,"BUYBACK ACTIVITY",""),"")</f>
        <v/>
      </c>
      <c r="G278" s="22">
        <f>IFERROR(_xll.BDP(A278,"VOLUME_AVG_30D"),NA())</f>
        <v/>
      </c>
      <c r="H278" s="22">
        <f>IFERROR(_xll.BDP(A278,"PX_VOLUME"),NA())</f>
        <v/>
      </c>
      <c r="I278" s="16">
        <f>IFERROR(H278/G278,NA())</f>
        <v/>
      </c>
      <c r="J278" s="16">
        <f>IF(ISNUMBER(I278),IF(I278&gt;=Settings!$B$7,"VOL SPIKE",""),"")</f>
        <v/>
      </c>
    </row>
    <row r="279">
      <c r="A279" s="16">
        <f>'Rest Universe'!A280</f>
        <v/>
      </c>
      <c r="B279" s="22">
        <f>IFERROR(_xll.BDP(A279,"NAME"),"")</f>
        <v/>
      </c>
      <c r="C279" s="22">
        <f>IFERROR(_xll.BDP(A279,"EQY_SH_OUT"),NA())</f>
        <v/>
      </c>
      <c r="D279" s="22">
        <f>IFERROR(_xll.BDH(A279,"EQY_SH_OUT","-"&amp;Settings!$B$4&amp;"AW","-"&amp;Settings!$B$4&amp;"AW","days=a","fill=p"),NA())</f>
        <v/>
      </c>
      <c r="E279" s="23">
        <f>IFERROR((C279-D279)/D279,NA())</f>
        <v/>
      </c>
      <c r="F279" s="16">
        <f>IF(ISNUMBER(E279),IF(E279&lt;=Settings!$B$6,"BUYBACK ACTIVITY",""),"")</f>
        <v/>
      </c>
      <c r="G279" s="22">
        <f>IFERROR(_xll.BDP(A279,"VOLUME_AVG_30D"),NA())</f>
        <v/>
      </c>
      <c r="H279" s="22">
        <f>IFERROR(_xll.BDP(A279,"PX_VOLUME"),NA())</f>
        <v/>
      </c>
      <c r="I279" s="16">
        <f>IFERROR(H279/G279,NA())</f>
        <v/>
      </c>
      <c r="J279" s="16">
        <f>IF(ISNUMBER(I279),IF(I279&gt;=Settings!$B$7,"VOL SPIKE",""),"")</f>
        <v/>
      </c>
    </row>
    <row r="280">
      <c r="A280" s="16">
        <f>'Rest Universe'!A281</f>
        <v/>
      </c>
      <c r="B280" s="22">
        <f>IFERROR(_xll.BDP(A280,"NAME"),"")</f>
        <v/>
      </c>
      <c r="C280" s="22">
        <f>IFERROR(_xll.BDP(A280,"EQY_SH_OUT"),NA())</f>
        <v/>
      </c>
      <c r="D280" s="22">
        <f>IFERROR(_xll.BDH(A280,"EQY_SH_OUT","-"&amp;Settings!$B$4&amp;"AW","-"&amp;Settings!$B$4&amp;"AW","days=a","fill=p"),NA())</f>
        <v/>
      </c>
      <c r="E280" s="23">
        <f>IFERROR((C280-D280)/D280,NA())</f>
        <v/>
      </c>
      <c r="F280" s="16">
        <f>IF(ISNUMBER(E280),IF(E280&lt;=Settings!$B$6,"BUYBACK ACTIVITY",""),"")</f>
        <v/>
      </c>
      <c r="G280" s="22">
        <f>IFERROR(_xll.BDP(A280,"VOLUME_AVG_30D"),NA())</f>
        <v/>
      </c>
      <c r="H280" s="22">
        <f>IFERROR(_xll.BDP(A280,"PX_VOLUME"),NA())</f>
        <v/>
      </c>
      <c r="I280" s="16">
        <f>IFERROR(H280/G280,NA())</f>
        <v/>
      </c>
      <c r="J280" s="16">
        <f>IF(ISNUMBER(I280),IF(I280&gt;=Settings!$B$7,"VOL SPIKE",""),"")</f>
        <v/>
      </c>
    </row>
    <row r="281">
      <c r="A281" s="16">
        <f>'Rest Universe'!A282</f>
        <v/>
      </c>
      <c r="B281" s="22">
        <f>IFERROR(_xll.BDP(A281,"NAME"),"")</f>
        <v/>
      </c>
      <c r="C281" s="22">
        <f>IFERROR(_xll.BDP(A281,"EQY_SH_OUT"),NA())</f>
        <v/>
      </c>
      <c r="D281" s="22">
        <f>IFERROR(_xll.BDH(A281,"EQY_SH_OUT","-"&amp;Settings!$B$4&amp;"AW","-"&amp;Settings!$B$4&amp;"AW","days=a","fill=p"),NA())</f>
        <v/>
      </c>
      <c r="E281" s="23">
        <f>IFERROR((C281-D281)/D281,NA())</f>
        <v/>
      </c>
      <c r="F281" s="16">
        <f>IF(ISNUMBER(E281),IF(E281&lt;=Settings!$B$6,"BUYBACK ACTIVITY",""),"")</f>
        <v/>
      </c>
      <c r="G281" s="22">
        <f>IFERROR(_xll.BDP(A281,"VOLUME_AVG_30D"),NA())</f>
        <v/>
      </c>
      <c r="H281" s="22">
        <f>IFERROR(_xll.BDP(A281,"PX_VOLUME"),NA())</f>
        <v/>
      </c>
      <c r="I281" s="16">
        <f>IFERROR(H281/G281,NA())</f>
        <v/>
      </c>
      <c r="J281" s="16">
        <f>IF(ISNUMBER(I281),IF(I281&gt;=Settings!$B$7,"VOL SPIKE",""),"")</f>
        <v/>
      </c>
    </row>
    <row r="282">
      <c r="A282" s="16">
        <f>'Rest Universe'!A283</f>
        <v/>
      </c>
      <c r="B282" s="22">
        <f>IFERROR(_xll.BDP(A282,"NAME"),"")</f>
        <v/>
      </c>
      <c r="C282" s="22">
        <f>IFERROR(_xll.BDP(A282,"EQY_SH_OUT"),NA())</f>
        <v/>
      </c>
      <c r="D282" s="22">
        <f>IFERROR(_xll.BDH(A282,"EQY_SH_OUT","-"&amp;Settings!$B$4&amp;"AW","-"&amp;Settings!$B$4&amp;"AW","days=a","fill=p"),NA())</f>
        <v/>
      </c>
      <c r="E282" s="23">
        <f>IFERROR((C282-D282)/D282,NA())</f>
        <v/>
      </c>
      <c r="F282" s="16">
        <f>IF(ISNUMBER(E282),IF(E282&lt;=Settings!$B$6,"BUYBACK ACTIVITY",""),"")</f>
        <v/>
      </c>
      <c r="G282" s="22">
        <f>IFERROR(_xll.BDP(A282,"VOLUME_AVG_30D"),NA())</f>
        <v/>
      </c>
      <c r="H282" s="22">
        <f>IFERROR(_xll.BDP(A282,"PX_VOLUME"),NA())</f>
        <v/>
      </c>
      <c r="I282" s="16">
        <f>IFERROR(H282/G282,NA())</f>
        <v/>
      </c>
      <c r="J282" s="16">
        <f>IF(ISNUMBER(I282),IF(I282&gt;=Settings!$B$7,"VOL SPIKE",""),"")</f>
        <v/>
      </c>
    </row>
    <row r="283">
      <c r="A283" s="16">
        <f>'Rest Universe'!A284</f>
        <v/>
      </c>
      <c r="B283" s="22">
        <f>IFERROR(_xll.BDP(A283,"NAME"),"")</f>
        <v/>
      </c>
      <c r="C283" s="22">
        <f>IFERROR(_xll.BDP(A283,"EQY_SH_OUT"),NA())</f>
        <v/>
      </c>
      <c r="D283" s="22">
        <f>IFERROR(_xll.BDH(A283,"EQY_SH_OUT","-"&amp;Settings!$B$4&amp;"AW","-"&amp;Settings!$B$4&amp;"AW","days=a","fill=p"),NA())</f>
        <v/>
      </c>
      <c r="E283" s="23">
        <f>IFERROR((C283-D283)/D283,NA())</f>
        <v/>
      </c>
      <c r="F283" s="16">
        <f>IF(ISNUMBER(E283),IF(E283&lt;=Settings!$B$6,"BUYBACK ACTIVITY",""),"")</f>
        <v/>
      </c>
      <c r="G283" s="22">
        <f>IFERROR(_xll.BDP(A283,"VOLUME_AVG_30D"),NA())</f>
        <v/>
      </c>
      <c r="H283" s="22">
        <f>IFERROR(_xll.BDP(A283,"PX_VOLUME"),NA())</f>
        <v/>
      </c>
      <c r="I283" s="16">
        <f>IFERROR(H283/G283,NA())</f>
        <v/>
      </c>
      <c r="J283" s="16">
        <f>IF(ISNUMBER(I283),IF(I283&gt;=Settings!$B$7,"VOL SPIKE",""),"")</f>
        <v/>
      </c>
    </row>
    <row r="284">
      <c r="A284" s="16">
        <f>'Rest Universe'!A285</f>
        <v/>
      </c>
      <c r="B284" s="22">
        <f>IFERROR(_xll.BDP(A284,"NAME"),"")</f>
        <v/>
      </c>
      <c r="C284" s="22">
        <f>IFERROR(_xll.BDP(A284,"EQY_SH_OUT"),NA())</f>
        <v/>
      </c>
      <c r="D284" s="22">
        <f>IFERROR(_xll.BDH(A284,"EQY_SH_OUT","-"&amp;Settings!$B$4&amp;"AW","-"&amp;Settings!$B$4&amp;"AW","days=a","fill=p"),NA())</f>
        <v/>
      </c>
      <c r="E284" s="23">
        <f>IFERROR((C284-D284)/D284,NA())</f>
        <v/>
      </c>
      <c r="F284" s="16">
        <f>IF(ISNUMBER(E284),IF(E284&lt;=Settings!$B$6,"BUYBACK ACTIVITY",""),"")</f>
        <v/>
      </c>
      <c r="G284" s="22">
        <f>IFERROR(_xll.BDP(A284,"VOLUME_AVG_30D"),NA())</f>
        <v/>
      </c>
      <c r="H284" s="22">
        <f>IFERROR(_xll.BDP(A284,"PX_VOLUME"),NA())</f>
        <v/>
      </c>
      <c r="I284" s="16">
        <f>IFERROR(H284/G284,NA())</f>
        <v/>
      </c>
      <c r="J284" s="16">
        <f>IF(ISNUMBER(I284),IF(I284&gt;=Settings!$B$7,"VOL SPIKE",""),"")</f>
        <v/>
      </c>
    </row>
    <row r="285">
      <c r="A285" s="16">
        <f>'Rest Universe'!A286</f>
        <v/>
      </c>
      <c r="B285" s="22">
        <f>IFERROR(_xll.BDP(A285,"NAME"),"")</f>
        <v/>
      </c>
      <c r="C285" s="22">
        <f>IFERROR(_xll.BDP(A285,"EQY_SH_OUT"),NA())</f>
        <v/>
      </c>
      <c r="D285" s="22">
        <f>IFERROR(_xll.BDH(A285,"EQY_SH_OUT","-"&amp;Settings!$B$4&amp;"AW","-"&amp;Settings!$B$4&amp;"AW","days=a","fill=p"),NA())</f>
        <v/>
      </c>
      <c r="E285" s="23">
        <f>IFERROR((C285-D285)/D285,NA())</f>
        <v/>
      </c>
      <c r="F285" s="16">
        <f>IF(ISNUMBER(E285),IF(E285&lt;=Settings!$B$6,"BUYBACK ACTIVITY",""),"")</f>
        <v/>
      </c>
      <c r="G285" s="22">
        <f>IFERROR(_xll.BDP(A285,"VOLUME_AVG_30D"),NA())</f>
        <v/>
      </c>
      <c r="H285" s="22">
        <f>IFERROR(_xll.BDP(A285,"PX_VOLUME"),NA())</f>
        <v/>
      </c>
      <c r="I285" s="16">
        <f>IFERROR(H285/G285,NA())</f>
        <v/>
      </c>
      <c r="J285" s="16">
        <f>IF(ISNUMBER(I285),IF(I285&gt;=Settings!$B$7,"VOL SPIKE",""),"")</f>
        <v/>
      </c>
    </row>
    <row r="286">
      <c r="A286" s="16">
        <f>'Rest Universe'!A287</f>
        <v/>
      </c>
      <c r="B286" s="22">
        <f>IFERROR(_xll.BDP(A286,"NAME"),"")</f>
        <v/>
      </c>
      <c r="C286" s="22">
        <f>IFERROR(_xll.BDP(A286,"EQY_SH_OUT"),NA())</f>
        <v/>
      </c>
      <c r="D286" s="22">
        <f>IFERROR(_xll.BDH(A286,"EQY_SH_OUT","-"&amp;Settings!$B$4&amp;"AW","-"&amp;Settings!$B$4&amp;"AW","days=a","fill=p"),NA())</f>
        <v/>
      </c>
      <c r="E286" s="23">
        <f>IFERROR((C286-D286)/D286,NA())</f>
        <v/>
      </c>
      <c r="F286" s="16">
        <f>IF(ISNUMBER(E286),IF(E286&lt;=Settings!$B$6,"BUYBACK ACTIVITY",""),"")</f>
        <v/>
      </c>
      <c r="G286" s="22">
        <f>IFERROR(_xll.BDP(A286,"VOLUME_AVG_30D"),NA())</f>
        <v/>
      </c>
      <c r="H286" s="22">
        <f>IFERROR(_xll.BDP(A286,"PX_VOLUME"),NA())</f>
        <v/>
      </c>
      <c r="I286" s="16">
        <f>IFERROR(H286/G286,NA())</f>
        <v/>
      </c>
      <c r="J286" s="16">
        <f>IF(ISNUMBER(I286),IF(I286&gt;=Settings!$B$7,"VOL SPIKE",""),"")</f>
        <v/>
      </c>
    </row>
    <row r="287">
      <c r="A287" s="16">
        <f>'Rest Universe'!A288</f>
        <v/>
      </c>
      <c r="B287" s="22">
        <f>IFERROR(_xll.BDP(A287,"NAME"),"")</f>
        <v/>
      </c>
      <c r="C287" s="22">
        <f>IFERROR(_xll.BDP(A287,"EQY_SH_OUT"),NA())</f>
        <v/>
      </c>
      <c r="D287" s="22">
        <f>IFERROR(_xll.BDH(A287,"EQY_SH_OUT","-"&amp;Settings!$B$4&amp;"AW","-"&amp;Settings!$B$4&amp;"AW","days=a","fill=p"),NA())</f>
        <v/>
      </c>
      <c r="E287" s="23">
        <f>IFERROR((C287-D287)/D287,NA())</f>
        <v/>
      </c>
      <c r="F287" s="16">
        <f>IF(ISNUMBER(E287),IF(E287&lt;=Settings!$B$6,"BUYBACK ACTIVITY",""),"")</f>
        <v/>
      </c>
      <c r="G287" s="22">
        <f>IFERROR(_xll.BDP(A287,"VOLUME_AVG_30D"),NA())</f>
        <v/>
      </c>
      <c r="H287" s="22">
        <f>IFERROR(_xll.BDP(A287,"PX_VOLUME"),NA())</f>
        <v/>
      </c>
      <c r="I287" s="16">
        <f>IFERROR(H287/G287,NA())</f>
        <v/>
      </c>
      <c r="J287" s="16">
        <f>IF(ISNUMBER(I287),IF(I287&gt;=Settings!$B$7,"VOL SPIKE",""),"")</f>
        <v/>
      </c>
    </row>
    <row r="288">
      <c r="A288" s="16">
        <f>'Rest Universe'!A289</f>
        <v/>
      </c>
      <c r="B288" s="22">
        <f>IFERROR(_xll.BDP(A288,"NAME"),"")</f>
        <v/>
      </c>
      <c r="C288" s="22">
        <f>IFERROR(_xll.BDP(A288,"EQY_SH_OUT"),NA())</f>
        <v/>
      </c>
      <c r="D288" s="22">
        <f>IFERROR(_xll.BDH(A288,"EQY_SH_OUT","-"&amp;Settings!$B$4&amp;"AW","-"&amp;Settings!$B$4&amp;"AW","days=a","fill=p"),NA())</f>
        <v/>
      </c>
      <c r="E288" s="23">
        <f>IFERROR((C288-D288)/D288,NA())</f>
        <v/>
      </c>
      <c r="F288" s="16">
        <f>IF(ISNUMBER(E288),IF(E288&lt;=Settings!$B$6,"BUYBACK ACTIVITY",""),"")</f>
        <v/>
      </c>
      <c r="G288" s="22">
        <f>IFERROR(_xll.BDP(A288,"VOLUME_AVG_30D"),NA())</f>
        <v/>
      </c>
      <c r="H288" s="22">
        <f>IFERROR(_xll.BDP(A288,"PX_VOLUME"),NA())</f>
        <v/>
      </c>
      <c r="I288" s="16">
        <f>IFERROR(H288/G288,NA())</f>
        <v/>
      </c>
      <c r="J288" s="16">
        <f>IF(ISNUMBER(I288),IF(I288&gt;=Settings!$B$7,"VOL SPIKE",""),"")</f>
        <v/>
      </c>
    </row>
    <row r="289">
      <c r="A289" s="16">
        <f>'Rest Universe'!A290</f>
        <v/>
      </c>
      <c r="B289" s="22">
        <f>IFERROR(_xll.BDP(A289,"NAME"),"")</f>
        <v/>
      </c>
      <c r="C289" s="22">
        <f>IFERROR(_xll.BDP(A289,"EQY_SH_OUT"),NA())</f>
        <v/>
      </c>
      <c r="D289" s="22">
        <f>IFERROR(_xll.BDH(A289,"EQY_SH_OUT","-"&amp;Settings!$B$4&amp;"AW","-"&amp;Settings!$B$4&amp;"AW","days=a","fill=p"),NA())</f>
        <v/>
      </c>
      <c r="E289" s="23">
        <f>IFERROR((C289-D289)/D289,NA())</f>
        <v/>
      </c>
      <c r="F289" s="16">
        <f>IF(ISNUMBER(E289),IF(E289&lt;=Settings!$B$6,"BUYBACK ACTIVITY",""),"")</f>
        <v/>
      </c>
      <c r="G289" s="22">
        <f>IFERROR(_xll.BDP(A289,"VOLUME_AVG_30D"),NA())</f>
        <v/>
      </c>
      <c r="H289" s="22">
        <f>IFERROR(_xll.BDP(A289,"PX_VOLUME"),NA())</f>
        <v/>
      </c>
      <c r="I289" s="16">
        <f>IFERROR(H289/G289,NA())</f>
        <v/>
      </c>
      <c r="J289" s="16">
        <f>IF(ISNUMBER(I289),IF(I289&gt;=Settings!$B$7,"VOL SPIKE",""),"")</f>
        <v/>
      </c>
    </row>
    <row r="290">
      <c r="A290" s="16">
        <f>'Rest Universe'!A291</f>
        <v/>
      </c>
      <c r="B290" s="22">
        <f>IFERROR(_xll.BDP(A290,"NAME"),"")</f>
        <v/>
      </c>
      <c r="C290" s="22">
        <f>IFERROR(_xll.BDP(A290,"EQY_SH_OUT"),NA())</f>
        <v/>
      </c>
      <c r="D290" s="22">
        <f>IFERROR(_xll.BDH(A290,"EQY_SH_OUT","-"&amp;Settings!$B$4&amp;"AW","-"&amp;Settings!$B$4&amp;"AW","days=a","fill=p"),NA())</f>
        <v/>
      </c>
      <c r="E290" s="23">
        <f>IFERROR((C290-D290)/D290,NA())</f>
        <v/>
      </c>
      <c r="F290" s="16">
        <f>IF(ISNUMBER(E290),IF(E290&lt;=Settings!$B$6,"BUYBACK ACTIVITY",""),"")</f>
        <v/>
      </c>
      <c r="G290" s="22">
        <f>IFERROR(_xll.BDP(A290,"VOLUME_AVG_30D"),NA())</f>
        <v/>
      </c>
      <c r="H290" s="22">
        <f>IFERROR(_xll.BDP(A290,"PX_VOLUME"),NA())</f>
        <v/>
      </c>
      <c r="I290" s="16">
        <f>IFERROR(H290/G290,NA())</f>
        <v/>
      </c>
      <c r="J290" s="16">
        <f>IF(ISNUMBER(I290),IF(I290&gt;=Settings!$B$7,"VOL SPIKE",""),"")</f>
        <v/>
      </c>
    </row>
    <row r="291">
      <c r="A291" s="16">
        <f>'Rest Universe'!A292</f>
        <v/>
      </c>
      <c r="B291" s="22">
        <f>IFERROR(_xll.BDP(A291,"NAME"),"")</f>
        <v/>
      </c>
      <c r="C291" s="22">
        <f>IFERROR(_xll.BDP(A291,"EQY_SH_OUT"),NA())</f>
        <v/>
      </c>
      <c r="D291" s="22">
        <f>IFERROR(_xll.BDH(A291,"EQY_SH_OUT","-"&amp;Settings!$B$4&amp;"AW","-"&amp;Settings!$B$4&amp;"AW","days=a","fill=p"),NA())</f>
        <v/>
      </c>
      <c r="E291" s="23">
        <f>IFERROR((C291-D291)/D291,NA())</f>
        <v/>
      </c>
      <c r="F291" s="16">
        <f>IF(ISNUMBER(E291),IF(E291&lt;=Settings!$B$6,"BUYBACK ACTIVITY",""),"")</f>
        <v/>
      </c>
      <c r="G291" s="22">
        <f>IFERROR(_xll.BDP(A291,"VOLUME_AVG_30D"),NA())</f>
        <v/>
      </c>
      <c r="H291" s="22">
        <f>IFERROR(_xll.BDP(A291,"PX_VOLUME"),NA())</f>
        <v/>
      </c>
      <c r="I291" s="16">
        <f>IFERROR(H291/G291,NA())</f>
        <v/>
      </c>
      <c r="J291" s="16">
        <f>IF(ISNUMBER(I291),IF(I291&gt;=Settings!$B$7,"VOL SPIKE",""),"")</f>
        <v/>
      </c>
    </row>
    <row r="292">
      <c r="A292" s="16">
        <f>'Rest Universe'!A293</f>
        <v/>
      </c>
      <c r="B292" s="22">
        <f>IFERROR(_xll.BDP(A292,"NAME"),"")</f>
        <v/>
      </c>
      <c r="C292" s="22">
        <f>IFERROR(_xll.BDP(A292,"EQY_SH_OUT"),NA())</f>
        <v/>
      </c>
      <c r="D292" s="22">
        <f>IFERROR(_xll.BDH(A292,"EQY_SH_OUT","-"&amp;Settings!$B$4&amp;"AW","-"&amp;Settings!$B$4&amp;"AW","days=a","fill=p"),NA())</f>
        <v/>
      </c>
      <c r="E292" s="23">
        <f>IFERROR((C292-D292)/D292,NA())</f>
        <v/>
      </c>
      <c r="F292" s="16">
        <f>IF(ISNUMBER(E292),IF(E292&lt;=Settings!$B$6,"BUYBACK ACTIVITY",""),"")</f>
        <v/>
      </c>
      <c r="G292" s="22">
        <f>IFERROR(_xll.BDP(A292,"VOLUME_AVG_30D"),NA())</f>
        <v/>
      </c>
      <c r="H292" s="22">
        <f>IFERROR(_xll.BDP(A292,"PX_VOLUME"),NA())</f>
        <v/>
      </c>
      <c r="I292" s="16">
        <f>IFERROR(H292/G292,NA())</f>
        <v/>
      </c>
      <c r="J292" s="16">
        <f>IF(ISNUMBER(I292),IF(I292&gt;=Settings!$B$7,"VOL SPIKE",""),"")</f>
        <v/>
      </c>
    </row>
    <row r="293">
      <c r="A293" s="16">
        <f>'Rest Universe'!A294</f>
        <v/>
      </c>
      <c r="B293" s="22">
        <f>IFERROR(_xll.BDP(A293,"NAME"),"")</f>
        <v/>
      </c>
      <c r="C293" s="22">
        <f>IFERROR(_xll.BDP(A293,"EQY_SH_OUT"),NA())</f>
        <v/>
      </c>
      <c r="D293" s="22">
        <f>IFERROR(_xll.BDH(A293,"EQY_SH_OUT","-"&amp;Settings!$B$4&amp;"AW","-"&amp;Settings!$B$4&amp;"AW","days=a","fill=p"),NA())</f>
        <v/>
      </c>
      <c r="E293" s="23">
        <f>IFERROR((C293-D293)/D293,NA())</f>
        <v/>
      </c>
      <c r="F293" s="16">
        <f>IF(ISNUMBER(E293),IF(E293&lt;=Settings!$B$6,"BUYBACK ACTIVITY",""),"")</f>
        <v/>
      </c>
      <c r="G293" s="22">
        <f>IFERROR(_xll.BDP(A293,"VOLUME_AVG_30D"),NA())</f>
        <v/>
      </c>
      <c r="H293" s="22">
        <f>IFERROR(_xll.BDP(A293,"PX_VOLUME"),NA())</f>
        <v/>
      </c>
      <c r="I293" s="16">
        <f>IFERROR(H293/G293,NA())</f>
        <v/>
      </c>
      <c r="J293" s="16">
        <f>IF(ISNUMBER(I293),IF(I293&gt;=Settings!$B$7,"VOL SPIKE",""),"")</f>
        <v/>
      </c>
    </row>
    <row r="294">
      <c r="A294" s="16">
        <f>'Rest Universe'!A295</f>
        <v/>
      </c>
      <c r="B294" s="22">
        <f>IFERROR(_xll.BDP(A294,"NAME"),"")</f>
        <v/>
      </c>
      <c r="C294" s="22">
        <f>IFERROR(_xll.BDP(A294,"EQY_SH_OUT"),NA())</f>
        <v/>
      </c>
      <c r="D294" s="22">
        <f>IFERROR(_xll.BDH(A294,"EQY_SH_OUT","-"&amp;Settings!$B$4&amp;"AW","-"&amp;Settings!$B$4&amp;"AW","days=a","fill=p"),NA())</f>
        <v/>
      </c>
      <c r="E294" s="23">
        <f>IFERROR((C294-D294)/D294,NA())</f>
        <v/>
      </c>
      <c r="F294" s="16">
        <f>IF(ISNUMBER(E294),IF(E294&lt;=Settings!$B$6,"BUYBACK ACTIVITY",""),"")</f>
        <v/>
      </c>
      <c r="G294" s="22">
        <f>IFERROR(_xll.BDP(A294,"VOLUME_AVG_30D"),NA())</f>
        <v/>
      </c>
      <c r="H294" s="22">
        <f>IFERROR(_xll.BDP(A294,"PX_VOLUME"),NA())</f>
        <v/>
      </c>
      <c r="I294" s="16">
        <f>IFERROR(H294/G294,NA())</f>
        <v/>
      </c>
      <c r="J294" s="16">
        <f>IF(ISNUMBER(I294),IF(I294&gt;=Settings!$B$7,"VOL SPIKE",""),"")</f>
        <v/>
      </c>
    </row>
    <row r="295">
      <c r="A295" s="16">
        <f>'Rest Universe'!A296</f>
        <v/>
      </c>
      <c r="B295" s="22">
        <f>IFERROR(_xll.BDP(A295,"NAME"),"")</f>
        <v/>
      </c>
      <c r="C295" s="22">
        <f>IFERROR(_xll.BDP(A295,"EQY_SH_OUT"),NA())</f>
        <v/>
      </c>
      <c r="D295" s="22">
        <f>IFERROR(_xll.BDH(A295,"EQY_SH_OUT","-"&amp;Settings!$B$4&amp;"AW","-"&amp;Settings!$B$4&amp;"AW","days=a","fill=p"),NA())</f>
        <v/>
      </c>
      <c r="E295" s="23">
        <f>IFERROR((C295-D295)/D295,NA())</f>
        <v/>
      </c>
      <c r="F295" s="16">
        <f>IF(ISNUMBER(E295),IF(E295&lt;=Settings!$B$6,"BUYBACK ACTIVITY",""),"")</f>
        <v/>
      </c>
      <c r="G295" s="22">
        <f>IFERROR(_xll.BDP(A295,"VOLUME_AVG_30D"),NA())</f>
        <v/>
      </c>
      <c r="H295" s="22">
        <f>IFERROR(_xll.BDP(A295,"PX_VOLUME"),NA())</f>
        <v/>
      </c>
      <c r="I295" s="16">
        <f>IFERROR(H295/G295,NA())</f>
        <v/>
      </c>
      <c r="J295" s="16">
        <f>IF(ISNUMBER(I295),IF(I295&gt;=Settings!$B$7,"VOL SPIKE",""),"")</f>
        <v/>
      </c>
    </row>
    <row r="296">
      <c r="A296" s="16">
        <f>'Rest Universe'!A297</f>
        <v/>
      </c>
      <c r="B296" s="22">
        <f>IFERROR(_xll.BDP(A296,"NAME"),"")</f>
        <v/>
      </c>
      <c r="C296" s="22">
        <f>IFERROR(_xll.BDP(A296,"EQY_SH_OUT"),NA())</f>
        <v/>
      </c>
      <c r="D296" s="22">
        <f>IFERROR(_xll.BDH(A296,"EQY_SH_OUT","-"&amp;Settings!$B$4&amp;"AW","-"&amp;Settings!$B$4&amp;"AW","days=a","fill=p"),NA())</f>
        <v/>
      </c>
      <c r="E296" s="23">
        <f>IFERROR((C296-D296)/D296,NA())</f>
        <v/>
      </c>
      <c r="F296" s="16">
        <f>IF(ISNUMBER(E296),IF(E296&lt;=Settings!$B$6,"BUYBACK ACTIVITY",""),"")</f>
        <v/>
      </c>
      <c r="G296" s="22">
        <f>IFERROR(_xll.BDP(A296,"VOLUME_AVG_30D"),NA())</f>
        <v/>
      </c>
      <c r="H296" s="22">
        <f>IFERROR(_xll.BDP(A296,"PX_VOLUME"),NA())</f>
        <v/>
      </c>
      <c r="I296" s="16">
        <f>IFERROR(H296/G296,NA())</f>
        <v/>
      </c>
      <c r="J296" s="16">
        <f>IF(ISNUMBER(I296),IF(I296&gt;=Settings!$B$7,"VOL SPIKE",""),"")</f>
        <v/>
      </c>
    </row>
    <row r="297">
      <c r="A297" s="16">
        <f>'Rest Universe'!A298</f>
        <v/>
      </c>
      <c r="B297" s="22">
        <f>IFERROR(_xll.BDP(A297,"NAME"),"")</f>
        <v/>
      </c>
      <c r="C297" s="22">
        <f>IFERROR(_xll.BDP(A297,"EQY_SH_OUT"),NA())</f>
        <v/>
      </c>
      <c r="D297" s="22">
        <f>IFERROR(_xll.BDH(A297,"EQY_SH_OUT","-"&amp;Settings!$B$4&amp;"AW","-"&amp;Settings!$B$4&amp;"AW","days=a","fill=p"),NA())</f>
        <v/>
      </c>
      <c r="E297" s="23">
        <f>IFERROR((C297-D297)/D297,NA())</f>
        <v/>
      </c>
      <c r="F297" s="16">
        <f>IF(ISNUMBER(E297),IF(E297&lt;=Settings!$B$6,"BUYBACK ACTIVITY",""),"")</f>
        <v/>
      </c>
      <c r="G297" s="22">
        <f>IFERROR(_xll.BDP(A297,"VOLUME_AVG_30D"),NA())</f>
        <v/>
      </c>
      <c r="H297" s="22">
        <f>IFERROR(_xll.BDP(A297,"PX_VOLUME"),NA())</f>
        <v/>
      </c>
      <c r="I297" s="16">
        <f>IFERROR(H297/G297,NA())</f>
        <v/>
      </c>
      <c r="J297" s="16">
        <f>IF(ISNUMBER(I297),IF(I297&gt;=Settings!$B$7,"VOL SPIKE",""),"")</f>
        <v/>
      </c>
    </row>
    <row r="298">
      <c r="A298" s="16">
        <f>'Rest Universe'!A299</f>
        <v/>
      </c>
      <c r="B298" s="22">
        <f>IFERROR(_xll.BDP(A298,"NAME"),"")</f>
        <v/>
      </c>
      <c r="C298" s="22">
        <f>IFERROR(_xll.BDP(A298,"EQY_SH_OUT"),NA())</f>
        <v/>
      </c>
      <c r="D298" s="22">
        <f>IFERROR(_xll.BDH(A298,"EQY_SH_OUT","-"&amp;Settings!$B$4&amp;"AW","-"&amp;Settings!$B$4&amp;"AW","days=a","fill=p"),NA())</f>
        <v/>
      </c>
      <c r="E298" s="23">
        <f>IFERROR((C298-D298)/D298,NA())</f>
        <v/>
      </c>
      <c r="F298" s="16">
        <f>IF(ISNUMBER(E298),IF(E298&lt;=Settings!$B$6,"BUYBACK ACTIVITY",""),"")</f>
        <v/>
      </c>
      <c r="G298" s="22">
        <f>IFERROR(_xll.BDP(A298,"VOLUME_AVG_30D"),NA())</f>
        <v/>
      </c>
      <c r="H298" s="22">
        <f>IFERROR(_xll.BDP(A298,"PX_VOLUME"),NA())</f>
        <v/>
      </c>
      <c r="I298" s="16">
        <f>IFERROR(H298/G298,NA())</f>
        <v/>
      </c>
      <c r="J298" s="16">
        <f>IF(ISNUMBER(I298),IF(I298&gt;=Settings!$B$7,"VOL SPIKE",""),"")</f>
        <v/>
      </c>
    </row>
    <row r="299">
      <c r="A299" s="16">
        <f>'Rest Universe'!A300</f>
        <v/>
      </c>
      <c r="B299" s="22">
        <f>IFERROR(_xll.BDP(A299,"NAME"),"")</f>
        <v/>
      </c>
      <c r="C299" s="22">
        <f>IFERROR(_xll.BDP(A299,"EQY_SH_OUT"),NA())</f>
        <v/>
      </c>
      <c r="D299" s="22">
        <f>IFERROR(_xll.BDH(A299,"EQY_SH_OUT","-"&amp;Settings!$B$4&amp;"AW","-"&amp;Settings!$B$4&amp;"AW","days=a","fill=p"),NA())</f>
        <v/>
      </c>
      <c r="E299" s="23">
        <f>IFERROR((C299-D299)/D299,NA())</f>
        <v/>
      </c>
      <c r="F299" s="16">
        <f>IF(ISNUMBER(E299),IF(E299&lt;=Settings!$B$6,"BUYBACK ACTIVITY",""),"")</f>
        <v/>
      </c>
      <c r="G299" s="22">
        <f>IFERROR(_xll.BDP(A299,"VOLUME_AVG_30D"),NA())</f>
        <v/>
      </c>
      <c r="H299" s="22">
        <f>IFERROR(_xll.BDP(A299,"PX_VOLUME"),NA())</f>
        <v/>
      </c>
      <c r="I299" s="16">
        <f>IFERROR(H299/G299,NA())</f>
        <v/>
      </c>
      <c r="J299" s="16">
        <f>IF(ISNUMBER(I299),IF(I299&gt;=Settings!$B$7,"VOL SPIKE",""),"")</f>
        <v/>
      </c>
    </row>
    <row r="300">
      <c r="A300" s="16">
        <f>'Rest Universe'!A301</f>
        <v/>
      </c>
      <c r="B300" s="22">
        <f>IFERROR(_xll.BDP(A300,"NAME"),"")</f>
        <v/>
      </c>
      <c r="C300" s="22">
        <f>IFERROR(_xll.BDP(A300,"EQY_SH_OUT"),NA())</f>
        <v/>
      </c>
      <c r="D300" s="22">
        <f>IFERROR(_xll.BDH(A300,"EQY_SH_OUT","-"&amp;Settings!$B$4&amp;"AW","-"&amp;Settings!$B$4&amp;"AW","days=a","fill=p"),NA())</f>
        <v/>
      </c>
      <c r="E300" s="23">
        <f>IFERROR((C300-D300)/D300,NA())</f>
        <v/>
      </c>
      <c r="F300" s="16">
        <f>IF(ISNUMBER(E300),IF(E300&lt;=Settings!$B$6,"BUYBACK ACTIVITY",""),"")</f>
        <v/>
      </c>
      <c r="G300" s="22">
        <f>IFERROR(_xll.BDP(A300,"VOLUME_AVG_30D"),NA())</f>
        <v/>
      </c>
      <c r="H300" s="22">
        <f>IFERROR(_xll.BDP(A300,"PX_VOLUME"),NA())</f>
        <v/>
      </c>
      <c r="I300" s="16">
        <f>IFERROR(H300/G300,NA())</f>
        <v/>
      </c>
      <c r="J300" s="16">
        <f>IF(ISNUMBER(I300),IF(I300&gt;=Settings!$B$7,"VOL SPIKE",""),"")</f>
        <v/>
      </c>
    </row>
    <row r="301">
      <c r="A301" s="16">
        <f>'Rest Universe'!A302</f>
        <v/>
      </c>
      <c r="B301" s="22">
        <f>IFERROR(_xll.BDP(A301,"NAME"),"")</f>
        <v/>
      </c>
      <c r="C301" s="22">
        <f>IFERROR(_xll.BDP(A301,"EQY_SH_OUT"),NA())</f>
        <v/>
      </c>
      <c r="D301" s="22">
        <f>IFERROR(_xll.BDH(A301,"EQY_SH_OUT","-"&amp;Settings!$B$4&amp;"AW","-"&amp;Settings!$B$4&amp;"AW","days=a","fill=p"),NA())</f>
        <v/>
      </c>
      <c r="E301" s="23">
        <f>IFERROR((C301-D301)/D301,NA())</f>
        <v/>
      </c>
      <c r="F301" s="16">
        <f>IF(ISNUMBER(E301),IF(E301&lt;=Settings!$B$6,"BUYBACK ACTIVITY",""),"")</f>
        <v/>
      </c>
      <c r="G301" s="22">
        <f>IFERROR(_xll.BDP(A301,"VOLUME_AVG_30D"),NA())</f>
        <v/>
      </c>
      <c r="H301" s="22">
        <f>IFERROR(_xll.BDP(A301,"PX_VOLUME"),NA())</f>
        <v/>
      </c>
      <c r="I301" s="16">
        <f>IFERROR(H301/G301,NA())</f>
        <v/>
      </c>
      <c r="J301" s="16">
        <f>IF(ISNUMBER(I301),IF(I301&gt;=Settings!$B$7,"VOL SPIKE",""),"")</f>
        <v/>
      </c>
    </row>
    <row r="302">
      <c r="A302" s="16">
        <f>'Rest Universe'!A303</f>
        <v/>
      </c>
      <c r="B302" s="22">
        <f>IFERROR(_xll.BDP(A302,"NAME"),"")</f>
        <v/>
      </c>
      <c r="C302" s="22">
        <f>IFERROR(_xll.BDP(A302,"EQY_SH_OUT"),NA())</f>
        <v/>
      </c>
      <c r="D302" s="22">
        <f>IFERROR(_xll.BDH(A302,"EQY_SH_OUT","-"&amp;Settings!$B$4&amp;"AW","-"&amp;Settings!$B$4&amp;"AW","days=a","fill=p"),NA())</f>
        <v/>
      </c>
      <c r="E302" s="23">
        <f>IFERROR((C302-D302)/D302,NA())</f>
        <v/>
      </c>
      <c r="F302" s="16">
        <f>IF(ISNUMBER(E302),IF(E302&lt;=Settings!$B$6,"BUYBACK ACTIVITY",""),"")</f>
        <v/>
      </c>
      <c r="G302" s="22">
        <f>IFERROR(_xll.BDP(A302,"VOLUME_AVG_30D"),NA())</f>
        <v/>
      </c>
      <c r="H302" s="22">
        <f>IFERROR(_xll.BDP(A302,"PX_VOLUME"),NA())</f>
        <v/>
      </c>
      <c r="I302" s="16">
        <f>IFERROR(H302/G302,NA())</f>
        <v/>
      </c>
      <c r="J302" s="16">
        <f>IF(ISNUMBER(I302),IF(I302&gt;=Settings!$B$7,"VOL SPIKE",""),"")</f>
        <v/>
      </c>
    </row>
    <row r="303">
      <c r="A303" s="16">
        <f>'Rest Universe'!A304</f>
        <v/>
      </c>
      <c r="B303" s="22">
        <f>IFERROR(_xll.BDP(A303,"NAME"),"")</f>
        <v/>
      </c>
      <c r="C303" s="22">
        <f>IFERROR(_xll.BDP(A303,"EQY_SH_OUT"),NA())</f>
        <v/>
      </c>
      <c r="D303" s="22">
        <f>IFERROR(_xll.BDH(A303,"EQY_SH_OUT","-"&amp;Settings!$B$4&amp;"AW","-"&amp;Settings!$B$4&amp;"AW","days=a","fill=p"),NA())</f>
        <v/>
      </c>
      <c r="E303" s="23">
        <f>IFERROR((C303-D303)/D303,NA())</f>
        <v/>
      </c>
      <c r="F303" s="16">
        <f>IF(ISNUMBER(E303),IF(E303&lt;=Settings!$B$6,"BUYBACK ACTIVITY",""),"")</f>
        <v/>
      </c>
      <c r="G303" s="22">
        <f>IFERROR(_xll.BDP(A303,"VOLUME_AVG_30D"),NA())</f>
        <v/>
      </c>
      <c r="H303" s="22">
        <f>IFERROR(_xll.BDP(A303,"PX_VOLUME"),NA())</f>
        <v/>
      </c>
      <c r="I303" s="16">
        <f>IFERROR(H303/G303,NA())</f>
        <v/>
      </c>
      <c r="J303" s="16">
        <f>IF(ISNUMBER(I303),IF(I303&gt;=Settings!$B$7,"VOL SPIKE",""),"")</f>
        <v/>
      </c>
    </row>
    <row r="304">
      <c r="A304" s="16">
        <f>'Rest Universe'!A305</f>
        <v/>
      </c>
      <c r="B304" s="22">
        <f>IFERROR(_xll.BDP(A304,"NAME"),"")</f>
        <v/>
      </c>
      <c r="C304" s="22">
        <f>IFERROR(_xll.BDP(A304,"EQY_SH_OUT"),NA())</f>
        <v/>
      </c>
      <c r="D304" s="22">
        <f>IFERROR(_xll.BDH(A304,"EQY_SH_OUT","-"&amp;Settings!$B$4&amp;"AW","-"&amp;Settings!$B$4&amp;"AW","days=a","fill=p"),NA())</f>
        <v/>
      </c>
      <c r="E304" s="23">
        <f>IFERROR((C304-D304)/D304,NA())</f>
        <v/>
      </c>
      <c r="F304" s="16">
        <f>IF(ISNUMBER(E304),IF(E304&lt;=Settings!$B$6,"BUYBACK ACTIVITY",""),"")</f>
        <v/>
      </c>
      <c r="G304" s="22">
        <f>IFERROR(_xll.BDP(A304,"VOLUME_AVG_30D"),NA())</f>
        <v/>
      </c>
      <c r="H304" s="22">
        <f>IFERROR(_xll.BDP(A304,"PX_VOLUME"),NA())</f>
        <v/>
      </c>
      <c r="I304" s="16">
        <f>IFERROR(H304/G304,NA())</f>
        <v/>
      </c>
      <c r="J304" s="16">
        <f>IF(ISNUMBER(I304),IF(I304&gt;=Settings!$B$7,"VOL SPIKE",""),"")</f>
        <v/>
      </c>
    </row>
    <row r="305">
      <c r="A305" s="16">
        <f>'Rest Universe'!A306</f>
        <v/>
      </c>
      <c r="B305" s="22">
        <f>IFERROR(_xll.BDP(A305,"NAME"),"")</f>
        <v/>
      </c>
      <c r="C305" s="22">
        <f>IFERROR(_xll.BDP(A305,"EQY_SH_OUT"),NA())</f>
        <v/>
      </c>
      <c r="D305" s="22">
        <f>IFERROR(_xll.BDH(A305,"EQY_SH_OUT","-"&amp;Settings!$B$4&amp;"AW","-"&amp;Settings!$B$4&amp;"AW","days=a","fill=p"),NA())</f>
        <v/>
      </c>
      <c r="E305" s="23">
        <f>IFERROR((C305-D305)/D305,NA())</f>
        <v/>
      </c>
      <c r="F305" s="16">
        <f>IF(ISNUMBER(E305),IF(E305&lt;=Settings!$B$6,"BUYBACK ACTIVITY",""),"")</f>
        <v/>
      </c>
      <c r="G305" s="22">
        <f>IFERROR(_xll.BDP(A305,"VOLUME_AVG_30D"),NA())</f>
        <v/>
      </c>
      <c r="H305" s="22">
        <f>IFERROR(_xll.BDP(A305,"PX_VOLUME"),NA())</f>
        <v/>
      </c>
      <c r="I305" s="16">
        <f>IFERROR(H305/G305,NA())</f>
        <v/>
      </c>
      <c r="J305" s="16">
        <f>IF(ISNUMBER(I305),IF(I305&gt;=Settings!$B$7,"VOL SPIKE",""),"")</f>
        <v/>
      </c>
    </row>
    <row r="306">
      <c r="A306" s="16">
        <f>'Rest Universe'!A307</f>
        <v/>
      </c>
      <c r="B306" s="22">
        <f>IFERROR(_xll.BDP(A306,"NAME"),"")</f>
        <v/>
      </c>
      <c r="C306" s="22">
        <f>IFERROR(_xll.BDP(A306,"EQY_SH_OUT"),NA())</f>
        <v/>
      </c>
      <c r="D306" s="22">
        <f>IFERROR(_xll.BDH(A306,"EQY_SH_OUT","-"&amp;Settings!$B$4&amp;"AW","-"&amp;Settings!$B$4&amp;"AW","days=a","fill=p"),NA())</f>
        <v/>
      </c>
      <c r="E306" s="23">
        <f>IFERROR((C306-D306)/D306,NA())</f>
        <v/>
      </c>
      <c r="F306" s="16">
        <f>IF(ISNUMBER(E306),IF(E306&lt;=Settings!$B$6,"BUYBACK ACTIVITY",""),"")</f>
        <v/>
      </c>
      <c r="G306" s="22">
        <f>IFERROR(_xll.BDP(A306,"VOLUME_AVG_30D"),NA())</f>
        <v/>
      </c>
      <c r="H306" s="22">
        <f>IFERROR(_xll.BDP(A306,"PX_VOLUME"),NA())</f>
        <v/>
      </c>
      <c r="I306" s="16">
        <f>IFERROR(H306/G306,NA())</f>
        <v/>
      </c>
      <c r="J306" s="16">
        <f>IF(ISNUMBER(I306),IF(I306&gt;=Settings!$B$7,"VOL SPIKE",""),"")</f>
        <v/>
      </c>
    </row>
    <row r="307">
      <c r="A307" s="16">
        <f>'Rest Universe'!A308</f>
        <v/>
      </c>
      <c r="B307" s="22">
        <f>IFERROR(_xll.BDP(A307,"NAME"),"")</f>
        <v/>
      </c>
      <c r="C307" s="22">
        <f>IFERROR(_xll.BDP(A307,"EQY_SH_OUT"),NA())</f>
        <v/>
      </c>
      <c r="D307" s="22">
        <f>IFERROR(_xll.BDH(A307,"EQY_SH_OUT","-"&amp;Settings!$B$4&amp;"AW","-"&amp;Settings!$B$4&amp;"AW","days=a","fill=p"),NA())</f>
        <v/>
      </c>
      <c r="E307" s="23">
        <f>IFERROR((C307-D307)/D307,NA())</f>
        <v/>
      </c>
      <c r="F307" s="16">
        <f>IF(ISNUMBER(E307),IF(E307&lt;=Settings!$B$6,"BUYBACK ACTIVITY",""),"")</f>
        <v/>
      </c>
      <c r="G307" s="22">
        <f>IFERROR(_xll.BDP(A307,"VOLUME_AVG_30D"),NA())</f>
        <v/>
      </c>
      <c r="H307" s="22">
        <f>IFERROR(_xll.BDP(A307,"PX_VOLUME"),NA())</f>
        <v/>
      </c>
      <c r="I307" s="16">
        <f>IFERROR(H307/G307,NA())</f>
        <v/>
      </c>
      <c r="J307" s="16">
        <f>IF(ISNUMBER(I307),IF(I307&gt;=Settings!$B$7,"VOL SPIKE",""),"")</f>
        <v/>
      </c>
    </row>
    <row r="308">
      <c r="A308" s="16">
        <f>'Rest Universe'!A309</f>
        <v/>
      </c>
      <c r="B308" s="22">
        <f>IFERROR(_xll.BDP(A308,"NAME"),"")</f>
        <v/>
      </c>
      <c r="C308" s="22">
        <f>IFERROR(_xll.BDP(A308,"EQY_SH_OUT"),NA())</f>
        <v/>
      </c>
      <c r="D308" s="22">
        <f>IFERROR(_xll.BDH(A308,"EQY_SH_OUT","-"&amp;Settings!$B$4&amp;"AW","-"&amp;Settings!$B$4&amp;"AW","days=a","fill=p"),NA())</f>
        <v/>
      </c>
      <c r="E308" s="23">
        <f>IFERROR((C308-D308)/D308,NA())</f>
        <v/>
      </c>
      <c r="F308" s="16">
        <f>IF(ISNUMBER(E308),IF(E308&lt;=Settings!$B$6,"BUYBACK ACTIVITY",""),"")</f>
        <v/>
      </c>
      <c r="G308" s="22">
        <f>IFERROR(_xll.BDP(A308,"VOLUME_AVG_30D"),NA())</f>
        <v/>
      </c>
      <c r="H308" s="22">
        <f>IFERROR(_xll.BDP(A308,"PX_VOLUME"),NA())</f>
        <v/>
      </c>
      <c r="I308" s="16">
        <f>IFERROR(H308/G308,NA())</f>
        <v/>
      </c>
      <c r="J308" s="16">
        <f>IF(ISNUMBER(I308),IF(I308&gt;=Settings!$B$7,"VOL SPIKE",""),"")</f>
        <v/>
      </c>
    </row>
    <row r="309">
      <c r="A309" s="16">
        <f>'Rest Universe'!A310</f>
        <v/>
      </c>
      <c r="B309" s="22">
        <f>IFERROR(_xll.BDP(A309,"NAME"),"")</f>
        <v/>
      </c>
      <c r="C309" s="22">
        <f>IFERROR(_xll.BDP(A309,"EQY_SH_OUT"),NA())</f>
        <v/>
      </c>
      <c r="D309" s="22">
        <f>IFERROR(_xll.BDH(A309,"EQY_SH_OUT","-"&amp;Settings!$B$4&amp;"AW","-"&amp;Settings!$B$4&amp;"AW","days=a","fill=p"),NA())</f>
        <v/>
      </c>
      <c r="E309" s="23">
        <f>IFERROR((C309-D309)/D309,NA())</f>
        <v/>
      </c>
      <c r="F309" s="16">
        <f>IF(ISNUMBER(E309),IF(E309&lt;=Settings!$B$6,"BUYBACK ACTIVITY",""),"")</f>
        <v/>
      </c>
      <c r="G309" s="22">
        <f>IFERROR(_xll.BDP(A309,"VOLUME_AVG_30D"),NA())</f>
        <v/>
      </c>
      <c r="H309" s="22">
        <f>IFERROR(_xll.BDP(A309,"PX_VOLUME"),NA())</f>
        <v/>
      </c>
      <c r="I309" s="16">
        <f>IFERROR(H309/G309,NA())</f>
        <v/>
      </c>
      <c r="J309" s="16">
        <f>IF(ISNUMBER(I309),IF(I309&gt;=Settings!$B$7,"VOL SPIKE",""),"")</f>
        <v/>
      </c>
    </row>
    <row r="310">
      <c r="A310" s="16">
        <f>'Rest Universe'!A311</f>
        <v/>
      </c>
      <c r="B310" s="22">
        <f>IFERROR(_xll.BDP(A310,"NAME"),"")</f>
        <v/>
      </c>
      <c r="C310" s="22">
        <f>IFERROR(_xll.BDP(A310,"EQY_SH_OUT"),NA())</f>
        <v/>
      </c>
      <c r="D310" s="22">
        <f>IFERROR(_xll.BDH(A310,"EQY_SH_OUT","-"&amp;Settings!$B$4&amp;"AW","-"&amp;Settings!$B$4&amp;"AW","days=a","fill=p"),NA())</f>
        <v/>
      </c>
      <c r="E310" s="23">
        <f>IFERROR((C310-D310)/D310,NA())</f>
        <v/>
      </c>
      <c r="F310" s="16">
        <f>IF(ISNUMBER(E310),IF(E310&lt;=Settings!$B$6,"BUYBACK ACTIVITY",""),"")</f>
        <v/>
      </c>
      <c r="G310" s="22">
        <f>IFERROR(_xll.BDP(A310,"VOLUME_AVG_30D"),NA())</f>
        <v/>
      </c>
      <c r="H310" s="22">
        <f>IFERROR(_xll.BDP(A310,"PX_VOLUME"),NA())</f>
        <v/>
      </c>
      <c r="I310" s="16">
        <f>IFERROR(H310/G310,NA())</f>
        <v/>
      </c>
      <c r="J310" s="16">
        <f>IF(ISNUMBER(I310),IF(I310&gt;=Settings!$B$7,"VOL SPIKE",""),"")</f>
        <v/>
      </c>
    </row>
    <row r="311">
      <c r="A311" s="16">
        <f>'Rest Universe'!A312</f>
        <v/>
      </c>
      <c r="B311" s="22">
        <f>IFERROR(_xll.BDP(A311,"NAME"),"")</f>
        <v/>
      </c>
      <c r="C311" s="22">
        <f>IFERROR(_xll.BDP(A311,"EQY_SH_OUT"),NA())</f>
        <v/>
      </c>
      <c r="D311" s="22">
        <f>IFERROR(_xll.BDH(A311,"EQY_SH_OUT","-"&amp;Settings!$B$4&amp;"AW","-"&amp;Settings!$B$4&amp;"AW","days=a","fill=p"),NA())</f>
        <v/>
      </c>
      <c r="E311" s="23">
        <f>IFERROR((C311-D311)/D311,NA())</f>
        <v/>
      </c>
      <c r="F311" s="16">
        <f>IF(ISNUMBER(E311),IF(E311&lt;=Settings!$B$6,"BUYBACK ACTIVITY",""),"")</f>
        <v/>
      </c>
      <c r="G311" s="22">
        <f>IFERROR(_xll.BDP(A311,"VOLUME_AVG_30D"),NA())</f>
        <v/>
      </c>
      <c r="H311" s="22">
        <f>IFERROR(_xll.BDP(A311,"PX_VOLUME"),NA())</f>
        <v/>
      </c>
      <c r="I311" s="16">
        <f>IFERROR(H311/G311,NA())</f>
        <v/>
      </c>
      <c r="J311" s="16">
        <f>IF(ISNUMBER(I311),IF(I311&gt;=Settings!$B$7,"VOL SPIKE",""),"")</f>
        <v/>
      </c>
    </row>
    <row r="312">
      <c r="A312" s="16">
        <f>'Rest Universe'!A313</f>
        <v/>
      </c>
      <c r="B312" s="22">
        <f>IFERROR(_xll.BDP(A312,"NAME"),"")</f>
        <v/>
      </c>
      <c r="C312" s="22">
        <f>IFERROR(_xll.BDP(A312,"EQY_SH_OUT"),NA())</f>
        <v/>
      </c>
      <c r="D312" s="22">
        <f>IFERROR(_xll.BDH(A312,"EQY_SH_OUT","-"&amp;Settings!$B$4&amp;"AW","-"&amp;Settings!$B$4&amp;"AW","days=a","fill=p"),NA())</f>
        <v/>
      </c>
      <c r="E312" s="23">
        <f>IFERROR((C312-D312)/D312,NA())</f>
        <v/>
      </c>
      <c r="F312" s="16">
        <f>IF(ISNUMBER(E312),IF(E312&lt;=Settings!$B$6,"BUYBACK ACTIVITY",""),"")</f>
        <v/>
      </c>
      <c r="G312" s="22">
        <f>IFERROR(_xll.BDP(A312,"VOLUME_AVG_30D"),NA())</f>
        <v/>
      </c>
      <c r="H312" s="22">
        <f>IFERROR(_xll.BDP(A312,"PX_VOLUME"),NA())</f>
        <v/>
      </c>
      <c r="I312" s="16">
        <f>IFERROR(H312/G312,NA())</f>
        <v/>
      </c>
      <c r="J312" s="16">
        <f>IF(ISNUMBER(I312),IF(I312&gt;=Settings!$B$7,"VOL SPIKE",""),"")</f>
        <v/>
      </c>
    </row>
    <row r="313">
      <c r="A313" s="16">
        <f>'Rest Universe'!A314</f>
        <v/>
      </c>
      <c r="B313" s="22">
        <f>IFERROR(_xll.BDP(A313,"NAME"),"")</f>
        <v/>
      </c>
      <c r="C313" s="22">
        <f>IFERROR(_xll.BDP(A313,"EQY_SH_OUT"),NA())</f>
        <v/>
      </c>
      <c r="D313" s="22">
        <f>IFERROR(_xll.BDH(A313,"EQY_SH_OUT","-"&amp;Settings!$B$4&amp;"AW","-"&amp;Settings!$B$4&amp;"AW","days=a","fill=p"),NA())</f>
        <v/>
      </c>
      <c r="E313" s="23">
        <f>IFERROR((C313-D313)/D313,NA())</f>
        <v/>
      </c>
      <c r="F313" s="16">
        <f>IF(ISNUMBER(E313),IF(E313&lt;=Settings!$B$6,"BUYBACK ACTIVITY",""),"")</f>
        <v/>
      </c>
      <c r="G313" s="22">
        <f>IFERROR(_xll.BDP(A313,"VOLUME_AVG_30D"),NA())</f>
        <v/>
      </c>
      <c r="H313" s="22">
        <f>IFERROR(_xll.BDP(A313,"PX_VOLUME"),NA())</f>
        <v/>
      </c>
      <c r="I313" s="16">
        <f>IFERROR(H313/G313,NA())</f>
        <v/>
      </c>
      <c r="J313" s="16">
        <f>IF(ISNUMBER(I313),IF(I313&gt;=Settings!$B$7,"VOL SPIKE",""),"")</f>
        <v/>
      </c>
    </row>
    <row r="314">
      <c r="A314" s="16">
        <f>'Rest Universe'!A315</f>
        <v/>
      </c>
      <c r="B314" s="22">
        <f>IFERROR(_xll.BDP(A314,"NAME"),"")</f>
        <v/>
      </c>
      <c r="C314" s="22">
        <f>IFERROR(_xll.BDP(A314,"EQY_SH_OUT"),NA())</f>
        <v/>
      </c>
      <c r="D314" s="22">
        <f>IFERROR(_xll.BDH(A314,"EQY_SH_OUT","-"&amp;Settings!$B$4&amp;"AW","-"&amp;Settings!$B$4&amp;"AW","days=a","fill=p"),NA())</f>
        <v/>
      </c>
      <c r="E314" s="23">
        <f>IFERROR((C314-D314)/D314,NA())</f>
        <v/>
      </c>
      <c r="F314" s="16">
        <f>IF(ISNUMBER(E314),IF(E314&lt;=Settings!$B$6,"BUYBACK ACTIVITY",""),"")</f>
        <v/>
      </c>
      <c r="G314" s="22">
        <f>IFERROR(_xll.BDP(A314,"VOLUME_AVG_30D"),NA())</f>
        <v/>
      </c>
      <c r="H314" s="22">
        <f>IFERROR(_xll.BDP(A314,"PX_VOLUME"),NA())</f>
        <v/>
      </c>
      <c r="I314" s="16">
        <f>IFERROR(H314/G314,NA())</f>
        <v/>
      </c>
      <c r="J314" s="16">
        <f>IF(ISNUMBER(I314),IF(I314&gt;=Settings!$B$7,"VOL SPIKE",""),"")</f>
        <v/>
      </c>
    </row>
    <row r="315">
      <c r="A315" s="16">
        <f>'Rest Universe'!A316</f>
        <v/>
      </c>
      <c r="B315" s="22">
        <f>IFERROR(_xll.BDP(A315,"NAME"),"")</f>
        <v/>
      </c>
      <c r="C315" s="22">
        <f>IFERROR(_xll.BDP(A315,"EQY_SH_OUT"),NA())</f>
        <v/>
      </c>
      <c r="D315" s="22">
        <f>IFERROR(_xll.BDH(A315,"EQY_SH_OUT","-"&amp;Settings!$B$4&amp;"AW","-"&amp;Settings!$B$4&amp;"AW","days=a","fill=p"),NA())</f>
        <v/>
      </c>
      <c r="E315" s="23">
        <f>IFERROR((C315-D315)/D315,NA())</f>
        <v/>
      </c>
      <c r="F315" s="16">
        <f>IF(ISNUMBER(E315),IF(E315&lt;=Settings!$B$6,"BUYBACK ACTIVITY",""),"")</f>
        <v/>
      </c>
      <c r="G315" s="22">
        <f>IFERROR(_xll.BDP(A315,"VOLUME_AVG_30D"),NA())</f>
        <v/>
      </c>
      <c r="H315" s="22">
        <f>IFERROR(_xll.BDP(A315,"PX_VOLUME"),NA())</f>
        <v/>
      </c>
      <c r="I315" s="16">
        <f>IFERROR(H315/G315,NA())</f>
        <v/>
      </c>
      <c r="J315" s="16">
        <f>IF(ISNUMBER(I315),IF(I315&gt;=Settings!$B$7,"VOL SPIKE",""),"")</f>
        <v/>
      </c>
    </row>
    <row r="316">
      <c r="A316" s="16">
        <f>'Rest Universe'!A317</f>
        <v/>
      </c>
      <c r="B316" s="22">
        <f>IFERROR(_xll.BDP(A316,"NAME"),"")</f>
        <v/>
      </c>
      <c r="C316" s="22">
        <f>IFERROR(_xll.BDP(A316,"EQY_SH_OUT"),NA())</f>
        <v/>
      </c>
      <c r="D316" s="22">
        <f>IFERROR(_xll.BDH(A316,"EQY_SH_OUT","-"&amp;Settings!$B$4&amp;"AW","-"&amp;Settings!$B$4&amp;"AW","days=a","fill=p"),NA())</f>
        <v/>
      </c>
      <c r="E316" s="23">
        <f>IFERROR((C316-D316)/D316,NA())</f>
        <v/>
      </c>
      <c r="F316" s="16">
        <f>IF(ISNUMBER(E316),IF(E316&lt;=Settings!$B$6,"BUYBACK ACTIVITY",""),"")</f>
        <v/>
      </c>
      <c r="G316" s="22">
        <f>IFERROR(_xll.BDP(A316,"VOLUME_AVG_30D"),NA())</f>
        <v/>
      </c>
      <c r="H316" s="22">
        <f>IFERROR(_xll.BDP(A316,"PX_VOLUME"),NA())</f>
        <v/>
      </c>
      <c r="I316" s="16">
        <f>IFERROR(H316/G316,NA())</f>
        <v/>
      </c>
      <c r="J316" s="16">
        <f>IF(ISNUMBER(I316),IF(I316&gt;=Settings!$B$7,"VOL SPIKE",""),"")</f>
        <v/>
      </c>
    </row>
    <row r="317">
      <c r="A317" s="16">
        <f>'Rest Universe'!A318</f>
        <v/>
      </c>
      <c r="B317" s="22">
        <f>IFERROR(_xll.BDP(A317,"NAME"),"")</f>
        <v/>
      </c>
      <c r="C317" s="22">
        <f>IFERROR(_xll.BDP(A317,"EQY_SH_OUT"),NA())</f>
        <v/>
      </c>
      <c r="D317" s="22">
        <f>IFERROR(_xll.BDH(A317,"EQY_SH_OUT","-"&amp;Settings!$B$4&amp;"AW","-"&amp;Settings!$B$4&amp;"AW","days=a","fill=p"),NA())</f>
        <v/>
      </c>
      <c r="E317" s="23">
        <f>IFERROR((C317-D317)/D317,NA())</f>
        <v/>
      </c>
      <c r="F317" s="16">
        <f>IF(ISNUMBER(E317),IF(E317&lt;=Settings!$B$6,"BUYBACK ACTIVITY",""),"")</f>
        <v/>
      </c>
      <c r="G317" s="22">
        <f>IFERROR(_xll.BDP(A317,"VOLUME_AVG_30D"),NA())</f>
        <v/>
      </c>
      <c r="H317" s="22">
        <f>IFERROR(_xll.BDP(A317,"PX_VOLUME"),NA())</f>
        <v/>
      </c>
      <c r="I317" s="16">
        <f>IFERROR(H317/G317,NA())</f>
        <v/>
      </c>
      <c r="J317" s="16">
        <f>IF(ISNUMBER(I317),IF(I317&gt;=Settings!$B$7,"VOL SPIKE",""),"")</f>
        <v/>
      </c>
    </row>
    <row r="318">
      <c r="A318" s="16">
        <f>'Rest Universe'!A319</f>
        <v/>
      </c>
      <c r="B318" s="22">
        <f>IFERROR(_xll.BDP(A318,"NAME"),"")</f>
        <v/>
      </c>
      <c r="C318" s="22">
        <f>IFERROR(_xll.BDP(A318,"EQY_SH_OUT"),NA())</f>
        <v/>
      </c>
      <c r="D318" s="22">
        <f>IFERROR(_xll.BDH(A318,"EQY_SH_OUT","-"&amp;Settings!$B$4&amp;"AW","-"&amp;Settings!$B$4&amp;"AW","days=a","fill=p"),NA())</f>
        <v/>
      </c>
      <c r="E318" s="23">
        <f>IFERROR((C318-D318)/D318,NA())</f>
        <v/>
      </c>
      <c r="F318" s="16">
        <f>IF(ISNUMBER(E318),IF(E318&lt;=Settings!$B$6,"BUYBACK ACTIVITY",""),"")</f>
        <v/>
      </c>
      <c r="G318" s="22">
        <f>IFERROR(_xll.BDP(A318,"VOLUME_AVG_30D"),NA())</f>
        <v/>
      </c>
      <c r="H318" s="22">
        <f>IFERROR(_xll.BDP(A318,"PX_VOLUME"),NA())</f>
        <v/>
      </c>
      <c r="I318" s="16">
        <f>IFERROR(H318/G318,NA())</f>
        <v/>
      </c>
      <c r="J318" s="16">
        <f>IF(ISNUMBER(I318),IF(I318&gt;=Settings!$B$7,"VOL SPIKE",""),"")</f>
        <v/>
      </c>
    </row>
    <row r="319">
      <c r="A319" s="16">
        <f>'Rest Universe'!A320</f>
        <v/>
      </c>
      <c r="B319" s="22">
        <f>IFERROR(_xll.BDP(A319,"NAME"),"")</f>
        <v/>
      </c>
      <c r="C319" s="22">
        <f>IFERROR(_xll.BDP(A319,"EQY_SH_OUT"),NA())</f>
        <v/>
      </c>
      <c r="D319" s="22">
        <f>IFERROR(_xll.BDH(A319,"EQY_SH_OUT","-"&amp;Settings!$B$4&amp;"AW","-"&amp;Settings!$B$4&amp;"AW","days=a","fill=p"),NA())</f>
        <v/>
      </c>
      <c r="E319" s="23">
        <f>IFERROR((C319-D319)/D319,NA())</f>
        <v/>
      </c>
      <c r="F319" s="16">
        <f>IF(ISNUMBER(E319),IF(E319&lt;=Settings!$B$6,"BUYBACK ACTIVITY",""),"")</f>
        <v/>
      </c>
      <c r="G319" s="22">
        <f>IFERROR(_xll.BDP(A319,"VOLUME_AVG_30D"),NA())</f>
        <v/>
      </c>
      <c r="H319" s="22">
        <f>IFERROR(_xll.BDP(A319,"PX_VOLUME"),NA())</f>
        <v/>
      </c>
      <c r="I319" s="16">
        <f>IFERROR(H319/G319,NA())</f>
        <v/>
      </c>
      <c r="J319" s="16">
        <f>IF(ISNUMBER(I319),IF(I319&gt;=Settings!$B$7,"VOL SPIKE",""),"")</f>
        <v/>
      </c>
    </row>
    <row r="320">
      <c r="A320" s="16">
        <f>'Rest Universe'!A321</f>
        <v/>
      </c>
      <c r="B320" s="22">
        <f>IFERROR(_xll.BDP(A320,"NAME"),"")</f>
        <v/>
      </c>
      <c r="C320" s="22">
        <f>IFERROR(_xll.BDP(A320,"EQY_SH_OUT"),NA())</f>
        <v/>
      </c>
      <c r="D320" s="22">
        <f>IFERROR(_xll.BDH(A320,"EQY_SH_OUT","-"&amp;Settings!$B$4&amp;"AW","-"&amp;Settings!$B$4&amp;"AW","days=a","fill=p"),NA())</f>
        <v/>
      </c>
      <c r="E320" s="23">
        <f>IFERROR((C320-D320)/D320,NA())</f>
        <v/>
      </c>
      <c r="F320" s="16">
        <f>IF(ISNUMBER(E320),IF(E320&lt;=Settings!$B$6,"BUYBACK ACTIVITY",""),"")</f>
        <v/>
      </c>
      <c r="G320" s="22">
        <f>IFERROR(_xll.BDP(A320,"VOLUME_AVG_30D"),NA())</f>
        <v/>
      </c>
      <c r="H320" s="22">
        <f>IFERROR(_xll.BDP(A320,"PX_VOLUME"),NA())</f>
        <v/>
      </c>
      <c r="I320" s="16">
        <f>IFERROR(H320/G320,NA())</f>
        <v/>
      </c>
      <c r="J320" s="16">
        <f>IF(ISNUMBER(I320),IF(I320&gt;=Settings!$B$7,"VOL SPIKE",""),"")</f>
        <v/>
      </c>
    </row>
    <row r="321">
      <c r="A321" s="16">
        <f>'Rest Universe'!A322</f>
        <v/>
      </c>
      <c r="B321" s="22">
        <f>IFERROR(_xll.BDP(A321,"NAME"),"")</f>
        <v/>
      </c>
      <c r="C321" s="22">
        <f>IFERROR(_xll.BDP(A321,"EQY_SH_OUT"),NA())</f>
        <v/>
      </c>
      <c r="D321" s="22">
        <f>IFERROR(_xll.BDH(A321,"EQY_SH_OUT","-"&amp;Settings!$B$4&amp;"AW","-"&amp;Settings!$B$4&amp;"AW","days=a","fill=p"),NA())</f>
        <v/>
      </c>
      <c r="E321" s="23">
        <f>IFERROR((C321-D321)/D321,NA())</f>
        <v/>
      </c>
      <c r="F321" s="16">
        <f>IF(ISNUMBER(E321),IF(E321&lt;=Settings!$B$6,"BUYBACK ACTIVITY",""),"")</f>
        <v/>
      </c>
      <c r="G321" s="22">
        <f>IFERROR(_xll.BDP(A321,"VOLUME_AVG_30D"),NA())</f>
        <v/>
      </c>
      <c r="H321" s="22">
        <f>IFERROR(_xll.BDP(A321,"PX_VOLUME"),NA())</f>
        <v/>
      </c>
      <c r="I321" s="16">
        <f>IFERROR(H321/G321,NA())</f>
        <v/>
      </c>
      <c r="J321" s="16">
        <f>IF(ISNUMBER(I321),IF(I321&gt;=Settings!$B$7,"VOL SPIKE",""),"")</f>
        <v/>
      </c>
    </row>
    <row r="322">
      <c r="A322" s="16">
        <f>'Rest Universe'!A323</f>
        <v/>
      </c>
      <c r="B322" s="22">
        <f>IFERROR(_xll.BDP(A322,"NAME"),"")</f>
        <v/>
      </c>
      <c r="C322" s="22">
        <f>IFERROR(_xll.BDP(A322,"EQY_SH_OUT"),NA())</f>
        <v/>
      </c>
      <c r="D322" s="22">
        <f>IFERROR(_xll.BDH(A322,"EQY_SH_OUT","-"&amp;Settings!$B$4&amp;"AW","-"&amp;Settings!$B$4&amp;"AW","days=a","fill=p"),NA())</f>
        <v/>
      </c>
      <c r="E322" s="23">
        <f>IFERROR((C322-D322)/D322,NA())</f>
        <v/>
      </c>
      <c r="F322" s="16">
        <f>IF(ISNUMBER(E322),IF(E322&lt;=Settings!$B$6,"BUYBACK ACTIVITY",""),"")</f>
        <v/>
      </c>
      <c r="G322" s="22">
        <f>IFERROR(_xll.BDP(A322,"VOLUME_AVG_30D"),NA())</f>
        <v/>
      </c>
      <c r="H322" s="22">
        <f>IFERROR(_xll.BDP(A322,"PX_VOLUME"),NA())</f>
        <v/>
      </c>
      <c r="I322" s="16">
        <f>IFERROR(H322/G322,NA())</f>
        <v/>
      </c>
      <c r="J322" s="16">
        <f>IF(ISNUMBER(I322),IF(I322&gt;=Settings!$B$7,"VOL SPIKE",""),"")</f>
        <v/>
      </c>
    </row>
    <row r="323">
      <c r="A323" s="16">
        <f>'Rest Universe'!A324</f>
        <v/>
      </c>
      <c r="B323" s="22">
        <f>IFERROR(_xll.BDP(A323,"NAME"),"")</f>
        <v/>
      </c>
      <c r="C323" s="22">
        <f>IFERROR(_xll.BDP(A323,"EQY_SH_OUT"),NA())</f>
        <v/>
      </c>
      <c r="D323" s="22">
        <f>IFERROR(_xll.BDH(A323,"EQY_SH_OUT","-"&amp;Settings!$B$4&amp;"AW","-"&amp;Settings!$B$4&amp;"AW","days=a","fill=p"),NA())</f>
        <v/>
      </c>
      <c r="E323" s="23">
        <f>IFERROR((C323-D323)/D323,NA())</f>
        <v/>
      </c>
      <c r="F323" s="16">
        <f>IF(ISNUMBER(E323),IF(E323&lt;=Settings!$B$6,"BUYBACK ACTIVITY",""),"")</f>
        <v/>
      </c>
      <c r="G323" s="22">
        <f>IFERROR(_xll.BDP(A323,"VOLUME_AVG_30D"),NA())</f>
        <v/>
      </c>
      <c r="H323" s="22">
        <f>IFERROR(_xll.BDP(A323,"PX_VOLUME"),NA())</f>
        <v/>
      </c>
      <c r="I323" s="16">
        <f>IFERROR(H323/G323,NA())</f>
        <v/>
      </c>
      <c r="J323" s="16">
        <f>IF(ISNUMBER(I323),IF(I323&gt;=Settings!$B$7,"VOL SPIKE",""),"")</f>
        <v/>
      </c>
    </row>
    <row r="324">
      <c r="A324" s="16">
        <f>'Rest Universe'!A325</f>
        <v/>
      </c>
      <c r="B324" s="22">
        <f>IFERROR(_xll.BDP(A324,"NAME"),"")</f>
        <v/>
      </c>
      <c r="C324" s="22">
        <f>IFERROR(_xll.BDP(A324,"EQY_SH_OUT"),NA())</f>
        <v/>
      </c>
      <c r="D324" s="22">
        <f>IFERROR(_xll.BDH(A324,"EQY_SH_OUT","-"&amp;Settings!$B$4&amp;"AW","-"&amp;Settings!$B$4&amp;"AW","days=a","fill=p"),NA())</f>
        <v/>
      </c>
      <c r="E324" s="23">
        <f>IFERROR((C324-D324)/D324,NA())</f>
        <v/>
      </c>
      <c r="F324" s="16">
        <f>IF(ISNUMBER(E324),IF(E324&lt;=Settings!$B$6,"BUYBACK ACTIVITY",""),"")</f>
        <v/>
      </c>
      <c r="G324" s="22">
        <f>IFERROR(_xll.BDP(A324,"VOLUME_AVG_30D"),NA())</f>
        <v/>
      </c>
      <c r="H324" s="22">
        <f>IFERROR(_xll.BDP(A324,"PX_VOLUME"),NA())</f>
        <v/>
      </c>
      <c r="I324" s="16">
        <f>IFERROR(H324/G324,NA())</f>
        <v/>
      </c>
      <c r="J324" s="16">
        <f>IF(ISNUMBER(I324),IF(I324&gt;=Settings!$B$7,"VOL SPIKE",""),"")</f>
        <v/>
      </c>
    </row>
    <row r="325">
      <c r="A325" s="16">
        <f>'Rest Universe'!A326</f>
        <v/>
      </c>
      <c r="B325" s="22">
        <f>IFERROR(_xll.BDP(A325,"NAME"),"")</f>
        <v/>
      </c>
      <c r="C325" s="22">
        <f>IFERROR(_xll.BDP(A325,"EQY_SH_OUT"),NA())</f>
        <v/>
      </c>
      <c r="D325" s="22">
        <f>IFERROR(_xll.BDH(A325,"EQY_SH_OUT","-"&amp;Settings!$B$4&amp;"AW","-"&amp;Settings!$B$4&amp;"AW","days=a","fill=p"),NA())</f>
        <v/>
      </c>
      <c r="E325" s="23">
        <f>IFERROR((C325-D325)/D325,NA())</f>
        <v/>
      </c>
      <c r="F325" s="16">
        <f>IF(ISNUMBER(E325),IF(E325&lt;=Settings!$B$6,"BUYBACK ACTIVITY",""),"")</f>
        <v/>
      </c>
      <c r="G325" s="22">
        <f>IFERROR(_xll.BDP(A325,"VOLUME_AVG_30D"),NA())</f>
        <v/>
      </c>
      <c r="H325" s="22">
        <f>IFERROR(_xll.BDP(A325,"PX_VOLUME"),NA())</f>
        <v/>
      </c>
      <c r="I325" s="16">
        <f>IFERROR(H325/G325,NA())</f>
        <v/>
      </c>
      <c r="J325" s="16">
        <f>IF(ISNUMBER(I325),IF(I325&gt;=Settings!$B$7,"VOL SPIKE",""),"")</f>
        <v/>
      </c>
    </row>
    <row r="326">
      <c r="A326" s="16">
        <f>'Rest Universe'!A327</f>
        <v/>
      </c>
      <c r="B326" s="22">
        <f>IFERROR(_xll.BDP(A326,"NAME"),"")</f>
        <v/>
      </c>
      <c r="C326" s="22">
        <f>IFERROR(_xll.BDP(A326,"EQY_SH_OUT"),NA())</f>
        <v/>
      </c>
      <c r="D326" s="22">
        <f>IFERROR(_xll.BDH(A326,"EQY_SH_OUT","-"&amp;Settings!$B$4&amp;"AW","-"&amp;Settings!$B$4&amp;"AW","days=a","fill=p"),NA())</f>
        <v/>
      </c>
      <c r="E326" s="23">
        <f>IFERROR((C326-D326)/D326,NA())</f>
        <v/>
      </c>
      <c r="F326" s="16">
        <f>IF(ISNUMBER(E326),IF(E326&lt;=Settings!$B$6,"BUYBACK ACTIVITY",""),"")</f>
        <v/>
      </c>
      <c r="G326" s="22">
        <f>IFERROR(_xll.BDP(A326,"VOLUME_AVG_30D"),NA())</f>
        <v/>
      </c>
      <c r="H326" s="22">
        <f>IFERROR(_xll.BDP(A326,"PX_VOLUME"),NA())</f>
        <v/>
      </c>
      <c r="I326" s="16">
        <f>IFERROR(H326/G326,NA())</f>
        <v/>
      </c>
      <c r="J326" s="16">
        <f>IF(ISNUMBER(I326),IF(I326&gt;=Settings!$B$7,"VOL SPIKE",""),"")</f>
        <v/>
      </c>
    </row>
    <row r="327">
      <c r="A327" s="16">
        <f>'Rest Universe'!A328</f>
        <v/>
      </c>
      <c r="B327" s="22">
        <f>IFERROR(_xll.BDP(A327,"NAME"),"")</f>
        <v/>
      </c>
      <c r="C327" s="22">
        <f>IFERROR(_xll.BDP(A327,"EQY_SH_OUT"),NA())</f>
        <v/>
      </c>
      <c r="D327" s="22">
        <f>IFERROR(_xll.BDH(A327,"EQY_SH_OUT","-"&amp;Settings!$B$4&amp;"AW","-"&amp;Settings!$B$4&amp;"AW","days=a","fill=p"),NA())</f>
        <v/>
      </c>
      <c r="E327" s="23">
        <f>IFERROR((C327-D327)/D327,NA())</f>
        <v/>
      </c>
      <c r="F327" s="16">
        <f>IF(ISNUMBER(E327),IF(E327&lt;=Settings!$B$6,"BUYBACK ACTIVITY",""),"")</f>
        <v/>
      </c>
      <c r="G327" s="22">
        <f>IFERROR(_xll.BDP(A327,"VOLUME_AVG_30D"),NA())</f>
        <v/>
      </c>
      <c r="H327" s="22">
        <f>IFERROR(_xll.BDP(A327,"PX_VOLUME"),NA())</f>
        <v/>
      </c>
      <c r="I327" s="16">
        <f>IFERROR(H327/G327,NA())</f>
        <v/>
      </c>
      <c r="J327" s="16">
        <f>IF(ISNUMBER(I327),IF(I327&gt;=Settings!$B$7,"VOL SPIKE",""),"")</f>
        <v/>
      </c>
    </row>
    <row r="328">
      <c r="A328" s="16">
        <f>'Rest Universe'!A329</f>
        <v/>
      </c>
      <c r="B328" s="22">
        <f>IFERROR(_xll.BDP(A328,"NAME"),"")</f>
        <v/>
      </c>
      <c r="C328" s="22">
        <f>IFERROR(_xll.BDP(A328,"EQY_SH_OUT"),NA())</f>
        <v/>
      </c>
      <c r="D328" s="22">
        <f>IFERROR(_xll.BDH(A328,"EQY_SH_OUT","-"&amp;Settings!$B$4&amp;"AW","-"&amp;Settings!$B$4&amp;"AW","days=a","fill=p"),NA())</f>
        <v/>
      </c>
      <c r="E328" s="23">
        <f>IFERROR((C328-D328)/D328,NA())</f>
        <v/>
      </c>
      <c r="F328" s="16">
        <f>IF(ISNUMBER(E328),IF(E328&lt;=Settings!$B$6,"BUYBACK ACTIVITY",""),"")</f>
        <v/>
      </c>
      <c r="G328" s="22">
        <f>IFERROR(_xll.BDP(A328,"VOLUME_AVG_30D"),NA())</f>
        <v/>
      </c>
      <c r="H328" s="22">
        <f>IFERROR(_xll.BDP(A328,"PX_VOLUME"),NA())</f>
        <v/>
      </c>
      <c r="I328" s="16">
        <f>IFERROR(H328/G328,NA())</f>
        <v/>
      </c>
      <c r="J328" s="16">
        <f>IF(ISNUMBER(I328),IF(I328&gt;=Settings!$B$7,"VOL SPIKE",""),"")</f>
        <v/>
      </c>
    </row>
    <row r="329">
      <c r="A329" s="16">
        <f>'Rest Universe'!A330</f>
        <v/>
      </c>
      <c r="B329" s="22">
        <f>IFERROR(_xll.BDP(A329,"NAME"),"")</f>
        <v/>
      </c>
      <c r="C329" s="22">
        <f>IFERROR(_xll.BDP(A329,"EQY_SH_OUT"),NA())</f>
        <v/>
      </c>
      <c r="D329" s="22">
        <f>IFERROR(_xll.BDH(A329,"EQY_SH_OUT","-"&amp;Settings!$B$4&amp;"AW","-"&amp;Settings!$B$4&amp;"AW","days=a","fill=p"),NA())</f>
        <v/>
      </c>
      <c r="E329" s="23">
        <f>IFERROR((C329-D329)/D329,NA())</f>
        <v/>
      </c>
      <c r="F329" s="16">
        <f>IF(ISNUMBER(E329),IF(E329&lt;=Settings!$B$6,"BUYBACK ACTIVITY",""),"")</f>
        <v/>
      </c>
      <c r="G329" s="22">
        <f>IFERROR(_xll.BDP(A329,"VOLUME_AVG_30D"),NA())</f>
        <v/>
      </c>
      <c r="H329" s="22">
        <f>IFERROR(_xll.BDP(A329,"PX_VOLUME"),NA())</f>
        <v/>
      </c>
      <c r="I329" s="16">
        <f>IFERROR(H329/G329,NA())</f>
        <v/>
      </c>
      <c r="J329" s="16">
        <f>IF(ISNUMBER(I329),IF(I329&gt;=Settings!$B$7,"VOL SPIKE",""),"")</f>
        <v/>
      </c>
    </row>
    <row r="330">
      <c r="A330" s="16">
        <f>'Rest Universe'!A331</f>
        <v/>
      </c>
      <c r="B330" s="22">
        <f>IFERROR(_xll.BDP(A330,"NAME"),"")</f>
        <v/>
      </c>
      <c r="C330" s="22">
        <f>IFERROR(_xll.BDP(A330,"EQY_SH_OUT"),NA())</f>
        <v/>
      </c>
      <c r="D330" s="22">
        <f>IFERROR(_xll.BDH(A330,"EQY_SH_OUT","-"&amp;Settings!$B$4&amp;"AW","-"&amp;Settings!$B$4&amp;"AW","days=a","fill=p"),NA())</f>
        <v/>
      </c>
      <c r="E330" s="23">
        <f>IFERROR((C330-D330)/D330,NA())</f>
        <v/>
      </c>
      <c r="F330" s="16">
        <f>IF(ISNUMBER(E330),IF(E330&lt;=Settings!$B$6,"BUYBACK ACTIVITY",""),"")</f>
        <v/>
      </c>
      <c r="G330" s="22">
        <f>IFERROR(_xll.BDP(A330,"VOLUME_AVG_30D"),NA())</f>
        <v/>
      </c>
      <c r="H330" s="22">
        <f>IFERROR(_xll.BDP(A330,"PX_VOLUME"),NA())</f>
        <v/>
      </c>
      <c r="I330" s="16">
        <f>IFERROR(H330/G330,NA())</f>
        <v/>
      </c>
      <c r="J330" s="16">
        <f>IF(ISNUMBER(I330),IF(I330&gt;=Settings!$B$7,"VOL SPIKE",""),"")</f>
        <v/>
      </c>
    </row>
    <row r="331">
      <c r="A331" s="16">
        <f>'Rest Universe'!A332</f>
        <v/>
      </c>
      <c r="B331" s="22">
        <f>IFERROR(_xll.BDP(A331,"NAME"),"")</f>
        <v/>
      </c>
      <c r="C331" s="22">
        <f>IFERROR(_xll.BDP(A331,"EQY_SH_OUT"),NA())</f>
        <v/>
      </c>
      <c r="D331" s="22">
        <f>IFERROR(_xll.BDH(A331,"EQY_SH_OUT","-"&amp;Settings!$B$4&amp;"AW","-"&amp;Settings!$B$4&amp;"AW","days=a","fill=p"),NA())</f>
        <v/>
      </c>
      <c r="E331" s="23">
        <f>IFERROR((C331-D331)/D331,NA())</f>
        <v/>
      </c>
      <c r="F331" s="16">
        <f>IF(ISNUMBER(E331),IF(E331&lt;=Settings!$B$6,"BUYBACK ACTIVITY",""),"")</f>
        <v/>
      </c>
      <c r="G331" s="22">
        <f>IFERROR(_xll.BDP(A331,"VOLUME_AVG_30D"),NA())</f>
        <v/>
      </c>
      <c r="H331" s="22">
        <f>IFERROR(_xll.BDP(A331,"PX_VOLUME"),NA())</f>
        <v/>
      </c>
      <c r="I331" s="16">
        <f>IFERROR(H331/G331,NA())</f>
        <v/>
      </c>
      <c r="J331" s="16">
        <f>IF(ISNUMBER(I331),IF(I331&gt;=Settings!$B$7,"VOL SPIKE",""),"")</f>
        <v/>
      </c>
    </row>
    <row r="332">
      <c r="A332" s="16">
        <f>'Rest Universe'!A333</f>
        <v/>
      </c>
      <c r="B332" s="22">
        <f>IFERROR(_xll.BDP(A332,"NAME"),"")</f>
        <v/>
      </c>
      <c r="C332" s="22">
        <f>IFERROR(_xll.BDP(A332,"EQY_SH_OUT"),NA())</f>
        <v/>
      </c>
      <c r="D332" s="22">
        <f>IFERROR(_xll.BDH(A332,"EQY_SH_OUT","-"&amp;Settings!$B$4&amp;"AW","-"&amp;Settings!$B$4&amp;"AW","days=a","fill=p"),NA())</f>
        <v/>
      </c>
      <c r="E332" s="23">
        <f>IFERROR((C332-D332)/D332,NA())</f>
        <v/>
      </c>
      <c r="F332" s="16">
        <f>IF(ISNUMBER(E332),IF(E332&lt;=Settings!$B$6,"BUYBACK ACTIVITY",""),"")</f>
        <v/>
      </c>
      <c r="G332" s="22">
        <f>IFERROR(_xll.BDP(A332,"VOLUME_AVG_30D"),NA())</f>
        <v/>
      </c>
      <c r="H332" s="22">
        <f>IFERROR(_xll.BDP(A332,"PX_VOLUME"),NA())</f>
        <v/>
      </c>
      <c r="I332" s="16">
        <f>IFERROR(H332/G332,NA())</f>
        <v/>
      </c>
      <c r="J332" s="16">
        <f>IF(ISNUMBER(I332),IF(I332&gt;=Settings!$B$7,"VOL SPIKE",""),"")</f>
        <v/>
      </c>
    </row>
    <row r="333">
      <c r="A333" s="16">
        <f>'Rest Universe'!A334</f>
        <v/>
      </c>
      <c r="B333" s="22">
        <f>IFERROR(_xll.BDP(A333,"NAME"),"")</f>
        <v/>
      </c>
      <c r="C333" s="22">
        <f>IFERROR(_xll.BDP(A333,"EQY_SH_OUT"),NA())</f>
        <v/>
      </c>
      <c r="D333" s="22">
        <f>IFERROR(_xll.BDH(A333,"EQY_SH_OUT","-"&amp;Settings!$B$4&amp;"AW","-"&amp;Settings!$B$4&amp;"AW","days=a","fill=p"),NA())</f>
        <v/>
      </c>
      <c r="E333" s="23">
        <f>IFERROR((C333-D333)/D333,NA())</f>
        <v/>
      </c>
      <c r="F333" s="16">
        <f>IF(ISNUMBER(E333),IF(E333&lt;=Settings!$B$6,"BUYBACK ACTIVITY",""),"")</f>
        <v/>
      </c>
      <c r="G333" s="22">
        <f>IFERROR(_xll.BDP(A333,"VOLUME_AVG_30D"),NA())</f>
        <v/>
      </c>
      <c r="H333" s="22">
        <f>IFERROR(_xll.BDP(A333,"PX_VOLUME"),NA())</f>
        <v/>
      </c>
      <c r="I333" s="16">
        <f>IFERROR(H333/G333,NA())</f>
        <v/>
      </c>
      <c r="J333" s="16">
        <f>IF(ISNUMBER(I333),IF(I333&gt;=Settings!$B$7,"VOL SPIKE",""),"")</f>
        <v/>
      </c>
    </row>
    <row r="334">
      <c r="A334" s="16">
        <f>'Rest Universe'!A335</f>
        <v/>
      </c>
      <c r="B334" s="22">
        <f>IFERROR(_xll.BDP(A334,"NAME"),"")</f>
        <v/>
      </c>
      <c r="C334" s="22">
        <f>IFERROR(_xll.BDP(A334,"EQY_SH_OUT"),NA())</f>
        <v/>
      </c>
      <c r="D334" s="22">
        <f>IFERROR(_xll.BDH(A334,"EQY_SH_OUT","-"&amp;Settings!$B$4&amp;"AW","-"&amp;Settings!$B$4&amp;"AW","days=a","fill=p"),NA())</f>
        <v/>
      </c>
      <c r="E334" s="23">
        <f>IFERROR((C334-D334)/D334,NA())</f>
        <v/>
      </c>
      <c r="F334" s="16">
        <f>IF(ISNUMBER(E334),IF(E334&lt;=Settings!$B$6,"BUYBACK ACTIVITY",""),"")</f>
        <v/>
      </c>
      <c r="G334" s="22">
        <f>IFERROR(_xll.BDP(A334,"VOLUME_AVG_30D"),NA())</f>
        <v/>
      </c>
      <c r="H334" s="22">
        <f>IFERROR(_xll.BDP(A334,"PX_VOLUME"),NA())</f>
        <v/>
      </c>
      <c r="I334" s="16">
        <f>IFERROR(H334/G334,NA())</f>
        <v/>
      </c>
      <c r="J334" s="16">
        <f>IF(ISNUMBER(I334),IF(I334&gt;=Settings!$B$7,"VOL SPIKE",""),"")</f>
        <v/>
      </c>
    </row>
    <row r="335">
      <c r="A335" s="16">
        <f>'Rest Universe'!A336</f>
        <v/>
      </c>
      <c r="B335" s="22">
        <f>IFERROR(_xll.BDP(A335,"NAME"),"")</f>
        <v/>
      </c>
      <c r="C335" s="22">
        <f>IFERROR(_xll.BDP(A335,"EQY_SH_OUT"),NA())</f>
        <v/>
      </c>
      <c r="D335" s="22">
        <f>IFERROR(_xll.BDH(A335,"EQY_SH_OUT","-"&amp;Settings!$B$4&amp;"AW","-"&amp;Settings!$B$4&amp;"AW","days=a","fill=p"),NA())</f>
        <v/>
      </c>
      <c r="E335" s="23">
        <f>IFERROR((C335-D335)/D335,NA())</f>
        <v/>
      </c>
      <c r="F335" s="16">
        <f>IF(ISNUMBER(E335),IF(E335&lt;=Settings!$B$6,"BUYBACK ACTIVITY",""),"")</f>
        <v/>
      </c>
      <c r="G335" s="22">
        <f>IFERROR(_xll.BDP(A335,"VOLUME_AVG_30D"),NA())</f>
        <v/>
      </c>
      <c r="H335" s="22">
        <f>IFERROR(_xll.BDP(A335,"PX_VOLUME"),NA())</f>
        <v/>
      </c>
      <c r="I335" s="16">
        <f>IFERROR(H335/G335,NA())</f>
        <v/>
      </c>
      <c r="J335" s="16">
        <f>IF(ISNUMBER(I335),IF(I335&gt;=Settings!$B$7,"VOL SPIKE",""),"")</f>
        <v/>
      </c>
    </row>
    <row r="336">
      <c r="A336" s="16">
        <f>'Rest Universe'!A337</f>
        <v/>
      </c>
      <c r="B336" s="22">
        <f>IFERROR(_xll.BDP(A336,"NAME"),"")</f>
        <v/>
      </c>
      <c r="C336" s="22">
        <f>IFERROR(_xll.BDP(A336,"EQY_SH_OUT"),NA())</f>
        <v/>
      </c>
      <c r="D336" s="22">
        <f>IFERROR(_xll.BDH(A336,"EQY_SH_OUT","-"&amp;Settings!$B$4&amp;"AW","-"&amp;Settings!$B$4&amp;"AW","days=a","fill=p"),NA())</f>
        <v/>
      </c>
      <c r="E336" s="23">
        <f>IFERROR((C336-D336)/D336,NA())</f>
        <v/>
      </c>
      <c r="F336" s="16">
        <f>IF(ISNUMBER(E336),IF(E336&lt;=Settings!$B$6,"BUYBACK ACTIVITY",""),"")</f>
        <v/>
      </c>
      <c r="G336" s="22">
        <f>IFERROR(_xll.BDP(A336,"VOLUME_AVG_30D"),NA())</f>
        <v/>
      </c>
      <c r="H336" s="22">
        <f>IFERROR(_xll.BDP(A336,"PX_VOLUME"),NA())</f>
        <v/>
      </c>
      <c r="I336" s="16">
        <f>IFERROR(H336/G336,NA())</f>
        <v/>
      </c>
      <c r="J336" s="16">
        <f>IF(ISNUMBER(I336),IF(I336&gt;=Settings!$B$7,"VOL SPIKE",""),"")</f>
        <v/>
      </c>
    </row>
    <row r="337">
      <c r="A337" s="16">
        <f>'Rest Universe'!A338</f>
        <v/>
      </c>
      <c r="B337" s="22">
        <f>IFERROR(_xll.BDP(A337,"NAME"),"")</f>
        <v/>
      </c>
      <c r="C337" s="22">
        <f>IFERROR(_xll.BDP(A337,"EQY_SH_OUT"),NA())</f>
        <v/>
      </c>
      <c r="D337" s="22">
        <f>IFERROR(_xll.BDH(A337,"EQY_SH_OUT","-"&amp;Settings!$B$4&amp;"AW","-"&amp;Settings!$B$4&amp;"AW","days=a","fill=p"),NA())</f>
        <v/>
      </c>
      <c r="E337" s="23">
        <f>IFERROR((C337-D337)/D337,NA())</f>
        <v/>
      </c>
      <c r="F337" s="16">
        <f>IF(ISNUMBER(E337),IF(E337&lt;=Settings!$B$6,"BUYBACK ACTIVITY",""),"")</f>
        <v/>
      </c>
      <c r="G337" s="22">
        <f>IFERROR(_xll.BDP(A337,"VOLUME_AVG_30D"),NA())</f>
        <v/>
      </c>
      <c r="H337" s="22">
        <f>IFERROR(_xll.BDP(A337,"PX_VOLUME"),NA())</f>
        <v/>
      </c>
      <c r="I337" s="16">
        <f>IFERROR(H337/G337,NA())</f>
        <v/>
      </c>
      <c r="J337" s="16">
        <f>IF(ISNUMBER(I337),IF(I337&gt;=Settings!$B$7,"VOL SPIKE",""),"")</f>
        <v/>
      </c>
    </row>
    <row r="338">
      <c r="A338" s="16">
        <f>'Rest Universe'!A339</f>
        <v/>
      </c>
      <c r="B338" s="22">
        <f>IFERROR(_xll.BDP(A338,"NAME"),"")</f>
        <v/>
      </c>
      <c r="C338" s="22">
        <f>IFERROR(_xll.BDP(A338,"EQY_SH_OUT"),NA())</f>
        <v/>
      </c>
      <c r="D338" s="22">
        <f>IFERROR(_xll.BDH(A338,"EQY_SH_OUT","-"&amp;Settings!$B$4&amp;"AW","-"&amp;Settings!$B$4&amp;"AW","days=a","fill=p"),NA())</f>
        <v/>
      </c>
      <c r="E338" s="23">
        <f>IFERROR((C338-D338)/D338,NA())</f>
        <v/>
      </c>
      <c r="F338" s="16">
        <f>IF(ISNUMBER(E338),IF(E338&lt;=Settings!$B$6,"BUYBACK ACTIVITY",""),"")</f>
        <v/>
      </c>
      <c r="G338" s="22">
        <f>IFERROR(_xll.BDP(A338,"VOLUME_AVG_30D"),NA())</f>
        <v/>
      </c>
      <c r="H338" s="22">
        <f>IFERROR(_xll.BDP(A338,"PX_VOLUME"),NA())</f>
        <v/>
      </c>
      <c r="I338" s="16">
        <f>IFERROR(H338/G338,NA())</f>
        <v/>
      </c>
      <c r="J338" s="16">
        <f>IF(ISNUMBER(I338),IF(I338&gt;=Settings!$B$7,"VOL SPIKE",""),"")</f>
        <v/>
      </c>
    </row>
    <row r="339">
      <c r="A339" s="16">
        <f>'Rest Universe'!A340</f>
        <v/>
      </c>
      <c r="B339" s="22">
        <f>IFERROR(_xll.BDP(A339,"NAME"),"")</f>
        <v/>
      </c>
      <c r="C339" s="22">
        <f>IFERROR(_xll.BDP(A339,"EQY_SH_OUT"),NA())</f>
        <v/>
      </c>
      <c r="D339" s="22">
        <f>IFERROR(_xll.BDH(A339,"EQY_SH_OUT","-"&amp;Settings!$B$4&amp;"AW","-"&amp;Settings!$B$4&amp;"AW","days=a","fill=p"),NA())</f>
        <v/>
      </c>
      <c r="E339" s="23">
        <f>IFERROR((C339-D339)/D339,NA())</f>
        <v/>
      </c>
      <c r="F339" s="16">
        <f>IF(ISNUMBER(E339),IF(E339&lt;=Settings!$B$6,"BUYBACK ACTIVITY",""),"")</f>
        <v/>
      </c>
      <c r="G339" s="22">
        <f>IFERROR(_xll.BDP(A339,"VOLUME_AVG_30D"),NA())</f>
        <v/>
      </c>
      <c r="H339" s="22">
        <f>IFERROR(_xll.BDP(A339,"PX_VOLUME"),NA())</f>
        <v/>
      </c>
      <c r="I339" s="16">
        <f>IFERROR(H339/G339,NA())</f>
        <v/>
      </c>
      <c r="J339" s="16">
        <f>IF(ISNUMBER(I339),IF(I339&gt;=Settings!$B$7,"VOL SPIKE",""),"")</f>
        <v/>
      </c>
    </row>
    <row r="340">
      <c r="A340" s="16">
        <f>'Rest Universe'!A341</f>
        <v/>
      </c>
      <c r="B340" s="22">
        <f>IFERROR(_xll.BDP(A340,"NAME"),"")</f>
        <v/>
      </c>
      <c r="C340" s="22">
        <f>IFERROR(_xll.BDP(A340,"EQY_SH_OUT"),NA())</f>
        <v/>
      </c>
      <c r="D340" s="22">
        <f>IFERROR(_xll.BDH(A340,"EQY_SH_OUT","-"&amp;Settings!$B$4&amp;"AW","-"&amp;Settings!$B$4&amp;"AW","days=a","fill=p"),NA())</f>
        <v/>
      </c>
      <c r="E340" s="23">
        <f>IFERROR((C340-D340)/D340,NA())</f>
        <v/>
      </c>
      <c r="F340" s="16">
        <f>IF(ISNUMBER(E340),IF(E340&lt;=Settings!$B$6,"BUYBACK ACTIVITY",""),"")</f>
        <v/>
      </c>
      <c r="G340" s="22">
        <f>IFERROR(_xll.BDP(A340,"VOLUME_AVG_30D"),NA())</f>
        <v/>
      </c>
      <c r="H340" s="22">
        <f>IFERROR(_xll.BDP(A340,"PX_VOLUME"),NA())</f>
        <v/>
      </c>
      <c r="I340" s="16">
        <f>IFERROR(H340/G340,NA())</f>
        <v/>
      </c>
      <c r="J340" s="16">
        <f>IF(ISNUMBER(I340),IF(I340&gt;=Settings!$B$7,"VOL SPIKE",""),"")</f>
        <v/>
      </c>
    </row>
    <row r="341">
      <c r="A341" s="16">
        <f>'Rest Universe'!A342</f>
        <v/>
      </c>
      <c r="B341" s="22">
        <f>IFERROR(_xll.BDP(A341,"NAME"),"")</f>
        <v/>
      </c>
      <c r="C341" s="22">
        <f>IFERROR(_xll.BDP(A341,"EQY_SH_OUT"),NA())</f>
        <v/>
      </c>
      <c r="D341" s="22">
        <f>IFERROR(_xll.BDH(A341,"EQY_SH_OUT","-"&amp;Settings!$B$4&amp;"AW","-"&amp;Settings!$B$4&amp;"AW","days=a","fill=p"),NA())</f>
        <v/>
      </c>
      <c r="E341" s="23">
        <f>IFERROR((C341-D341)/D341,NA())</f>
        <v/>
      </c>
      <c r="F341" s="16">
        <f>IF(ISNUMBER(E341),IF(E341&lt;=Settings!$B$6,"BUYBACK ACTIVITY",""),"")</f>
        <v/>
      </c>
      <c r="G341" s="22">
        <f>IFERROR(_xll.BDP(A341,"VOLUME_AVG_30D"),NA())</f>
        <v/>
      </c>
      <c r="H341" s="22">
        <f>IFERROR(_xll.BDP(A341,"PX_VOLUME"),NA())</f>
        <v/>
      </c>
      <c r="I341" s="16">
        <f>IFERROR(H341/G341,NA())</f>
        <v/>
      </c>
      <c r="J341" s="16">
        <f>IF(ISNUMBER(I341),IF(I341&gt;=Settings!$B$7,"VOL SPIKE",""),"")</f>
        <v/>
      </c>
    </row>
    <row r="342">
      <c r="A342" s="16">
        <f>'Rest Universe'!A343</f>
        <v/>
      </c>
      <c r="B342" s="22">
        <f>IFERROR(_xll.BDP(A342,"NAME"),"")</f>
        <v/>
      </c>
      <c r="C342" s="22">
        <f>IFERROR(_xll.BDP(A342,"EQY_SH_OUT"),NA())</f>
        <v/>
      </c>
      <c r="D342" s="22">
        <f>IFERROR(_xll.BDH(A342,"EQY_SH_OUT","-"&amp;Settings!$B$4&amp;"AW","-"&amp;Settings!$B$4&amp;"AW","days=a","fill=p"),NA())</f>
        <v/>
      </c>
      <c r="E342" s="23">
        <f>IFERROR((C342-D342)/D342,NA())</f>
        <v/>
      </c>
      <c r="F342" s="16">
        <f>IF(ISNUMBER(E342),IF(E342&lt;=Settings!$B$6,"BUYBACK ACTIVITY",""),"")</f>
        <v/>
      </c>
      <c r="G342" s="22">
        <f>IFERROR(_xll.BDP(A342,"VOLUME_AVG_30D"),NA())</f>
        <v/>
      </c>
      <c r="H342" s="22">
        <f>IFERROR(_xll.BDP(A342,"PX_VOLUME"),NA())</f>
        <v/>
      </c>
      <c r="I342" s="16">
        <f>IFERROR(H342/G342,NA())</f>
        <v/>
      </c>
      <c r="J342" s="16">
        <f>IF(ISNUMBER(I342),IF(I342&gt;=Settings!$B$7,"VOL SPIKE",""),"")</f>
        <v/>
      </c>
    </row>
    <row r="343">
      <c r="A343" s="16">
        <f>'Rest Universe'!A344</f>
        <v/>
      </c>
      <c r="B343" s="22">
        <f>IFERROR(_xll.BDP(A343,"NAME"),"")</f>
        <v/>
      </c>
      <c r="C343" s="22">
        <f>IFERROR(_xll.BDP(A343,"EQY_SH_OUT"),NA())</f>
        <v/>
      </c>
      <c r="D343" s="22">
        <f>IFERROR(_xll.BDH(A343,"EQY_SH_OUT","-"&amp;Settings!$B$4&amp;"AW","-"&amp;Settings!$B$4&amp;"AW","days=a","fill=p"),NA())</f>
        <v/>
      </c>
      <c r="E343" s="23">
        <f>IFERROR((C343-D343)/D343,NA())</f>
        <v/>
      </c>
      <c r="F343" s="16">
        <f>IF(ISNUMBER(E343),IF(E343&lt;=Settings!$B$6,"BUYBACK ACTIVITY",""),"")</f>
        <v/>
      </c>
      <c r="G343" s="22">
        <f>IFERROR(_xll.BDP(A343,"VOLUME_AVG_30D"),NA())</f>
        <v/>
      </c>
      <c r="H343" s="22">
        <f>IFERROR(_xll.BDP(A343,"PX_VOLUME"),NA())</f>
        <v/>
      </c>
      <c r="I343" s="16">
        <f>IFERROR(H343/G343,NA())</f>
        <v/>
      </c>
      <c r="J343" s="16">
        <f>IF(ISNUMBER(I343),IF(I343&gt;=Settings!$B$7,"VOL SPIKE",""),"")</f>
        <v/>
      </c>
    </row>
    <row r="344">
      <c r="A344" s="16">
        <f>'Rest Universe'!A345</f>
        <v/>
      </c>
      <c r="B344" s="22">
        <f>IFERROR(_xll.BDP(A344,"NAME"),"")</f>
        <v/>
      </c>
      <c r="C344" s="22">
        <f>IFERROR(_xll.BDP(A344,"EQY_SH_OUT"),NA())</f>
        <v/>
      </c>
      <c r="D344" s="22">
        <f>IFERROR(_xll.BDH(A344,"EQY_SH_OUT","-"&amp;Settings!$B$4&amp;"AW","-"&amp;Settings!$B$4&amp;"AW","days=a","fill=p"),NA())</f>
        <v/>
      </c>
      <c r="E344" s="23">
        <f>IFERROR((C344-D344)/D344,NA())</f>
        <v/>
      </c>
      <c r="F344" s="16">
        <f>IF(ISNUMBER(E344),IF(E344&lt;=Settings!$B$6,"BUYBACK ACTIVITY",""),"")</f>
        <v/>
      </c>
      <c r="G344" s="22">
        <f>IFERROR(_xll.BDP(A344,"VOLUME_AVG_30D"),NA())</f>
        <v/>
      </c>
      <c r="H344" s="22">
        <f>IFERROR(_xll.BDP(A344,"PX_VOLUME"),NA())</f>
        <v/>
      </c>
      <c r="I344" s="16">
        <f>IFERROR(H344/G344,NA())</f>
        <v/>
      </c>
      <c r="J344" s="16">
        <f>IF(ISNUMBER(I344),IF(I344&gt;=Settings!$B$7,"VOL SPIKE",""),"")</f>
        <v/>
      </c>
    </row>
    <row r="345">
      <c r="A345" s="16">
        <f>'Rest Universe'!A346</f>
        <v/>
      </c>
      <c r="B345" s="22">
        <f>IFERROR(_xll.BDP(A345,"NAME"),"")</f>
        <v/>
      </c>
      <c r="C345" s="22">
        <f>IFERROR(_xll.BDP(A345,"EQY_SH_OUT"),NA())</f>
        <v/>
      </c>
      <c r="D345" s="22">
        <f>IFERROR(_xll.BDH(A345,"EQY_SH_OUT","-"&amp;Settings!$B$4&amp;"AW","-"&amp;Settings!$B$4&amp;"AW","days=a","fill=p"),NA())</f>
        <v/>
      </c>
      <c r="E345" s="23">
        <f>IFERROR((C345-D345)/D345,NA())</f>
        <v/>
      </c>
      <c r="F345" s="16">
        <f>IF(ISNUMBER(E345),IF(E345&lt;=Settings!$B$6,"BUYBACK ACTIVITY",""),"")</f>
        <v/>
      </c>
      <c r="G345" s="22">
        <f>IFERROR(_xll.BDP(A345,"VOLUME_AVG_30D"),NA())</f>
        <v/>
      </c>
      <c r="H345" s="22">
        <f>IFERROR(_xll.BDP(A345,"PX_VOLUME"),NA())</f>
        <v/>
      </c>
      <c r="I345" s="16">
        <f>IFERROR(H345/G345,NA())</f>
        <v/>
      </c>
      <c r="J345" s="16">
        <f>IF(ISNUMBER(I345),IF(I345&gt;=Settings!$B$7,"VOL SPIKE",""),"")</f>
        <v/>
      </c>
    </row>
    <row r="346">
      <c r="A346" s="16">
        <f>'Rest Universe'!A347</f>
        <v/>
      </c>
      <c r="B346" s="22">
        <f>IFERROR(_xll.BDP(A346,"NAME"),"")</f>
        <v/>
      </c>
      <c r="C346" s="22">
        <f>IFERROR(_xll.BDP(A346,"EQY_SH_OUT"),NA())</f>
        <v/>
      </c>
      <c r="D346" s="22">
        <f>IFERROR(_xll.BDH(A346,"EQY_SH_OUT","-"&amp;Settings!$B$4&amp;"AW","-"&amp;Settings!$B$4&amp;"AW","days=a","fill=p"),NA())</f>
        <v/>
      </c>
      <c r="E346" s="23">
        <f>IFERROR((C346-D346)/D346,NA())</f>
        <v/>
      </c>
      <c r="F346" s="16">
        <f>IF(ISNUMBER(E346),IF(E346&lt;=Settings!$B$6,"BUYBACK ACTIVITY",""),"")</f>
        <v/>
      </c>
      <c r="G346" s="22">
        <f>IFERROR(_xll.BDP(A346,"VOLUME_AVG_30D"),NA())</f>
        <v/>
      </c>
      <c r="H346" s="22">
        <f>IFERROR(_xll.BDP(A346,"PX_VOLUME"),NA())</f>
        <v/>
      </c>
      <c r="I346" s="16">
        <f>IFERROR(H346/G346,NA())</f>
        <v/>
      </c>
      <c r="J346" s="16">
        <f>IF(ISNUMBER(I346),IF(I346&gt;=Settings!$B$7,"VOL SPIKE",""),"")</f>
        <v/>
      </c>
    </row>
    <row r="347">
      <c r="A347" s="16">
        <f>'Rest Universe'!A348</f>
        <v/>
      </c>
      <c r="B347" s="22">
        <f>IFERROR(_xll.BDP(A347,"NAME"),"")</f>
        <v/>
      </c>
      <c r="C347" s="22">
        <f>IFERROR(_xll.BDP(A347,"EQY_SH_OUT"),NA())</f>
        <v/>
      </c>
      <c r="D347" s="22">
        <f>IFERROR(_xll.BDH(A347,"EQY_SH_OUT","-"&amp;Settings!$B$4&amp;"AW","-"&amp;Settings!$B$4&amp;"AW","days=a","fill=p"),NA())</f>
        <v/>
      </c>
      <c r="E347" s="23">
        <f>IFERROR((C347-D347)/D347,NA())</f>
        <v/>
      </c>
      <c r="F347" s="16">
        <f>IF(ISNUMBER(E347),IF(E347&lt;=Settings!$B$6,"BUYBACK ACTIVITY",""),"")</f>
        <v/>
      </c>
      <c r="G347" s="22">
        <f>IFERROR(_xll.BDP(A347,"VOLUME_AVG_30D"),NA())</f>
        <v/>
      </c>
      <c r="H347" s="22">
        <f>IFERROR(_xll.BDP(A347,"PX_VOLUME"),NA())</f>
        <v/>
      </c>
      <c r="I347" s="16">
        <f>IFERROR(H347/G347,NA())</f>
        <v/>
      </c>
      <c r="J347" s="16">
        <f>IF(ISNUMBER(I347),IF(I347&gt;=Settings!$B$7,"VOL SPIKE",""),"")</f>
        <v/>
      </c>
    </row>
    <row r="348">
      <c r="A348" s="16">
        <f>'Rest Universe'!A349</f>
        <v/>
      </c>
      <c r="B348" s="22">
        <f>IFERROR(_xll.BDP(A348,"NAME"),"")</f>
        <v/>
      </c>
      <c r="C348" s="22">
        <f>IFERROR(_xll.BDP(A348,"EQY_SH_OUT"),NA())</f>
        <v/>
      </c>
      <c r="D348" s="22">
        <f>IFERROR(_xll.BDH(A348,"EQY_SH_OUT","-"&amp;Settings!$B$4&amp;"AW","-"&amp;Settings!$B$4&amp;"AW","days=a","fill=p"),NA())</f>
        <v/>
      </c>
      <c r="E348" s="23">
        <f>IFERROR((C348-D348)/D348,NA())</f>
        <v/>
      </c>
      <c r="F348" s="16">
        <f>IF(ISNUMBER(E348),IF(E348&lt;=Settings!$B$6,"BUYBACK ACTIVITY",""),"")</f>
        <v/>
      </c>
      <c r="G348" s="22">
        <f>IFERROR(_xll.BDP(A348,"VOLUME_AVG_30D"),NA())</f>
        <v/>
      </c>
      <c r="H348" s="22">
        <f>IFERROR(_xll.BDP(A348,"PX_VOLUME"),NA())</f>
        <v/>
      </c>
      <c r="I348" s="16">
        <f>IFERROR(H348/G348,NA())</f>
        <v/>
      </c>
      <c r="J348" s="16">
        <f>IF(ISNUMBER(I348),IF(I348&gt;=Settings!$B$7,"VOL SPIKE",""),"")</f>
        <v/>
      </c>
    </row>
    <row r="349">
      <c r="A349" s="16">
        <f>'Rest Universe'!A350</f>
        <v/>
      </c>
      <c r="B349" s="22">
        <f>IFERROR(_xll.BDP(A349,"NAME"),"")</f>
        <v/>
      </c>
      <c r="C349" s="22">
        <f>IFERROR(_xll.BDP(A349,"EQY_SH_OUT"),NA())</f>
        <v/>
      </c>
      <c r="D349" s="22">
        <f>IFERROR(_xll.BDH(A349,"EQY_SH_OUT","-"&amp;Settings!$B$4&amp;"AW","-"&amp;Settings!$B$4&amp;"AW","days=a","fill=p"),NA())</f>
        <v/>
      </c>
      <c r="E349" s="23">
        <f>IFERROR((C349-D349)/D349,NA())</f>
        <v/>
      </c>
      <c r="F349" s="16">
        <f>IF(ISNUMBER(E349),IF(E349&lt;=Settings!$B$6,"BUYBACK ACTIVITY",""),"")</f>
        <v/>
      </c>
      <c r="G349" s="22">
        <f>IFERROR(_xll.BDP(A349,"VOLUME_AVG_30D"),NA())</f>
        <v/>
      </c>
      <c r="H349" s="22">
        <f>IFERROR(_xll.BDP(A349,"PX_VOLUME"),NA())</f>
        <v/>
      </c>
      <c r="I349" s="16">
        <f>IFERROR(H349/G349,NA())</f>
        <v/>
      </c>
      <c r="J349" s="16">
        <f>IF(ISNUMBER(I349),IF(I349&gt;=Settings!$B$7,"VOL SPIKE",""),"")</f>
        <v/>
      </c>
    </row>
    <row r="350">
      <c r="A350" s="16">
        <f>'Rest Universe'!A351</f>
        <v/>
      </c>
      <c r="B350" s="22">
        <f>IFERROR(_xll.BDP(A350,"NAME"),"")</f>
        <v/>
      </c>
      <c r="C350" s="22">
        <f>IFERROR(_xll.BDP(A350,"EQY_SH_OUT"),NA())</f>
        <v/>
      </c>
      <c r="D350" s="22">
        <f>IFERROR(_xll.BDH(A350,"EQY_SH_OUT","-"&amp;Settings!$B$4&amp;"AW","-"&amp;Settings!$B$4&amp;"AW","days=a","fill=p"),NA())</f>
        <v/>
      </c>
      <c r="E350" s="23">
        <f>IFERROR((C350-D350)/D350,NA())</f>
        <v/>
      </c>
      <c r="F350" s="16">
        <f>IF(ISNUMBER(E350),IF(E350&lt;=Settings!$B$6,"BUYBACK ACTIVITY",""),"")</f>
        <v/>
      </c>
      <c r="G350" s="22">
        <f>IFERROR(_xll.BDP(A350,"VOLUME_AVG_30D"),NA())</f>
        <v/>
      </c>
      <c r="H350" s="22">
        <f>IFERROR(_xll.BDP(A350,"PX_VOLUME"),NA())</f>
        <v/>
      </c>
      <c r="I350" s="16">
        <f>IFERROR(H350/G350,NA())</f>
        <v/>
      </c>
      <c r="J350" s="16">
        <f>IF(ISNUMBER(I350),IF(I350&gt;=Settings!$B$7,"VOL SPIKE",""),"")</f>
        <v/>
      </c>
    </row>
    <row r="351">
      <c r="A351" s="16">
        <f>'Rest Universe'!A352</f>
        <v/>
      </c>
      <c r="B351" s="22">
        <f>IFERROR(_xll.BDP(A351,"NAME"),"")</f>
        <v/>
      </c>
      <c r="C351" s="22">
        <f>IFERROR(_xll.BDP(A351,"EQY_SH_OUT"),NA())</f>
        <v/>
      </c>
      <c r="D351" s="22">
        <f>IFERROR(_xll.BDH(A351,"EQY_SH_OUT","-"&amp;Settings!$B$4&amp;"AW","-"&amp;Settings!$B$4&amp;"AW","days=a","fill=p"),NA())</f>
        <v/>
      </c>
      <c r="E351" s="23">
        <f>IFERROR((C351-D351)/D351,NA())</f>
        <v/>
      </c>
      <c r="F351" s="16">
        <f>IF(ISNUMBER(E351),IF(E351&lt;=Settings!$B$6,"BUYBACK ACTIVITY",""),"")</f>
        <v/>
      </c>
      <c r="G351" s="22">
        <f>IFERROR(_xll.BDP(A351,"VOLUME_AVG_30D"),NA())</f>
        <v/>
      </c>
      <c r="H351" s="22">
        <f>IFERROR(_xll.BDP(A351,"PX_VOLUME"),NA())</f>
        <v/>
      </c>
      <c r="I351" s="16">
        <f>IFERROR(H351/G351,NA())</f>
        <v/>
      </c>
      <c r="J351" s="16">
        <f>IF(ISNUMBER(I351),IF(I351&gt;=Settings!$B$7,"VOL SPIKE",""),"")</f>
        <v/>
      </c>
    </row>
    <row r="352">
      <c r="A352" s="16">
        <f>'Rest Universe'!A353</f>
        <v/>
      </c>
      <c r="B352" s="22">
        <f>IFERROR(_xll.BDP(A352,"NAME"),"")</f>
        <v/>
      </c>
      <c r="C352" s="22">
        <f>IFERROR(_xll.BDP(A352,"EQY_SH_OUT"),NA())</f>
        <v/>
      </c>
      <c r="D352" s="22">
        <f>IFERROR(_xll.BDH(A352,"EQY_SH_OUT","-"&amp;Settings!$B$4&amp;"AW","-"&amp;Settings!$B$4&amp;"AW","days=a","fill=p"),NA())</f>
        <v/>
      </c>
      <c r="E352" s="23">
        <f>IFERROR((C352-D352)/D352,NA())</f>
        <v/>
      </c>
      <c r="F352" s="16">
        <f>IF(ISNUMBER(E352),IF(E352&lt;=Settings!$B$6,"BUYBACK ACTIVITY",""),"")</f>
        <v/>
      </c>
      <c r="G352" s="22">
        <f>IFERROR(_xll.BDP(A352,"VOLUME_AVG_30D"),NA())</f>
        <v/>
      </c>
      <c r="H352" s="22">
        <f>IFERROR(_xll.BDP(A352,"PX_VOLUME"),NA())</f>
        <v/>
      </c>
      <c r="I352" s="16">
        <f>IFERROR(H352/G352,NA())</f>
        <v/>
      </c>
      <c r="J352" s="16">
        <f>IF(ISNUMBER(I352),IF(I352&gt;=Settings!$B$7,"VOL SPIKE",""),"")</f>
        <v/>
      </c>
    </row>
    <row r="353">
      <c r="A353" s="16">
        <f>'Rest Universe'!A354</f>
        <v/>
      </c>
      <c r="B353" s="22">
        <f>IFERROR(_xll.BDP(A353,"NAME"),"")</f>
        <v/>
      </c>
      <c r="C353" s="22">
        <f>IFERROR(_xll.BDP(A353,"EQY_SH_OUT"),NA())</f>
        <v/>
      </c>
      <c r="D353" s="22">
        <f>IFERROR(_xll.BDH(A353,"EQY_SH_OUT","-"&amp;Settings!$B$4&amp;"AW","-"&amp;Settings!$B$4&amp;"AW","days=a","fill=p"),NA())</f>
        <v/>
      </c>
      <c r="E353" s="23">
        <f>IFERROR((C353-D353)/D353,NA())</f>
        <v/>
      </c>
      <c r="F353" s="16">
        <f>IF(ISNUMBER(E353),IF(E353&lt;=Settings!$B$6,"BUYBACK ACTIVITY",""),"")</f>
        <v/>
      </c>
      <c r="G353" s="22">
        <f>IFERROR(_xll.BDP(A353,"VOLUME_AVG_30D"),NA())</f>
        <v/>
      </c>
      <c r="H353" s="22">
        <f>IFERROR(_xll.BDP(A353,"PX_VOLUME"),NA())</f>
        <v/>
      </c>
      <c r="I353" s="16">
        <f>IFERROR(H353/G353,NA())</f>
        <v/>
      </c>
      <c r="J353" s="16">
        <f>IF(ISNUMBER(I353),IF(I353&gt;=Settings!$B$7,"VOL SPIKE",""),"")</f>
        <v/>
      </c>
    </row>
    <row r="354">
      <c r="A354" s="16">
        <f>'Rest Universe'!A355</f>
        <v/>
      </c>
      <c r="B354" s="22">
        <f>IFERROR(_xll.BDP(A354,"NAME"),"")</f>
        <v/>
      </c>
      <c r="C354" s="22">
        <f>IFERROR(_xll.BDP(A354,"EQY_SH_OUT"),NA())</f>
        <v/>
      </c>
      <c r="D354" s="22">
        <f>IFERROR(_xll.BDH(A354,"EQY_SH_OUT","-"&amp;Settings!$B$4&amp;"AW","-"&amp;Settings!$B$4&amp;"AW","days=a","fill=p"),NA())</f>
        <v/>
      </c>
      <c r="E354" s="23">
        <f>IFERROR((C354-D354)/D354,NA())</f>
        <v/>
      </c>
      <c r="F354" s="16">
        <f>IF(ISNUMBER(E354),IF(E354&lt;=Settings!$B$6,"BUYBACK ACTIVITY",""),"")</f>
        <v/>
      </c>
      <c r="G354" s="22">
        <f>IFERROR(_xll.BDP(A354,"VOLUME_AVG_30D"),NA())</f>
        <v/>
      </c>
      <c r="H354" s="22">
        <f>IFERROR(_xll.BDP(A354,"PX_VOLUME"),NA())</f>
        <v/>
      </c>
      <c r="I354" s="16">
        <f>IFERROR(H354/G354,NA())</f>
        <v/>
      </c>
      <c r="J354" s="16">
        <f>IF(ISNUMBER(I354),IF(I354&gt;=Settings!$B$7,"VOL SPIKE",""),"")</f>
        <v/>
      </c>
    </row>
    <row r="355">
      <c r="A355" s="16">
        <f>'Rest Universe'!A356</f>
        <v/>
      </c>
      <c r="B355" s="22">
        <f>IFERROR(_xll.BDP(A355,"NAME"),"")</f>
        <v/>
      </c>
      <c r="C355" s="22">
        <f>IFERROR(_xll.BDP(A355,"EQY_SH_OUT"),NA())</f>
        <v/>
      </c>
      <c r="D355" s="22">
        <f>IFERROR(_xll.BDH(A355,"EQY_SH_OUT","-"&amp;Settings!$B$4&amp;"AW","-"&amp;Settings!$B$4&amp;"AW","days=a","fill=p"),NA())</f>
        <v/>
      </c>
      <c r="E355" s="23">
        <f>IFERROR((C355-D355)/D355,NA())</f>
        <v/>
      </c>
      <c r="F355" s="16">
        <f>IF(ISNUMBER(E355),IF(E355&lt;=Settings!$B$6,"BUYBACK ACTIVITY",""),"")</f>
        <v/>
      </c>
      <c r="G355" s="22">
        <f>IFERROR(_xll.BDP(A355,"VOLUME_AVG_30D"),NA())</f>
        <v/>
      </c>
      <c r="H355" s="22">
        <f>IFERROR(_xll.BDP(A355,"PX_VOLUME"),NA())</f>
        <v/>
      </c>
      <c r="I355" s="16">
        <f>IFERROR(H355/G355,NA())</f>
        <v/>
      </c>
      <c r="J355" s="16">
        <f>IF(ISNUMBER(I355),IF(I355&gt;=Settings!$B$7,"VOL SPIKE",""),"")</f>
        <v/>
      </c>
    </row>
    <row r="356">
      <c r="A356" s="16">
        <f>'Rest Universe'!A357</f>
        <v/>
      </c>
      <c r="B356" s="22">
        <f>IFERROR(_xll.BDP(A356,"NAME"),"")</f>
        <v/>
      </c>
      <c r="C356" s="22">
        <f>IFERROR(_xll.BDP(A356,"EQY_SH_OUT"),NA())</f>
        <v/>
      </c>
      <c r="D356" s="22">
        <f>IFERROR(_xll.BDH(A356,"EQY_SH_OUT","-"&amp;Settings!$B$4&amp;"AW","-"&amp;Settings!$B$4&amp;"AW","days=a","fill=p"),NA())</f>
        <v/>
      </c>
      <c r="E356" s="23">
        <f>IFERROR((C356-D356)/D356,NA())</f>
        <v/>
      </c>
      <c r="F356" s="16">
        <f>IF(ISNUMBER(E356),IF(E356&lt;=Settings!$B$6,"BUYBACK ACTIVITY",""),"")</f>
        <v/>
      </c>
      <c r="G356" s="22">
        <f>IFERROR(_xll.BDP(A356,"VOLUME_AVG_30D"),NA())</f>
        <v/>
      </c>
      <c r="H356" s="22">
        <f>IFERROR(_xll.BDP(A356,"PX_VOLUME"),NA())</f>
        <v/>
      </c>
      <c r="I356" s="16">
        <f>IFERROR(H356/G356,NA())</f>
        <v/>
      </c>
      <c r="J356" s="16">
        <f>IF(ISNUMBER(I356),IF(I356&gt;=Settings!$B$7,"VOL SPIKE",""),"")</f>
        <v/>
      </c>
    </row>
    <row r="357">
      <c r="A357" s="16">
        <f>'Rest Universe'!A358</f>
        <v/>
      </c>
      <c r="B357" s="22">
        <f>IFERROR(_xll.BDP(A357,"NAME"),"")</f>
        <v/>
      </c>
      <c r="C357" s="22">
        <f>IFERROR(_xll.BDP(A357,"EQY_SH_OUT"),NA())</f>
        <v/>
      </c>
      <c r="D357" s="22">
        <f>IFERROR(_xll.BDH(A357,"EQY_SH_OUT","-"&amp;Settings!$B$4&amp;"AW","-"&amp;Settings!$B$4&amp;"AW","days=a","fill=p"),NA())</f>
        <v/>
      </c>
      <c r="E357" s="23">
        <f>IFERROR((C357-D357)/D357,NA())</f>
        <v/>
      </c>
      <c r="F357" s="16">
        <f>IF(ISNUMBER(E357),IF(E357&lt;=Settings!$B$6,"BUYBACK ACTIVITY",""),"")</f>
        <v/>
      </c>
      <c r="G357" s="22">
        <f>IFERROR(_xll.BDP(A357,"VOLUME_AVG_30D"),NA())</f>
        <v/>
      </c>
      <c r="H357" s="22">
        <f>IFERROR(_xll.BDP(A357,"PX_VOLUME"),NA())</f>
        <v/>
      </c>
      <c r="I357" s="16">
        <f>IFERROR(H357/G357,NA())</f>
        <v/>
      </c>
      <c r="J357" s="16">
        <f>IF(ISNUMBER(I357),IF(I357&gt;=Settings!$B$7,"VOL SPIKE",""),"")</f>
        <v/>
      </c>
    </row>
    <row r="358">
      <c r="A358" s="16">
        <f>'Rest Universe'!A359</f>
        <v/>
      </c>
      <c r="B358" s="22">
        <f>IFERROR(_xll.BDP(A358,"NAME"),"")</f>
        <v/>
      </c>
      <c r="C358" s="22">
        <f>IFERROR(_xll.BDP(A358,"EQY_SH_OUT"),NA())</f>
        <v/>
      </c>
      <c r="D358" s="22">
        <f>IFERROR(_xll.BDH(A358,"EQY_SH_OUT","-"&amp;Settings!$B$4&amp;"AW","-"&amp;Settings!$B$4&amp;"AW","days=a","fill=p"),NA())</f>
        <v/>
      </c>
      <c r="E358" s="23">
        <f>IFERROR((C358-D358)/D358,NA())</f>
        <v/>
      </c>
      <c r="F358" s="16">
        <f>IF(ISNUMBER(E358),IF(E358&lt;=Settings!$B$6,"BUYBACK ACTIVITY",""),"")</f>
        <v/>
      </c>
      <c r="G358" s="22">
        <f>IFERROR(_xll.BDP(A358,"VOLUME_AVG_30D"),NA())</f>
        <v/>
      </c>
      <c r="H358" s="22">
        <f>IFERROR(_xll.BDP(A358,"PX_VOLUME"),NA())</f>
        <v/>
      </c>
      <c r="I358" s="16">
        <f>IFERROR(H358/G358,NA())</f>
        <v/>
      </c>
      <c r="J358" s="16">
        <f>IF(ISNUMBER(I358),IF(I358&gt;=Settings!$B$7,"VOL SPIKE",""),"")</f>
        <v/>
      </c>
    </row>
    <row r="359">
      <c r="A359" s="16">
        <f>'Rest Universe'!A360</f>
        <v/>
      </c>
      <c r="B359" s="22">
        <f>IFERROR(_xll.BDP(A359,"NAME"),"")</f>
        <v/>
      </c>
      <c r="C359" s="22">
        <f>IFERROR(_xll.BDP(A359,"EQY_SH_OUT"),NA())</f>
        <v/>
      </c>
      <c r="D359" s="22">
        <f>IFERROR(_xll.BDH(A359,"EQY_SH_OUT","-"&amp;Settings!$B$4&amp;"AW","-"&amp;Settings!$B$4&amp;"AW","days=a","fill=p"),NA())</f>
        <v/>
      </c>
      <c r="E359" s="23">
        <f>IFERROR((C359-D359)/D359,NA())</f>
        <v/>
      </c>
      <c r="F359" s="16">
        <f>IF(ISNUMBER(E359),IF(E359&lt;=Settings!$B$6,"BUYBACK ACTIVITY",""),"")</f>
        <v/>
      </c>
      <c r="G359" s="22">
        <f>IFERROR(_xll.BDP(A359,"VOLUME_AVG_30D"),NA())</f>
        <v/>
      </c>
      <c r="H359" s="22">
        <f>IFERROR(_xll.BDP(A359,"PX_VOLUME"),NA())</f>
        <v/>
      </c>
      <c r="I359" s="16">
        <f>IFERROR(H359/G359,NA())</f>
        <v/>
      </c>
      <c r="J359" s="16">
        <f>IF(ISNUMBER(I359),IF(I359&gt;=Settings!$B$7,"VOL SPIKE",""),"")</f>
        <v/>
      </c>
    </row>
    <row r="360">
      <c r="A360" s="16">
        <f>'Rest Universe'!A361</f>
        <v/>
      </c>
      <c r="B360" s="22">
        <f>IFERROR(_xll.BDP(A360,"NAME"),"")</f>
        <v/>
      </c>
      <c r="C360" s="22">
        <f>IFERROR(_xll.BDP(A360,"EQY_SH_OUT"),NA())</f>
        <v/>
      </c>
      <c r="D360" s="22">
        <f>IFERROR(_xll.BDH(A360,"EQY_SH_OUT","-"&amp;Settings!$B$4&amp;"AW","-"&amp;Settings!$B$4&amp;"AW","days=a","fill=p"),NA())</f>
        <v/>
      </c>
      <c r="E360" s="23">
        <f>IFERROR((C360-D360)/D360,NA())</f>
        <v/>
      </c>
      <c r="F360" s="16">
        <f>IF(ISNUMBER(E360),IF(E360&lt;=Settings!$B$6,"BUYBACK ACTIVITY",""),"")</f>
        <v/>
      </c>
      <c r="G360" s="22">
        <f>IFERROR(_xll.BDP(A360,"VOLUME_AVG_30D"),NA())</f>
        <v/>
      </c>
      <c r="H360" s="22">
        <f>IFERROR(_xll.BDP(A360,"PX_VOLUME"),NA())</f>
        <v/>
      </c>
      <c r="I360" s="16">
        <f>IFERROR(H360/G360,NA())</f>
        <v/>
      </c>
      <c r="J360" s="16">
        <f>IF(ISNUMBER(I360),IF(I360&gt;=Settings!$B$7,"VOL SPIKE",""),"")</f>
        <v/>
      </c>
    </row>
    <row r="361">
      <c r="A361" s="16">
        <f>'Rest Universe'!A362</f>
        <v/>
      </c>
      <c r="B361" s="22">
        <f>IFERROR(_xll.BDP(A361,"NAME"),"")</f>
        <v/>
      </c>
      <c r="C361" s="22">
        <f>IFERROR(_xll.BDP(A361,"EQY_SH_OUT"),NA())</f>
        <v/>
      </c>
      <c r="D361" s="22">
        <f>IFERROR(_xll.BDH(A361,"EQY_SH_OUT","-"&amp;Settings!$B$4&amp;"AW","-"&amp;Settings!$B$4&amp;"AW","days=a","fill=p"),NA())</f>
        <v/>
      </c>
      <c r="E361" s="23">
        <f>IFERROR((C361-D361)/D361,NA())</f>
        <v/>
      </c>
      <c r="F361" s="16">
        <f>IF(ISNUMBER(E361),IF(E361&lt;=Settings!$B$6,"BUYBACK ACTIVITY",""),"")</f>
        <v/>
      </c>
      <c r="G361" s="22">
        <f>IFERROR(_xll.BDP(A361,"VOLUME_AVG_30D"),NA())</f>
        <v/>
      </c>
      <c r="H361" s="22">
        <f>IFERROR(_xll.BDP(A361,"PX_VOLUME"),NA())</f>
        <v/>
      </c>
      <c r="I361" s="16">
        <f>IFERROR(H361/G361,NA())</f>
        <v/>
      </c>
      <c r="J361" s="16">
        <f>IF(ISNUMBER(I361),IF(I361&gt;=Settings!$B$7,"VOL SPIKE",""),"")</f>
        <v/>
      </c>
    </row>
    <row r="362">
      <c r="A362" s="16">
        <f>'Rest Universe'!A363</f>
        <v/>
      </c>
      <c r="B362" s="22">
        <f>IFERROR(_xll.BDP(A362,"NAME"),"")</f>
        <v/>
      </c>
      <c r="C362" s="22">
        <f>IFERROR(_xll.BDP(A362,"EQY_SH_OUT"),NA())</f>
        <v/>
      </c>
      <c r="D362" s="22">
        <f>IFERROR(_xll.BDH(A362,"EQY_SH_OUT","-"&amp;Settings!$B$4&amp;"AW","-"&amp;Settings!$B$4&amp;"AW","days=a","fill=p"),NA())</f>
        <v/>
      </c>
      <c r="E362" s="23">
        <f>IFERROR((C362-D362)/D362,NA())</f>
        <v/>
      </c>
      <c r="F362" s="16">
        <f>IF(ISNUMBER(E362),IF(E362&lt;=Settings!$B$6,"BUYBACK ACTIVITY",""),"")</f>
        <v/>
      </c>
      <c r="G362" s="22">
        <f>IFERROR(_xll.BDP(A362,"VOLUME_AVG_30D"),NA())</f>
        <v/>
      </c>
      <c r="H362" s="22">
        <f>IFERROR(_xll.BDP(A362,"PX_VOLUME"),NA())</f>
        <v/>
      </c>
      <c r="I362" s="16">
        <f>IFERROR(H362/G362,NA())</f>
        <v/>
      </c>
      <c r="J362" s="16">
        <f>IF(ISNUMBER(I362),IF(I362&gt;=Settings!$B$7,"VOL SPIKE",""),"")</f>
        <v/>
      </c>
    </row>
    <row r="363">
      <c r="A363" s="16">
        <f>'Rest Universe'!A364</f>
        <v/>
      </c>
      <c r="B363" s="22">
        <f>IFERROR(_xll.BDP(A363,"NAME"),"")</f>
        <v/>
      </c>
      <c r="C363" s="22">
        <f>IFERROR(_xll.BDP(A363,"EQY_SH_OUT"),NA())</f>
        <v/>
      </c>
      <c r="D363" s="22">
        <f>IFERROR(_xll.BDH(A363,"EQY_SH_OUT","-"&amp;Settings!$B$4&amp;"AW","-"&amp;Settings!$B$4&amp;"AW","days=a","fill=p"),NA())</f>
        <v/>
      </c>
      <c r="E363" s="23">
        <f>IFERROR((C363-D363)/D363,NA())</f>
        <v/>
      </c>
      <c r="F363" s="16">
        <f>IF(ISNUMBER(E363),IF(E363&lt;=Settings!$B$6,"BUYBACK ACTIVITY",""),"")</f>
        <v/>
      </c>
      <c r="G363" s="22">
        <f>IFERROR(_xll.BDP(A363,"VOLUME_AVG_30D"),NA())</f>
        <v/>
      </c>
      <c r="H363" s="22">
        <f>IFERROR(_xll.BDP(A363,"PX_VOLUME"),NA())</f>
        <v/>
      </c>
      <c r="I363" s="16">
        <f>IFERROR(H363/G363,NA())</f>
        <v/>
      </c>
      <c r="J363" s="16">
        <f>IF(ISNUMBER(I363),IF(I363&gt;=Settings!$B$7,"VOL SPIKE",""),"")</f>
        <v/>
      </c>
    </row>
    <row r="364">
      <c r="A364" s="16">
        <f>'Rest Universe'!A365</f>
        <v/>
      </c>
      <c r="B364" s="22">
        <f>IFERROR(_xll.BDP(A364,"NAME"),"")</f>
        <v/>
      </c>
      <c r="C364" s="22">
        <f>IFERROR(_xll.BDP(A364,"EQY_SH_OUT"),NA())</f>
        <v/>
      </c>
      <c r="D364" s="22">
        <f>IFERROR(_xll.BDH(A364,"EQY_SH_OUT","-"&amp;Settings!$B$4&amp;"AW","-"&amp;Settings!$B$4&amp;"AW","days=a","fill=p"),NA())</f>
        <v/>
      </c>
      <c r="E364" s="23">
        <f>IFERROR((C364-D364)/D364,NA())</f>
        <v/>
      </c>
      <c r="F364" s="16">
        <f>IF(ISNUMBER(E364),IF(E364&lt;=Settings!$B$6,"BUYBACK ACTIVITY",""),"")</f>
        <v/>
      </c>
      <c r="G364" s="22">
        <f>IFERROR(_xll.BDP(A364,"VOLUME_AVG_30D"),NA())</f>
        <v/>
      </c>
      <c r="H364" s="22">
        <f>IFERROR(_xll.BDP(A364,"PX_VOLUME"),NA())</f>
        <v/>
      </c>
      <c r="I364" s="16">
        <f>IFERROR(H364/G364,NA())</f>
        <v/>
      </c>
      <c r="J364" s="16">
        <f>IF(ISNUMBER(I364),IF(I364&gt;=Settings!$B$7,"VOL SPIKE",""),"")</f>
        <v/>
      </c>
    </row>
    <row r="365">
      <c r="A365" s="16">
        <f>'Rest Universe'!A366</f>
        <v/>
      </c>
      <c r="B365" s="22">
        <f>IFERROR(_xll.BDP(A365,"NAME"),"")</f>
        <v/>
      </c>
      <c r="C365" s="22">
        <f>IFERROR(_xll.BDP(A365,"EQY_SH_OUT"),NA())</f>
        <v/>
      </c>
      <c r="D365" s="22">
        <f>IFERROR(_xll.BDH(A365,"EQY_SH_OUT","-"&amp;Settings!$B$4&amp;"AW","-"&amp;Settings!$B$4&amp;"AW","days=a","fill=p"),NA())</f>
        <v/>
      </c>
      <c r="E365" s="23">
        <f>IFERROR((C365-D365)/D365,NA())</f>
        <v/>
      </c>
      <c r="F365" s="16">
        <f>IF(ISNUMBER(E365),IF(E365&lt;=Settings!$B$6,"BUYBACK ACTIVITY",""),"")</f>
        <v/>
      </c>
      <c r="G365" s="22">
        <f>IFERROR(_xll.BDP(A365,"VOLUME_AVG_30D"),NA())</f>
        <v/>
      </c>
      <c r="H365" s="22">
        <f>IFERROR(_xll.BDP(A365,"PX_VOLUME"),NA())</f>
        <v/>
      </c>
      <c r="I365" s="16">
        <f>IFERROR(H365/G365,NA())</f>
        <v/>
      </c>
      <c r="J365" s="16">
        <f>IF(ISNUMBER(I365),IF(I365&gt;=Settings!$B$7,"VOL SPIKE",""),"")</f>
        <v/>
      </c>
    </row>
    <row r="366">
      <c r="A366" s="16">
        <f>'Rest Universe'!A367</f>
        <v/>
      </c>
      <c r="B366" s="22">
        <f>IFERROR(_xll.BDP(A366,"NAME"),"")</f>
        <v/>
      </c>
      <c r="C366" s="22">
        <f>IFERROR(_xll.BDP(A366,"EQY_SH_OUT"),NA())</f>
        <v/>
      </c>
      <c r="D366" s="22">
        <f>IFERROR(_xll.BDH(A366,"EQY_SH_OUT","-"&amp;Settings!$B$4&amp;"AW","-"&amp;Settings!$B$4&amp;"AW","days=a","fill=p"),NA())</f>
        <v/>
      </c>
      <c r="E366" s="23">
        <f>IFERROR((C366-D366)/D366,NA())</f>
        <v/>
      </c>
      <c r="F366" s="16">
        <f>IF(ISNUMBER(E366),IF(E366&lt;=Settings!$B$6,"BUYBACK ACTIVITY",""),"")</f>
        <v/>
      </c>
      <c r="G366" s="22">
        <f>IFERROR(_xll.BDP(A366,"VOLUME_AVG_30D"),NA())</f>
        <v/>
      </c>
      <c r="H366" s="22">
        <f>IFERROR(_xll.BDP(A366,"PX_VOLUME"),NA())</f>
        <v/>
      </c>
      <c r="I366" s="16">
        <f>IFERROR(H366/G366,NA())</f>
        <v/>
      </c>
      <c r="J366" s="16">
        <f>IF(ISNUMBER(I366),IF(I366&gt;=Settings!$B$7,"VOL SPIKE",""),"")</f>
        <v/>
      </c>
    </row>
    <row r="367">
      <c r="A367" s="16">
        <f>'Rest Universe'!A368</f>
        <v/>
      </c>
      <c r="B367" s="22">
        <f>IFERROR(_xll.BDP(A367,"NAME"),"")</f>
        <v/>
      </c>
      <c r="C367" s="22">
        <f>IFERROR(_xll.BDP(A367,"EQY_SH_OUT"),NA())</f>
        <v/>
      </c>
      <c r="D367" s="22">
        <f>IFERROR(_xll.BDH(A367,"EQY_SH_OUT","-"&amp;Settings!$B$4&amp;"AW","-"&amp;Settings!$B$4&amp;"AW","days=a","fill=p"),NA())</f>
        <v/>
      </c>
      <c r="E367" s="23">
        <f>IFERROR((C367-D367)/D367,NA())</f>
        <v/>
      </c>
      <c r="F367" s="16">
        <f>IF(ISNUMBER(E367),IF(E367&lt;=Settings!$B$6,"BUYBACK ACTIVITY",""),"")</f>
        <v/>
      </c>
      <c r="G367" s="22">
        <f>IFERROR(_xll.BDP(A367,"VOLUME_AVG_30D"),NA())</f>
        <v/>
      </c>
      <c r="H367" s="22">
        <f>IFERROR(_xll.BDP(A367,"PX_VOLUME"),NA())</f>
        <v/>
      </c>
      <c r="I367" s="16">
        <f>IFERROR(H367/G367,NA())</f>
        <v/>
      </c>
      <c r="J367" s="16">
        <f>IF(ISNUMBER(I367),IF(I367&gt;=Settings!$B$7,"VOL SPIKE",""),"")</f>
        <v/>
      </c>
    </row>
    <row r="368">
      <c r="A368" s="16">
        <f>'Rest Universe'!A369</f>
        <v/>
      </c>
      <c r="B368" s="22">
        <f>IFERROR(_xll.BDP(A368,"NAME"),"")</f>
        <v/>
      </c>
      <c r="C368" s="22">
        <f>IFERROR(_xll.BDP(A368,"EQY_SH_OUT"),NA())</f>
        <v/>
      </c>
      <c r="D368" s="22">
        <f>IFERROR(_xll.BDH(A368,"EQY_SH_OUT","-"&amp;Settings!$B$4&amp;"AW","-"&amp;Settings!$B$4&amp;"AW","days=a","fill=p"),NA())</f>
        <v/>
      </c>
      <c r="E368" s="23">
        <f>IFERROR((C368-D368)/D368,NA())</f>
        <v/>
      </c>
      <c r="F368" s="16">
        <f>IF(ISNUMBER(E368),IF(E368&lt;=Settings!$B$6,"BUYBACK ACTIVITY",""),"")</f>
        <v/>
      </c>
      <c r="G368" s="22">
        <f>IFERROR(_xll.BDP(A368,"VOLUME_AVG_30D"),NA())</f>
        <v/>
      </c>
      <c r="H368" s="22">
        <f>IFERROR(_xll.BDP(A368,"PX_VOLUME"),NA())</f>
        <v/>
      </c>
      <c r="I368" s="16">
        <f>IFERROR(H368/G368,NA())</f>
        <v/>
      </c>
      <c r="J368" s="16">
        <f>IF(ISNUMBER(I368),IF(I368&gt;=Settings!$B$7,"VOL SPIKE",""),"")</f>
        <v/>
      </c>
    </row>
    <row r="369">
      <c r="A369" s="16">
        <f>'Rest Universe'!A370</f>
        <v/>
      </c>
      <c r="B369" s="22">
        <f>IFERROR(_xll.BDP(A369,"NAME"),"")</f>
        <v/>
      </c>
      <c r="C369" s="22">
        <f>IFERROR(_xll.BDP(A369,"EQY_SH_OUT"),NA())</f>
        <v/>
      </c>
      <c r="D369" s="22">
        <f>IFERROR(_xll.BDH(A369,"EQY_SH_OUT","-"&amp;Settings!$B$4&amp;"AW","-"&amp;Settings!$B$4&amp;"AW","days=a","fill=p"),NA())</f>
        <v/>
      </c>
      <c r="E369" s="23">
        <f>IFERROR((C369-D369)/D369,NA())</f>
        <v/>
      </c>
      <c r="F369" s="16">
        <f>IF(ISNUMBER(E369),IF(E369&lt;=Settings!$B$6,"BUYBACK ACTIVITY",""),"")</f>
        <v/>
      </c>
      <c r="G369" s="22">
        <f>IFERROR(_xll.BDP(A369,"VOLUME_AVG_30D"),NA())</f>
        <v/>
      </c>
      <c r="H369" s="22">
        <f>IFERROR(_xll.BDP(A369,"PX_VOLUME"),NA())</f>
        <v/>
      </c>
      <c r="I369" s="16">
        <f>IFERROR(H369/G369,NA())</f>
        <v/>
      </c>
      <c r="J369" s="16">
        <f>IF(ISNUMBER(I369),IF(I369&gt;=Settings!$B$7,"VOL SPIKE",""),"")</f>
        <v/>
      </c>
    </row>
    <row r="370">
      <c r="A370" s="16">
        <f>'Rest Universe'!A371</f>
        <v/>
      </c>
      <c r="B370" s="22">
        <f>IFERROR(_xll.BDP(A370,"NAME"),"")</f>
        <v/>
      </c>
      <c r="C370" s="22">
        <f>IFERROR(_xll.BDP(A370,"EQY_SH_OUT"),NA())</f>
        <v/>
      </c>
      <c r="D370" s="22">
        <f>IFERROR(_xll.BDH(A370,"EQY_SH_OUT","-"&amp;Settings!$B$4&amp;"AW","-"&amp;Settings!$B$4&amp;"AW","days=a","fill=p"),NA())</f>
        <v/>
      </c>
      <c r="E370" s="23">
        <f>IFERROR((C370-D370)/D370,NA())</f>
        <v/>
      </c>
      <c r="F370" s="16">
        <f>IF(ISNUMBER(E370),IF(E370&lt;=Settings!$B$6,"BUYBACK ACTIVITY",""),"")</f>
        <v/>
      </c>
      <c r="G370" s="22">
        <f>IFERROR(_xll.BDP(A370,"VOLUME_AVG_30D"),NA())</f>
        <v/>
      </c>
      <c r="H370" s="22">
        <f>IFERROR(_xll.BDP(A370,"PX_VOLUME"),NA())</f>
        <v/>
      </c>
      <c r="I370" s="16">
        <f>IFERROR(H370/G370,NA())</f>
        <v/>
      </c>
      <c r="J370" s="16">
        <f>IF(ISNUMBER(I370),IF(I370&gt;=Settings!$B$7,"VOL SPIKE",""),"")</f>
        <v/>
      </c>
    </row>
    <row r="371">
      <c r="A371" s="16">
        <f>'Rest Universe'!A372</f>
        <v/>
      </c>
      <c r="B371" s="22">
        <f>IFERROR(_xll.BDP(A371,"NAME"),"")</f>
        <v/>
      </c>
      <c r="C371" s="22">
        <f>IFERROR(_xll.BDP(A371,"EQY_SH_OUT"),NA())</f>
        <v/>
      </c>
      <c r="D371" s="22">
        <f>IFERROR(_xll.BDH(A371,"EQY_SH_OUT","-"&amp;Settings!$B$4&amp;"AW","-"&amp;Settings!$B$4&amp;"AW","days=a","fill=p"),NA())</f>
        <v/>
      </c>
      <c r="E371" s="23">
        <f>IFERROR((C371-D371)/D371,NA())</f>
        <v/>
      </c>
      <c r="F371" s="16">
        <f>IF(ISNUMBER(E371),IF(E371&lt;=Settings!$B$6,"BUYBACK ACTIVITY",""),"")</f>
        <v/>
      </c>
      <c r="G371" s="22">
        <f>IFERROR(_xll.BDP(A371,"VOLUME_AVG_30D"),NA())</f>
        <v/>
      </c>
      <c r="H371" s="22">
        <f>IFERROR(_xll.BDP(A371,"PX_VOLUME"),NA())</f>
        <v/>
      </c>
      <c r="I371" s="16">
        <f>IFERROR(H371/G371,NA())</f>
        <v/>
      </c>
      <c r="J371" s="16">
        <f>IF(ISNUMBER(I371),IF(I371&gt;=Settings!$B$7,"VOL SPIKE",""),"")</f>
        <v/>
      </c>
    </row>
    <row r="372">
      <c r="A372" s="16">
        <f>'Rest Universe'!A373</f>
        <v/>
      </c>
      <c r="B372" s="22">
        <f>IFERROR(_xll.BDP(A372,"NAME"),"")</f>
        <v/>
      </c>
      <c r="C372" s="22">
        <f>IFERROR(_xll.BDP(A372,"EQY_SH_OUT"),NA())</f>
        <v/>
      </c>
      <c r="D372" s="22">
        <f>IFERROR(_xll.BDH(A372,"EQY_SH_OUT","-"&amp;Settings!$B$4&amp;"AW","-"&amp;Settings!$B$4&amp;"AW","days=a","fill=p"),NA())</f>
        <v/>
      </c>
      <c r="E372" s="23">
        <f>IFERROR((C372-D372)/D372,NA())</f>
        <v/>
      </c>
      <c r="F372" s="16">
        <f>IF(ISNUMBER(E372),IF(E372&lt;=Settings!$B$6,"BUYBACK ACTIVITY",""),"")</f>
        <v/>
      </c>
      <c r="G372" s="22">
        <f>IFERROR(_xll.BDP(A372,"VOLUME_AVG_30D"),NA())</f>
        <v/>
      </c>
      <c r="H372" s="22">
        <f>IFERROR(_xll.BDP(A372,"PX_VOLUME"),NA())</f>
        <v/>
      </c>
      <c r="I372" s="16">
        <f>IFERROR(H372/G372,NA())</f>
        <v/>
      </c>
      <c r="J372" s="16">
        <f>IF(ISNUMBER(I372),IF(I372&gt;=Settings!$B$7,"VOL SPIKE",""),"")</f>
        <v/>
      </c>
    </row>
    <row r="373">
      <c r="A373" s="16">
        <f>'Rest Universe'!A374</f>
        <v/>
      </c>
      <c r="B373" s="22">
        <f>IFERROR(_xll.BDP(A373,"NAME"),"")</f>
        <v/>
      </c>
      <c r="C373" s="22">
        <f>IFERROR(_xll.BDP(A373,"EQY_SH_OUT"),NA())</f>
        <v/>
      </c>
      <c r="D373" s="22">
        <f>IFERROR(_xll.BDH(A373,"EQY_SH_OUT","-"&amp;Settings!$B$4&amp;"AW","-"&amp;Settings!$B$4&amp;"AW","days=a","fill=p"),NA())</f>
        <v/>
      </c>
      <c r="E373" s="23">
        <f>IFERROR((C373-D373)/D373,NA())</f>
        <v/>
      </c>
      <c r="F373" s="16">
        <f>IF(ISNUMBER(E373),IF(E373&lt;=Settings!$B$6,"BUYBACK ACTIVITY",""),"")</f>
        <v/>
      </c>
      <c r="G373" s="22">
        <f>IFERROR(_xll.BDP(A373,"VOLUME_AVG_30D"),NA())</f>
        <v/>
      </c>
      <c r="H373" s="22">
        <f>IFERROR(_xll.BDP(A373,"PX_VOLUME"),NA())</f>
        <v/>
      </c>
      <c r="I373" s="16">
        <f>IFERROR(H373/G373,NA())</f>
        <v/>
      </c>
      <c r="J373" s="16">
        <f>IF(ISNUMBER(I373),IF(I373&gt;=Settings!$B$7,"VOL SPIKE",""),"")</f>
        <v/>
      </c>
    </row>
    <row r="374">
      <c r="A374" s="16">
        <f>'Rest Universe'!A375</f>
        <v/>
      </c>
      <c r="B374" s="22">
        <f>IFERROR(_xll.BDP(A374,"NAME"),"")</f>
        <v/>
      </c>
      <c r="C374" s="22">
        <f>IFERROR(_xll.BDP(A374,"EQY_SH_OUT"),NA())</f>
        <v/>
      </c>
      <c r="D374" s="22">
        <f>IFERROR(_xll.BDH(A374,"EQY_SH_OUT","-"&amp;Settings!$B$4&amp;"AW","-"&amp;Settings!$B$4&amp;"AW","days=a","fill=p"),NA())</f>
        <v/>
      </c>
      <c r="E374" s="23">
        <f>IFERROR((C374-D374)/D374,NA())</f>
        <v/>
      </c>
      <c r="F374" s="16">
        <f>IF(ISNUMBER(E374),IF(E374&lt;=Settings!$B$6,"BUYBACK ACTIVITY",""),"")</f>
        <v/>
      </c>
      <c r="G374" s="22">
        <f>IFERROR(_xll.BDP(A374,"VOLUME_AVG_30D"),NA())</f>
        <v/>
      </c>
      <c r="H374" s="22">
        <f>IFERROR(_xll.BDP(A374,"PX_VOLUME"),NA())</f>
        <v/>
      </c>
      <c r="I374" s="16">
        <f>IFERROR(H374/G374,NA())</f>
        <v/>
      </c>
      <c r="J374" s="16">
        <f>IF(ISNUMBER(I374),IF(I374&gt;=Settings!$B$7,"VOL SPIKE",""),"")</f>
        <v/>
      </c>
    </row>
    <row r="375">
      <c r="A375" s="16">
        <f>'Rest Universe'!A376</f>
        <v/>
      </c>
      <c r="B375" s="22">
        <f>IFERROR(_xll.BDP(A375,"NAME"),"")</f>
        <v/>
      </c>
      <c r="C375" s="22">
        <f>IFERROR(_xll.BDP(A375,"EQY_SH_OUT"),NA())</f>
        <v/>
      </c>
      <c r="D375" s="22">
        <f>IFERROR(_xll.BDH(A375,"EQY_SH_OUT","-"&amp;Settings!$B$4&amp;"AW","-"&amp;Settings!$B$4&amp;"AW","days=a","fill=p"),NA())</f>
        <v/>
      </c>
      <c r="E375" s="23">
        <f>IFERROR((C375-D375)/D375,NA())</f>
        <v/>
      </c>
      <c r="F375" s="16">
        <f>IF(ISNUMBER(E375),IF(E375&lt;=Settings!$B$6,"BUYBACK ACTIVITY",""),"")</f>
        <v/>
      </c>
      <c r="G375" s="22">
        <f>IFERROR(_xll.BDP(A375,"VOLUME_AVG_30D"),NA())</f>
        <v/>
      </c>
      <c r="H375" s="22">
        <f>IFERROR(_xll.BDP(A375,"PX_VOLUME"),NA())</f>
        <v/>
      </c>
      <c r="I375" s="16">
        <f>IFERROR(H375/G375,NA())</f>
        <v/>
      </c>
      <c r="J375" s="16">
        <f>IF(ISNUMBER(I375),IF(I375&gt;=Settings!$B$7,"VOL SPIKE",""),"")</f>
        <v/>
      </c>
    </row>
    <row r="376">
      <c r="A376" s="16">
        <f>'Rest Universe'!A377</f>
        <v/>
      </c>
      <c r="B376" s="22">
        <f>IFERROR(_xll.BDP(A376,"NAME"),"")</f>
        <v/>
      </c>
      <c r="C376" s="22">
        <f>IFERROR(_xll.BDP(A376,"EQY_SH_OUT"),NA())</f>
        <v/>
      </c>
      <c r="D376" s="22">
        <f>IFERROR(_xll.BDH(A376,"EQY_SH_OUT","-"&amp;Settings!$B$4&amp;"AW","-"&amp;Settings!$B$4&amp;"AW","days=a","fill=p"),NA())</f>
        <v/>
      </c>
      <c r="E376" s="23">
        <f>IFERROR((C376-D376)/D376,NA())</f>
        <v/>
      </c>
      <c r="F376" s="16">
        <f>IF(ISNUMBER(E376),IF(E376&lt;=Settings!$B$6,"BUYBACK ACTIVITY",""),"")</f>
        <v/>
      </c>
      <c r="G376" s="22">
        <f>IFERROR(_xll.BDP(A376,"VOLUME_AVG_30D"),NA())</f>
        <v/>
      </c>
      <c r="H376" s="22">
        <f>IFERROR(_xll.BDP(A376,"PX_VOLUME"),NA())</f>
        <v/>
      </c>
      <c r="I376" s="16">
        <f>IFERROR(H376/G376,NA())</f>
        <v/>
      </c>
      <c r="J376" s="16">
        <f>IF(ISNUMBER(I376),IF(I376&gt;=Settings!$B$7,"VOL SPIKE",""),"")</f>
        <v/>
      </c>
    </row>
    <row r="377">
      <c r="A377" s="16">
        <f>'Rest Universe'!A378</f>
        <v/>
      </c>
      <c r="B377" s="22">
        <f>IFERROR(_xll.BDP(A377,"NAME"),"")</f>
        <v/>
      </c>
      <c r="C377" s="22">
        <f>IFERROR(_xll.BDP(A377,"EQY_SH_OUT"),NA())</f>
        <v/>
      </c>
      <c r="D377" s="22">
        <f>IFERROR(_xll.BDH(A377,"EQY_SH_OUT","-"&amp;Settings!$B$4&amp;"AW","-"&amp;Settings!$B$4&amp;"AW","days=a","fill=p"),NA())</f>
        <v/>
      </c>
      <c r="E377" s="23">
        <f>IFERROR((C377-D377)/D377,NA())</f>
        <v/>
      </c>
      <c r="F377" s="16">
        <f>IF(ISNUMBER(E377),IF(E377&lt;=Settings!$B$6,"BUYBACK ACTIVITY",""),"")</f>
        <v/>
      </c>
      <c r="G377" s="22">
        <f>IFERROR(_xll.BDP(A377,"VOLUME_AVG_30D"),NA())</f>
        <v/>
      </c>
      <c r="H377" s="22">
        <f>IFERROR(_xll.BDP(A377,"PX_VOLUME"),NA())</f>
        <v/>
      </c>
      <c r="I377" s="16">
        <f>IFERROR(H377/G377,NA())</f>
        <v/>
      </c>
      <c r="J377" s="16">
        <f>IF(ISNUMBER(I377),IF(I377&gt;=Settings!$B$7,"VOL SPIKE",""),"")</f>
        <v/>
      </c>
    </row>
    <row r="378">
      <c r="A378" s="16">
        <f>'Rest Universe'!A379</f>
        <v/>
      </c>
      <c r="B378" s="22">
        <f>IFERROR(_xll.BDP(A378,"NAME"),"")</f>
        <v/>
      </c>
      <c r="C378" s="22">
        <f>IFERROR(_xll.BDP(A378,"EQY_SH_OUT"),NA())</f>
        <v/>
      </c>
      <c r="D378" s="22">
        <f>IFERROR(_xll.BDH(A378,"EQY_SH_OUT","-"&amp;Settings!$B$4&amp;"AW","-"&amp;Settings!$B$4&amp;"AW","days=a","fill=p"),NA())</f>
        <v/>
      </c>
      <c r="E378" s="23">
        <f>IFERROR((C378-D378)/D378,NA())</f>
        <v/>
      </c>
      <c r="F378" s="16">
        <f>IF(ISNUMBER(E378),IF(E378&lt;=Settings!$B$6,"BUYBACK ACTIVITY",""),"")</f>
        <v/>
      </c>
      <c r="G378" s="22">
        <f>IFERROR(_xll.BDP(A378,"VOLUME_AVG_30D"),NA())</f>
        <v/>
      </c>
      <c r="H378" s="22">
        <f>IFERROR(_xll.BDP(A378,"PX_VOLUME"),NA())</f>
        <v/>
      </c>
      <c r="I378" s="16">
        <f>IFERROR(H378/G378,NA())</f>
        <v/>
      </c>
      <c r="J378" s="16">
        <f>IF(ISNUMBER(I378),IF(I378&gt;=Settings!$B$7,"VOL SPIKE",""),"")</f>
        <v/>
      </c>
    </row>
    <row r="379">
      <c r="A379" s="16">
        <f>'Rest Universe'!A380</f>
        <v/>
      </c>
      <c r="B379" s="22">
        <f>IFERROR(_xll.BDP(A379,"NAME"),"")</f>
        <v/>
      </c>
      <c r="C379" s="22">
        <f>IFERROR(_xll.BDP(A379,"EQY_SH_OUT"),NA())</f>
        <v/>
      </c>
      <c r="D379" s="22">
        <f>IFERROR(_xll.BDH(A379,"EQY_SH_OUT","-"&amp;Settings!$B$4&amp;"AW","-"&amp;Settings!$B$4&amp;"AW","days=a","fill=p"),NA())</f>
        <v/>
      </c>
      <c r="E379" s="23">
        <f>IFERROR((C379-D379)/D379,NA())</f>
        <v/>
      </c>
      <c r="F379" s="16">
        <f>IF(ISNUMBER(E379),IF(E379&lt;=Settings!$B$6,"BUYBACK ACTIVITY",""),"")</f>
        <v/>
      </c>
      <c r="G379" s="22">
        <f>IFERROR(_xll.BDP(A379,"VOLUME_AVG_30D"),NA())</f>
        <v/>
      </c>
      <c r="H379" s="22">
        <f>IFERROR(_xll.BDP(A379,"PX_VOLUME"),NA())</f>
        <v/>
      </c>
      <c r="I379" s="16">
        <f>IFERROR(H379/G379,NA())</f>
        <v/>
      </c>
      <c r="J379" s="16">
        <f>IF(ISNUMBER(I379),IF(I379&gt;=Settings!$B$7,"VOL SPIKE",""),"")</f>
        <v/>
      </c>
    </row>
    <row r="380">
      <c r="A380" s="16">
        <f>'Rest Universe'!A381</f>
        <v/>
      </c>
      <c r="B380" s="22">
        <f>IFERROR(_xll.BDP(A380,"NAME"),"")</f>
        <v/>
      </c>
      <c r="C380" s="22">
        <f>IFERROR(_xll.BDP(A380,"EQY_SH_OUT"),NA())</f>
        <v/>
      </c>
      <c r="D380" s="22">
        <f>IFERROR(_xll.BDH(A380,"EQY_SH_OUT","-"&amp;Settings!$B$4&amp;"AW","-"&amp;Settings!$B$4&amp;"AW","days=a","fill=p"),NA())</f>
        <v/>
      </c>
      <c r="E380" s="23">
        <f>IFERROR((C380-D380)/D380,NA())</f>
        <v/>
      </c>
      <c r="F380" s="16">
        <f>IF(ISNUMBER(E380),IF(E380&lt;=Settings!$B$6,"BUYBACK ACTIVITY",""),"")</f>
        <v/>
      </c>
      <c r="G380" s="22">
        <f>IFERROR(_xll.BDP(A380,"VOLUME_AVG_30D"),NA())</f>
        <v/>
      </c>
      <c r="H380" s="22">
        <f>IFERROR(_xll.BDP(A380,"PX_VOLUME"),NA())</f>
        <v/>
      </c>
      <c r="I380" s="16">
        <f>IFERROR(H380/G380,NA())</f>
        <v/>
      </c>
      <c r="J380" s="16">
        <f>IF(ISNUMBER(I380),IF(I380&gt;=Settings!$B$7,"VOL SPIKE",""),"")</f>
        <v/>
      </c>
    </row>
    <row r="381">
      <c r="A381" s="16">
        <f>'Rest Universe'!A382</f>
        <v/>
      </c>
      <c r="B381" s="22">
        <f>IFERROR(_xll.BDP(A381,"NAME"),"")</f>
        <v/>
      </c>
      <c r="C381" s="22">
        <f>IFERROR(_xll.BDP(A381,"EQY_SH_OUT"),NA())</f>
        <v/>
      </c>
      <c r="D381" s="22">
        <f>IFERROR(_xll.BDH(A381,"EQY_SH_OUT","-"&amp;Settings!$B$4&amp;"AW","-"&amp;Settings!$B$4&amp;"AW","days=a","fill=p"),NA())</f>
        <v/>
      </c>
      <c r="E381" s="23">
        <f>IFERROR((C381-D381)/D381,NA())</f>
        <v/>
      </c>
      <c r="F381" s="16">
        <f>IF(ISNUMBER(E381),IF(E381&lt;=Settings!$B$6,"BUYBACK ACTIVITY",""),"")</f>
        <v/>
      </c>
      <c r="G381" s="22">
        <f>IFERROR(_xll.BDP(A381,"VOLUME_AVG_30D"),NA())</f>
        <v/>
      </c>
      <c r="H381" s="22">
        <f>IFERROR(_xll.BDP(A381,"PX_VOLUME"),NA())</f>
        <v/>
      </c>
      <c r="I381" s="16">
        <f>IFERROR(H381/G381,NA())</f>
        <v/>
      </c>
      <c r="J381" s="16">
        <f>IF(ISNUMBER(I381),IF(I381&gt;=Settings!$B$7,"VOL SPIKE",""),"")</f>
        <v/>
      </c>
    </row>
    <row r="382">
      <c r="A382" s="16">
        <f>'Rest Universe'!A383</f>
        <v/>
      </c>
      <c r="B382" s="22">
        <f>IFERROR(_xll.BDP(A382,"NAME"),"")</f>
        <v/>
      </c>
      <c r="C382" s="22">
        <f>IFERROR(_xll.BDP(A382,"EQY_SH_OUT"),NA())</f>
        <v/>
      </c>
      <c r="D382" s="22">
        <f>IFERROR(_xll.BDH(A382,"EQY_SH_OUT","-"&amp;Settings!$B$4&amp;"AW","-"&amp;Settings!$B$4&amp;"AW","days=a","fill=p"),NA())</f>
        <v/>
      </c>
      <c r="E382" s="23">
        <f>IFERROR((C382-D382)/D382,NA())</f>
        <v/>
      </c>
      <c r="F382" s="16">
        <f>IF(ISNUMBER(E382),IF(E382&lt;=Settings!$B$6,"BUYBACK ACTIVITY",""),"")</f>
        <v/>
      </c>
      <c r="G382" s="22">
        <f>IFERROR(_xll.BDP(A382,"VOLUME_AVG_30D"),NA())</f>
        <v/>
      </c>
      <c r="H382" s="22">
        <f>IFERROR(_xll.BDP(A382,"PX_VOLUME"),NA())</f>
        <v/>
      </c>
      <c r="I382" s="16">
        <f>IFERROR(H382/G382,NA())</f>
        <v/>
      </c>
      <c r="J382" s="16">
        <f>IF(ISNUMBER(I382),IF(I382&gt;=Settings!$B$7,"VOL SPIKE",""),"")</f>
        <v/>
      </c>
    </row>
    <row r="383">
      <c r="A383" s="16">
        <f>'Rest Universe'!A384</f>
        <v/>
      </c>
      <c r="B383" s="22">
        <f>IFERROR(_xll.BDP(A383,"NAME"),"")</f>
        <v/>
      </c>
      <c r="C383" s="22">
        <f>IFERROR(_xll.BDP(A383,"EQY_SH_OUT"),NA())</f>
        <v/>
      </c>
      <c r="D383" s="22">
        <f>IFERROR(_xll.BDH(A383,"EQY_SH_OUT","-"&amp;Settings!$B$4&amp;"AW","-"&amp;Settings!$B$4&amp;"AW","days=a","fill=p"),NA())</f>
        <v/>
      </c>
      <c r="E383" s="23">
        <f>IFERROR((C383-D383)/D383,NA())</f>
        <v/>
      </c>
      <c r="F383" s="16">
        <f>IF(ISNUMBER(E383),IF(E383&lt;=Settings!$B$6,"BUYBACK ACTIVITY",""),"")</f>
        <v/>
      </c>
      <c r="G383" s="22">
        <f>IFERROR(_xll.BDP(A383,"VOLUME_AVG_30D"),NA())</f>
        <v/>
      </c>
      <c r="H383" s="22">
        <f>IFERROR(_xll.BDP(A383,"PX_VOLUME"),NA())</f>
        <v/>
      </c>
      <c r="I383" s="16">
        <f>IFERROR(H383/G383,NA())</f>
        <v/>
      </c>
      <c r="J383" s="16">
        <f>IF(ISNUMBER(I383),IF(I383&gt;=Settings!$B$7,"VOL SPIKE",""),"")</f>
        <v/>
      </c>
    </row>
    <row r="384">
      <c r="A384" s="16">
        <f>'Rest Universe'!A385</f>
        <v/>
      </c>
      <c r="B384" s="22">
        <f>IFERROR(_xll.BDP(A384,"NAME"),"")</f>
        <v/>
      </c>
      <c r="C384" s="22">
        <f>IFERROR(_xll.BDP(A384,"EQY_SH_OUT"),NA())</f>
        <v/>
      </c>
      <c r="D384" s="22">
        <f>IFERROR(_xll.BDH(A384,"EQY_SH_OUT","-"&amp;Settings!$B$4&amp;"AW","-"&amp;Settings!$B$4&amp;"AW","days=a","fill=p"),NA())</f>
        <v/>
      </c>
      <c r="E384" s="23">
        <f>IFERROR((C384-D384)/D384,NA())</f>
        <v/>
      </c>
      <c r="F384" s="16">
        <f>IF(ISNUMBER(E384),IF(E384&lt;=Settings!$B$6,"BUYBACK ACTIVITY",""),"")</f>
        <v/>
      </c>
      <c r="G384" s="22">
        <f>IFERROR(_xll.BDP(A384,"VOLUME_AVG_30D"),NA())</f>
        <v/>
      </c>
      <c r="H384" s="22">
        <f>IFERROR(_xll.BDP(A384,"PX_VOLUME"),NA())</f>
        <v/>
      </c>
      <c r="I384" s="16">
        <f>IFERROR(H384/G384,NA())</f>
        <v/>
      </c>
      <c r="J384" s="16">
        <f>IF(ISNUMBER(I384),IF(I384&gt;=Settings!$B$7,"VOL SPIKE",""),"")</f>
        <v/>
      </c>
    </row>
    <row r="385">
      <c r="A385" s="16">
        <f>'Rest Universe'!A386</f>
        <v/>
      </c>
      <c r="B385" s="22">
        <f>IFERROR(_xll.BDP(A385,"NAME"),"")</f>
        <v/>
      </c>
      <c r="C385" s="22">
        <f>IFERROR(_xll.BDP(A385,"EQY_SH_OUT"),NA())</f>
        <v/>
      </c>
      <c r="D385" s="22">
        <f>IFERROR(_xll.BDH(A385,"EQY_SH_OUT","-"&amp;Settings!$B$4&amp;"AW","-"&amp;Settings!$B$4&amp;"AW","days=a","fill=p"),NA())</f>
        <v/>
      </c>
      <c r="E385" s="23">
        <f>IFERROR((C385-D385)/D385,NA())</f>
        <v/>
      </c>
      <c r="F385" s="16">
        <f>IF(ISNUMBER(E385),IF(E385&lt;=Settings!$B$6,"BUYBACK ACTIVITY",""),"")</f>
        <v/>
      </c>
      <c r="G385" s="22">
        <f>IFERROR(_xll.BDP(A385,"VOLUME_AVG_30D"),NA())</f>
        <v/>
      </c>
      <c r="H385" s="22">
        <f>IFERROR(_xll.BDP(A385,"PX_VOLUME"),NA())</f>
        <v/>
      </c>
      <c r="I385" s="16">
        <f>IFERROR(H385/G385,NA())</f>
        <v/>
      </c>
      <c r="J385" s="16">
        <f>IF(ISNUMBER(I385),IF(I385&gt;=Settings!$B$7,"VOL SPIKE",""),"")</f>
        <v/>
      </c>
    </row>
    <row r="386">
      <c r="A386" s="16">
        <f>'Rest Universe'!A387</f>
        <v/>
      </c>
      <c r="B386" s="22">
        <f>IFERROR(_xll.BDP(A386,"NAME"),"")</f>
        <v/>
      </c>
      <c r="C386" s="22">
        <f>IFERROR(_xll.BDP(A386,"EQY_SH_OUT"),NA())</f>
        <v/>
      </c>
      <c r="D386" s="22">
        <f>IFERROR(_xll.BDH(A386,"EQY_SH_OUT","-"&amp;Settings!$B$4&amp;"AW","-"&amp;Settings!$B$4&amp;"AW","days=a","fill=p"),NA())</f>
        <v/>
      </c>
      <c r="E386" s="23">
        <f>IFERROR((C386-D386)/D386,NA())</f>
        <v/>
      </c>
      <c r="F386" s="16">
        <f>IF(ISNUMBER(E386),IF(E386&lt;=Settings!$B$6,"BUYBACK ACTIVITY",""),"")</f>
        <v/>
      </c>
      <c r="G386" s="22">
        <f>IFERROR(_xll.BDP(A386,"VOLUME_AVG_30D"),NA())</f>
        <v/>
      </c>
      <c r="H386" s="22">
        <f>IFERROR(_xll.BDP(A386,"PX_VOLUME"),NA())</f>
        <v/>
      </c>
      <c r="I386" s="16">
        <f>IFERROR(H386/G386,NA())</f>
        <v/>
      </c>
      <c r="J386" s="16">
        <f>IF(ISNUMBER(I386),IF(I386&gt;=Settings!$B$7,"VOL SPIKE",""),"")</f>
        <v/>
      </c>
    </row>
    <row r="387">
      <c r="A387" s="16">
        <f>'Rest Universe'!A388</f>
        <v/>
      </c>
      <c r="B387" s="22">
        <f>IFERROR(_xll.BDP(A387,"NAME"),"")</f>
        <v/>
      </c>
      <c r="C387" s="22">
        <f>IFERROR(_xll.BDP(A387,"EQY_SH_OUT"),NA())</f>
        <v/>
      </c>
      <c r="D387" s="22">
        <f>IFERROR(_xll.BDH(A387,"EQY_SH_OUT","-"&amp;Settings!$B$4&amp;"AW","-"&amp;Settings!$B$4&amp;"AW","days=a","fill=p"),NA())</f>
        <v/>
      </c>
      <c r="E387" s="23">
        <f>IFERROR((C387-D387)/D387,NA())</f>
        <v/>
      </c>
      <c r="F387" s="16">
        <f>IF(ISNUMBER(E387),IF(E387&lt;=Settings!$B$6,"BUYBACK ACTIVITY",""),"")</f>
        <v/>
      </c>
      <c r="G387" s="22">
        <f>IFERROR(_xll.BDP(A387,"VOLUME_AVG_30D"),NA())</f>
        <v/>
      </c>
      <c r="H387" s="22">
        <f>IFERROR(_xll.BDP(A387,"PX_VOLUME"),NA())</f>
        <v/>
      </c>
      <c r="I387" s="16">
        <f>IFERROR(H387/G387,NA())</f>
        <v/>
      </c>
      <c r="J387" s="16">
        <f>IF(ISNUMBER(I387),IF(I387&gt;=Settings!$B$7,"VOL SPIKE",""),"")</f>
        <v/>
      </c>
    </row>
    <row r="388">
      <c r="A388" s="16">
        <f>'Rest Universe'!A389</f>
        <v/>
      </c>
      <c r="B388" s="22">
        <f>IFERROR(_xll.BDP(A388,"NAME"),"")</f>
        <v/>
      </c>
      <c r="C388" s="22">
        <f>IFERROR(_xll.BDP(A388,"EQY_SH_OUT"),NA())</f>
        <v/>
      </c>
      <c r="D388" s="22">
        <f>IFERROR(_xll.BDH(A388,"EQY_SH_OUT","-"&amp;Settings!$B$4&amp;"AW","-"&amp;Settings!$B$4&amp;"AW","days=a","fill=p"),NA())</f>
        <v/>
      </c>
      <c r="E388" s="23">
        <f>IFERROR((C388-D388)/D388,NA())</f>
        <v/>
      </c>
      <c r="F388" s="16">
        <f>IF(ISNUMBER(E388),IF(E388&lt;=Settings!$B$6,"BUYBACK ACTIVITY",""),"")</f>
        <v/>
      </c>
      <c r="G388" s="22">
        <f>IFERROR(_xll.BDP(A388,"VOLUME_AVG_30D"),NA())</f>
        <v/>
      </c>
      <c r="H388" s="22">
        <f>IFERROR(_xll.BDP(A388,"PX_VOLUME"),NA())</f>
        <v/>
      </c>
      <c r="I388" s="16">
        <f>IFERROR(H388/G388,NA())</f>
        <v/>
      </c>
      <c r="J388" s="16">
        <f>IF(ISNUMBER(I388),IF(I388&gt;=Settings!$B$7,"VOL SPIKE",""),"")</f>
        <v/>
      </c>
    </row>
    <row r="389">
      <c r="A389" s="16">
        <f>'Rest Universe'!A390</f>
        <v/>
      </c>
      <c r="B389" s="22">
        <f>IFERROR(_xll.BDP(A389,"NAME"),"")</f>
        <v/>
      </c>
      <c r="C389" s="22">
        <f>IFERROR(_xll.BDP(A389,"EQY_SH_OUT"),NA())</f>
        <v/>
      </c>
      <c r="D389" s="22">
        <f>IFERROR(_xll.BDH(A389,"EQY_SH_OUT","-"&amp;Settings!$B$4&amp;"AW","-"&amp;Settings!$B$4&amp;"AW","days=a","fill=p"),NA())</f>
        <v/>
      </c>
      <c r="E389" s="23">
        <f>IFERROR((C389-D389)/D389,NA())</f>
        <v/>
      </c>
      <c r="F389" s="16">
        <f>IF(ISNUMBER(E389),IF(E389&lt;=Settings!$B$6,"BUYBACK ACTIVITY",""),"")</f>
        <v/>
      </c>
      <c r="G389" s="22">
        <f>IFERROR(_xll.BDP(A389,"VOLUME_AVG_30D"),NA())</f>
        <v/>
      </c>
      <c r="H389" s="22">
        <f>IFERROR(_xll.BDP(A389,"PX_VOLUME"),NA())</f>
        <v/>
      </c>
      <c r="I389" s="16">
        <f>IFERROR(H389/G389,NA())</f>
        <v/>
      </c>
      <c r="J389" s="16">
        <f>IF(ISNUMBER(I389),IF(I389&gt;=Settings!$B$7,"VOL SPIKE",""),"")</f>
        <v/>
      </c>
    </row>
    <row r="390">
      <c r="A390" s="16">
        <f>'Rest Universe'!A391</f>
        <v/>
      </c>
      <c r="B390" s="22">
        <f>IFERROR(_xll.BDP(A390,"NAME"),"")</f>
        <v/>
      </c>
      <c r="C390" s="22">
        <f>IFERROR(_xll.BDP(A390,"EQY_SH_OUT"),NA())</f>
        <v/>
      </c>
      <c r="D390" s="22">
        <f>IFERROR(_xll.BDH(A390,"EQY_SH_OUT","-"&amp;Settings!$B$4&amp;"AW","-"&amp;Settings!$B$4&amp;"AW","days=a","fill=p"),NA())</f>
        <v/>
      </c>
      <c r="E390" s="23">
        <f>IFERROR((C390-D390)/D390,NA())</f>
        <v/>
      </c>
      <c r="F390" s="16">
        <f>IF(ISNUMBER(E390),IF(E390&lt;=Settings!$B$6,"BUYBACK ACTIVITY",""),"")</f>
        <v/>
      </c>
      <c r="G390" s="22">
        <f>IFERROR(_xll.BDP(A390,"VOLUME_AVG_30D"),NA())</f>
        <v/>
      </c>
      <c r="H390" s="22">
        <f>IFERROR(_xll.BDP(A390,"PX_VOLUME"),NA())</f>
        <v/>
      </c>
      <c r="I390" s="16">
        <f>IFERROR(H390/G390,NA())</f>
        <v/>
      </c>
      <c r="J390" s="16">
        <f>IF(ISNUMBER(I390),IF(I390&gt;=Settings!$B$7,"VOL SPIKE",""),"")</f>
        <v/>
      </c>
    </row>
    <row r="391">
      <c r="A391" s="16">
        <f>'Rest Universe'!A392</f>
        <v/>
      </c>
      <c r="B391" s="22">
        <f>IFERROR(_xll.BDP(A391,"NAME"),"")</f>
        <v/>
      </c>
      <c r="C391" s="22">
        <f>IFERROR(_xll.BDP(A391,"EQY_SH_OUT"),NA())</f>
        <v/>
      </c>
      <c r="D391" s="22">
        <f>IFERROR(_xll.BDH(A391,"EQY_SH_OUT","-"&amp;Settings!$B$4&amp;"AW","-"&amp;Settings!$B$4&amp;"AW","days=a","fill=p"),NA())</f>
        <v/>
      </c>
      <c r="E391" s="23">
        <f>IFERROR((C391-D391)/D391,NA())</f>
        <v/>
      </c>
      <c r="F391" s="16">
        <f>IF(ISNUMBER(E391),IF(E391&lt;=Settings!$B$6,"BUYBACK ACTIVITY",""),"")</f>
        <v/>
      </c>
      <c r="G391" s="22">
        <f>IFERROR(_xll.BDP(A391,"VOLUME_AVG_30D"),NA())</f>
        <v/>
      </c>
      <c r="H391" s="22">
        <f>IFERROR(_xll.BDP(A391,"PX_VOLUME"),NA())</f>
        <v/>
      </c>
      <c r="I391" s="16">
        <f>IFERROR(H391/G391,NA())</f>
        <v/>
      </c>
      <c r="J391" s="16">
        <f>IF(ISNUMBER(I391),IF(I391&gt;=Settings!$B$7,"VOL SPIKE",""),"")</f>
        <v/>
      </c>
    </row>
    <row r="392">
      <c r="A392" s="16">
        <f>'Rest Universe'!A393</f>
        <v/>
      </c>
      <c r="B392" s="22">
        <f>IFERROR(_xll.BDP(A392,"NAME"),"")</f>
        <v/>
      </c>
      <c r="C392" s="22">
        <f>IFERROR(_xll.BDP(A392,"EQY_SH_OUT"),NA())</f>
        <v/>
      </c>
      <c r="D392" s="22">
        <f>IFERROR(_xll.BDH(A392,"EQY_SH_OUT","-"&amp;Settings!$B$4&amp;"AW","-"&amp;Settings!$B$4&amp;"AW","days=a","fill=p"),NA())</f>
        <v/>
      </c>
      <c r="E392" s="23">
        <f>IFERROR((C392-D392)/D392,NA())</f>
        <v/>
      </c>
      <c r="F392" s="16">
        <f>IF(ISNUMBER(E392),IF(E392&lt;=Settings!$B$6,"BUYBACK ACTIVITY",""),"")</f>
        <v/>
      </c>
      <c r="G392" s="22">
        <f>IFERROR(_xll.BDP(A392,"VOLUME_AVG_30D"),NA())</f>
        <v/>
      </c>
      <c r="H392" s="22">
        <f>IFERROR(_xll.BDP(A392,"PX_VOLUME"),NA())</f>
        <v/>
      </c>
      <c r="I392" s="16">
        <f>IFERROR(H392/G392,NA())</f>
        <v/>
      </c>
      <c r="J392" s="16">
        <f>IF(ISNUMBER(I392),IF(I392&gt;=Settings!$B$7,"VOL SPIKE",""),"")</f>
        <v/>
      </c>
    </row>
    <row r="393">
      <c r="A393" s="16">
        <f>'Rest Universe'!A394</f>
        <v/>
      </c>
      <c r="B393" s="22">
        <f>IFERROR(_xll.BDP(A393,"NAME"),"")</f>
        <v/>
      </c>
      <c r="C393" s="22">
        <f>IFERROR(_xll.BDP(A393,"EQY_SH_OUT"),NA())</f>
        <v/>
      </c>
      <c r="D393" s="22">
        <f>IFERROR(_xll.BDH(A393,"EQY_SH_OUT","-"&amp;Settings!$B$4&amp;"AW","-"&amp;Settings!$B$4&amp;"AW","days=a","fill=p"),NA())</f>
        <v/>
      </c>
      <c r="E393" s="23">
        <f>IFERROR((C393-D393)/D393,NA())</f>
        <v/>
      </c>
      <c r="F393" s="16">
        <f>IF(ISNUMBER(E393),IF(E393&lt;=Settings!$B$6,"BUYBACK ACTIVITY",""),"")</f>
        <v/>
      </c>
      <c r="G393" s="22">
        <f>IFERROR(_xll.BDP(A393,"VOLUME_AVG_30D"),NA())</f>
        <v/>
      </c>
      <c r="H393" s="22">
        <f>IFERROR(_xll.BDP(A393,"PX_VOLUME"),NA())</f>
        <v/>
      </c>
      <c r="I393" s="16">
        <f>IFERROR(H393/G393,NA())</f>
        <v/>
      </c>
      <c r="J393" s="16">
        <f>IF(ISNUMBER(I393),IF(I393&gt;=Settings!$B$7,"VOL SPIKE",""),"")</f>
        <v/>
      </c>
    </row>
    <row r="394">
      <c r="A394" s="16">
        <f>'Rest Universe'!A395</f>
        <v/>
      </c>
      <c r="B394" s="22">
        <f>IFERROR(_xll.BDP(A394,"NAME"),"")</f>
        <v/>
      </c>
      <c r="C394" s="22">
        <f>IFERROR(_xll.BDP(A394,"EQY_SH_OUT"),NA())</f>
        <v/>
      </c>
      <c r="D394" s="22">
        <f>IFERROR(_xll.BDH(A394,"EQY_SH_OUT","-"&amp;Settings!$B$4&amp;"AW","-"&amp;Settings!$B$4&amp;"AW","days=a","fill=p"),NA())</f>
        <v/>
      </c>
      <c r="E394" s="23">
        <f>IFERROR((C394-D394)/D394,NA())</f>
        <v/>
      </c>
      <c r="F394" s="16">
        <f>IF(ISNUMBER(E394),IF(E394&lt;=Settings!$B$6,"BUYBACK ACTIVITY",""),"")</f>
        <v/>
      </c>
      <c r="G394" s="22">
        <f>IFERROR(_xll.BDP(A394,"VOLUME_AVG_30D"),NA())</f>
        <v/>
      </c>
      <c r="H394" s="22">
        <f>IFERROR(_xll.BDP(A394,"PX_VOLUME"),NA())</f>
        <v/>
      </c>
      <c r="I394" s="16">
        <f>IFERROR(H394/G394,NA())</f>
        <v/>
      </c>
      <c r="J394" s="16">
        <f>IF(ISNUMBER(I394),IF(I394&gt;=Settings!$B$7,"VOL SPIKE",""),"")</f>
        <v/>
      </c>
    </row>
    <row r="395">
      <c r="A395" s="16">
        <f>'Rest Universe'!A396</f>
        <v/>
      </c>
      <c r="B395" s="22">
        <f>IFERROR(_xll.BDP(A395,"NAME"),"")</f>
        <v/>
      </c>
      <c r="C395" s="22">
        <f>IFERROR(_xll.BDP(A395,"EQY_SH_OUT"),NA())</f>
        <v/>
      </c>
      <c r="D395" s="22">
        <f>IFERROR(_xll.BDH(A395,"EQY_SH_OUT","-"&amp;Settings!$B$4&amp;"AW","-"&amp;Settings!$B$4&amp;"AW","days=a","fill=p"),NA())</f>
        <v/>
      </c>
      <c r="E395" s="23">
        <f>IFERROR((C395-D395)/D395,NA())</f>
        <v/>
      </c>
      <c r="F395" s="16">
        <f>IF(ISNUMBER(E395),IF(E395&lt;=Settings!$B$6,"BUYBACK ACTIVITY",""),"")</f>
        <v/>
      </c>
      <c r="G395" s="22">
        <f>IFERROR(_xll.BDP(A395,"VOLUME_AVG_30D"),NA())</f>
        <v/>
      </c>
      <c r="H395" s="22">
        <f>IFERROR(_xll.BDP(A395,"PX_VOLUME"),NA())</f>
        <v/>
      </c>
      <c r="I395" s="16">
        <f>IFERROR(H395/G395,NA())</f>
        <v/>
      </c>
      <c r="J395" s="16">
        <f>IF(ISNUMBER(I395),IF(I395&gt;=Settings!$B$7,"VOL SPIKE",""),"")</f>
        <v/>
      </c>
    </row>
    <row r="396">
      <c r="A396" s="16">
        <f>'Rest Universe'!A397</f>
        <v/>
      </c>
      <c r="B396" s="22">
        <f>IFERROR(_xll.BDP(A396,"NAME"),"")</f>
        <v/>
      </c>
      <c r="C396" s="22">
        <f>IFERROR(_xll.BDP(A396,"EQY_SH_OUT"),NA())</f>
        <v/>
      </c>
      <c r="D396" s="22">
        <f>IFERROR(_xll.BDH(A396,"EQY_SH_OUT","-"&amp;Settings!$B$4&amp;"AW","-"&amp;Settings!$B$4&amp;"AW","days=a","fill=p"),NA())</f>
        <v/>
      </c>
      <c r="E396" s="23">
        <f>IFERROR((C396-D396)/D396,NA())</f>
        <v/>
      </c>
      <c r="F396" s="16">
        <f>IF(ISNUMBER(E396),IF(E396&lt;=Settings!$B$6,"BUYBACK ACTIVITY",""),"")</f>
        <v/>
      </c>
      <c r="G396" s="22">
        <f>IFERROR(_xll.BDP(A396,"VOLUME_AVG_30D"),NA())</f>
        <v/>
      </c>
      <c r="H396" s="22">
        <f>IFERROR(_xll.BDP(A396,"PX_VOLUME"),NA())</f>
        <v/>
      </c>
      <c r="I396" s="16">
        <f>IFERROR(H396/G396,NA())</f>
        <v/>
      </c>
      <c r="J396" s="16">
        <f>IF(ISNUMBER(I396),IF(I396&gt;=Settings!$B$7,"VOL SPIKE",""),"")</f>
        <v/>
      </c>
    </row>
    <row r="397">
      <c r="A397" s="16">
        <f>'Rest Universe'!A398</f>
        <v/>
      </c>
      <c r="B397" s="22">
        <f>IFERROR(_xll.BDP(A397,"NAME"),"")</f>
        <v/>
      </c>
      <c r="C397" s="22">
        <f>IFERROR(_xll.BDP(A397,"EQY_SH_OUT"),NA())</f>
        <v/>
      </c>
      <c r="D397" s="22">
        <f>IFERROR(_xll.BDH(A397,"EQY_SH_OUT","-"&amp;Settings!$B$4&amp;"AW","-"&amp;Settings!$B$4&amp;"AW","days=a","fill=p"),NA())</f>
        <v/>
      </c>
      <c r="E397" s="23">
        <f>IFERROR((C397-D397)/D397,NA())</f>
        <v/>
      </c>
      <c r="F397" s="16">
        <f>IF(ISNUMBER(E397),IF(E397&lt;=Settings!$B$6,"BUYBACK ACTIVITY",""),"")</f>
        <v/>
      </c>
      <c r="G397" s="22">
        <f>IFERROR(_xll.BDP(A397,"VOLUME_AVG_30D"),NA())</f>
        <v/>
      </c>
      <c r="H397" s="22">
        <f>IFERROR(_xll.BDP(A397,"PX_VOLUME"),NA())</f>
        <v/>
      </c>
      <c r="I397" s="16">
        <f>IFERROR(H397/G397,NA())</f>
        <v/>
      </c>
      <c r="J397" s="16">
        <f>IF(ISNUMBER(I397),IF(I397&gt;=Settings!$B$7,"VOL SPIKE",""),"")</f>
        <v/>
      </c>
    </row>
    <row r="398">
      <c r="A398" s="16">
        <f>'Rest Universe'!A399</f>
        <v/>
      </c>
      <c r="B398" s="22">
        <f>IFERROR(_xll.BDP(A398,"NAME"),"")</f>
        <v/>
      </c>
      <c r="C398" s="22">
        <f>IFERROR(_xll.BDP(A398,"EQY_SH_OUT"),NA())</f>
        <v/>
      </c>
      <c r="D398" s="22">
        <f>IFERROR(_xll.BDH(A398,"EQY_SH_OUT","-"&amp;Settings!$B$4&amp;"AW","-"&amp;Settings!$B$4&amp;"AW","days=a","fill=p"),NA())</f>
        <v/>
      </c>
      <c r="E398" s="23">
        <f>IFERROR((C398-D398)/D398,NA())</f>
        <v/>
      </c>
      <c r="F398" s="16">
        <f>IF(ISNUMBER(E398),IF(E398&lt;=Settings!$B$6,"BUYBACK ACTIVITY",""),"")</f>
        <v/>
      </c>
      <c r="G398" s="22">
        <f>IFERROR(_xll.BDP(A398,"VOLUME_AVG_30D"),NA())</f>
        <v/>
      </c>
      <c r="H398" s="22">
        <f>IFERROR(_xll.BDP(A398,"PX_VOLUME"),NA())</f>
        <v/>
      </c>
      <c r="I398" s="16">
        <f>IFERROR(H398/G398,NA())</f>
        <v/>
      </c>
      <c r="J398" s="16">
        <f>IF(ISNUMBER(I398),IF(I398&gt;=Settings!$B$7,"VOL SPIKE",""),"")</f>
        <v/>
      </c>
    </row>
    <row r="399">
      <c r="A399" s="16">
        <f>'Rest Universe'!A400</f>
        <v/>
      </c>
      <c r="B399" s="22">
        <f>IFERROR(_xll.BDP(A399,"NAME"),"")</f>
        <v/>
      </c>
      <c r="C399" s="22">
        <f>IFERROR(_xll.BDP(A399,"EQY_SH_OUT"),NA())</f>
        <v/>
      </c>
      <c r="D399" s="22">
        <f>IFERROR(_xll.BDH(A399,"EQY_SH_OUT","-"&amp;Settings!$B$4&amp;"AW","-"&amp;Settings!$B$4&amp;"AW","days=a","fill=p"),NA())</f>
        <v/>
      </c>
      <c r="E399" s="23">
        <f>IFERROR((C399-D399)/D399,NA())</f>
        <v/>
      </c>
      <c r="F399" s="16">
        <f>IF(ISNUMBER(E399),IF(E399&lt;=Settings!$B$6,"BUYBACK ACTIVITY",""),"")</f>
        <v/>
      </c>
      <c r="G399" s="22">
        <f>IFERROR(_xll.BDP(A399,"VOLUME_AVG_30D"),NA())</f>
        <v/>
      </c>
      <c r="H399" s="22">
        <f>IFERROR(_xll.BDP(A399,"PX_VOLUME"),NA())</f>
        <v/>
      </c>
      <c r="I399" s="16">
        <f>IFERROR(H399/G399,NA())</f>
        <v/>
      </c>
      <c r="J399" s="16">
        <f>IF(ISNUMBER(I399),IF(I399&gt;=Settings!$B$7,"VOL SPIKE",""),"")</f>
        <v/>
      </c>
    </row>
    <row r="400">
      <c r="A400" s="16">
        <f>'Rest Universe'!A401</f>
        <v/>
      </c>
      <c r="B400" s="22">
        <f>IFERROR(_xll.BDP(A400,"NAME"),"")</f>
        <v/>
      </c>
      <c r="C400" s="22">
        <f>IFERROR(_xll.BDP(A400,"EQY_SH_OUT"),NA())</f>
        <v/>
      </c>
      <c r="D400" s="22">
        <f>IFERROR(_xll.BDH(A400,"EQY_SH_OUT","-"&amp;Settings!$B$4&amp;"AW","-"&amp;Settings!$B$4&amp;"AW","days=a","fill=p"),NA())</f>
        <v/>
      </c>
      <c r="E400" s="23">
        <f>IFERROR((C400-D400)/D400,NA())</f>
        <v/>
      </c>
      <c r="F400" s="16">
        <f>IF(ISNUMBER(E400),IF(E400&lt;=Settings!$B$6,"BUYBACK ACTIVITY",""),"")</f>
        <v/>
      </c>
      <c r="G400" s="22">
        <f>IFERROR(_xll.BDP(A400,"VOLUME_AVG_30D"),NA())</f>
        <v/>
      </c>
      <c r="H400" s="22">
        <f>IFERROR(_xll.BDP(A400,"PX_VOLUME"),NA())</f>
        <v/>
      </c>
      <c r="I400" s="16">
        <f>IFERROR(H400/G400,NA())</f>
        <v/>
      </c>
      <c r="J400" s="16">
        <f>IF(ISNUMBER(I400),IF(I400&gt;=Settings!$B$7,"VOL SPIKE",""),"")</f>
        <v/>
      </c>
    </row>
    <row r="401">
      <c r="A401" s="16">
        <f>'Rest Universe'!A402</f>
        <v/>
      </c>
      <c r="B401" s="22">
        <f>IFERROR(_xll.BDP(A401,"NAME"),"")</f>
        <v/>
      </c>
      <c r="C401" s="22">
        <f>IFERROR(_xll.BDP(A401,"EQY_SH_OUT"),NA())</f>
        <v/>
      </c>
      <c r="D401" s="22">
        <f>IFERROR(_xll.BDH(A401,"EQY_SH_OUT","-"&amp;Settings!$B$4&amp;"AW","-"&amp;Settings!$B$4&amp;"AW","days=a","fill=p"),NA())</f>
        <v/>
      </c>
      <c r="E401" s="23">
        <f>IFERROR((C401-D401)/D401,NA())</f>
        <v/>
      </c>
      <c r="F401" s="16">
        <f>IF(ISNUMBER(E401),IF(E401&lt;=Settings!$B$6,"BUYBACK ACTIVITY",""),"")</f>
        <v/>
      </c>
      <c r="G401" s="22">
        <f>IFERROR(_xll.BDP(A401,"VOLUME_AVG_30D"),NA())</f>
        <v/>
      </c>
      <c r="H401" s="22">
        <f>IFERROR(_xll.BDP(A401,"PX_VOLUME"),NA())</f>
        <v/>
      </c>
      <c r="I401" s="16">
        <f>IFERROR(H401/G401,NA())</f>
        <v/>
      </c>
      <c r="J401" s="16">
        <f>IF(ISNUMBER(I401),IF(I401&gt;=Settings!$B$7,"VOL SPIKE",""),"")</f>
        <v/>
      </c>
    </row>
    <row r="402">
      <c r="A402" s="16">
        <f>'Rest Universe'!A403</f>
        <v/>
      </c>
      <c r="B402" s="22">
        <f>IFERROR(_xll.BDP(A402,"NAME"),"")</f>
        <v/>
      </c>
      <c r="C402" s="22">
        <f>IFERROR(_xll.BDP(A402,"EQY_SH_OUT"),NA())</f>
        <v/>
      </c>
      <c r="D402" s="22">
        <f>IFERROR(_xll.BDH(A402,"EQY_SH_OUT","-"&amp;Settings!$B$4&amp;"AW","-"&amp;Settings!$B$4&amp;"AW","days=a","fill=p"),NA())</f>
        <v/>
      </c>
      <c r="E402" s="23">
        <f>IFERROR((C402-D402)/D402,NA())</f>
        <v/>
      </c>
      <c r="F402" s="16">
        <f>IF(ISNUMBER(E402),IF(E402&lt;=Settings!$B$6,"BUYBACK ACTIVITY",""),"")</f>
        <v/>
      </c>
      <c r="G402" s="22">
        <f>IFERROR(_xll.BDP(A402,"VOLUME_AVG_30D"),NA())</f>
        <v/>
      </c>
      <c r="H402" s="22">
        <f>IFERROR(_xll.BDP(A402,"PX_VOLUME"),NA())</f>
        <v/>
      </c>
      <c r="I402" s="16">
        <f>IFERROR(H402/G402,NA())</f>
        <v/>
      </c>
      <c r="J402" s="16">
        <f>IF(ISNUMBER(I402),IF(I402&gt;=Settings!$B$7,"VOL SPIKE",""),"")</f>
        <v/>
      </c>
    </row>
    <row r="403">
      <c r="A403" s="16">
        <f>'Rest Universe'!A404</f>
        <v/>
      </c>
      <c r="B403" s="22">
        <f>IFERROR(_xll.BDP(A403,"NAME"),"")</f>
        <v/>
      </c>
      <c r="C403" s="22">
        <f>IFERROR(_xll.BDP(A403,"EQY_SH_OUT"),NA())</f>
        <v/>
      </c>
      <c r="D403" s="22">
        <f>IFERROR(_xll.BDH(A403,"EQY_SH_OUT","-"&amp;Settings!$B$4&amp;"AW","-"&amp;Settings!$B$4&amp;"AW","days=a","fill=p"),NA())</f>
        <v/>
      </c>
      <c r="E403" s="23">
        <f>IFERROR((C403-D403)/D403,NA())</f>
        <v/>
      </c>
      <c r="F403" s="16">
        <f>IF(ISNUMBER(E403),IF(E403&lt;=Settings!$B$6,"BUYBACK ACTIVITY",""),"")</f>
        <v/>
      </c>
      <c r="G403" s="22">
        <f>IFERROR(_xll.BDP(A403,"VOLUME_AVG_30D"),NA())</f>
        <v/>
      </c>
      <c r="H403" s="22">
        <f>IFERROR(_xll.BDP(A403,"PX_VOLUME"),NA())</f>
        <v/>
      </c>
      <c r="I403" s="16">
        <f>IFERROR(H403/G403,NA())</f>
        <v/>
      </c>
      <c r="J403" s="16">
        <f>IF(ISNUMBER(I403),IF(I403&gt;=Settings!$B$7,"VOL SPIKE",""),"")</f>
        <v/>
      </c>
    </row>
    <row r="404">
      <c r="A404" s="16">
        <f>'Rest Universe'!A405</f>
        <v/>
      </c>
      <c r="B404" s="22">
        <f>IFERROR(_xll.BDP(A404,"NAME"),"")</f>
        <v/>
      </c>
      <c r="C404" s="22">
        <f>IFERROR(_xll.BDP(A404,"EQY_SH_OUT"),NA())</f>
        <v/>
      </c>
      <c r="D404" s="22">
        <f>IFERROR(_xll.BDH(A404,"EQY_SH_OUT","-"&amp;Settings!$B$4&amp;"AW","-"&amp;Settings!$B$4&amp;"AW","days=a","fill=p"),NA())</f>
        <v/>
      </c>
      <c r="E404" s="23">
        <f>IFERROR((C404-D404)/D404,NA())</f>
        <v/>
      </c>
      <c r="F404" s="16">
        <f>IF(ISNUMBER(E404),IF(E404&lt;=Settings!$B$6,"BUYBACK ACTIVITY",""),"")</f>
        <v/>
      </c>
      <c r="G404" s="22">
        <f>IFERROR(_xll.BDP(A404,"VOLUME_AVG_30D"),NA())</f>
        <v/>
      </c>
      <c r="H404" s="22">
        <f>IFERROR(_xll.BDP(A404,"PX_VOLUME"),NA())</f>
        <v/>
      </c>
      <c r="I404" s="16">
        <f>IFERROR(H404/G404,NA())</f>
        <v/>
      </c>
      <c r="J404" s="16">
        <f>IF(ISNUMBER(I404),IF(I404&gt;=Settings!$B$7,"VOL SPIKE",""),"")</f>
        <v/>
      </c>
    </row>
    <row r="405">
      <c r="A405" s="16">
        <f>'Rest Universe'!A406</f>
        <v/>
      </c>
      <c r="B405" s="22">
        <f>IFERROR(_xll.BDP(A405,"NAME"),"")</f>
        <v/>
      </c>
      <c r="C405" s="22">
        <f>IFERROR(_xll.BDP(A405,"EQY_SH_OUT"),NA())</f>
        <v/>
      </c>
      <c r="D405" s="22">
        <f>IFERROR(_xll.BDH(A405,"EQY_SH_OUT","-"&amp;Settings!$B$4&amp;"AW","-"&amp;Settings!$B$4&amp;"AW","days=a","fill=p"),NA())</f>
        <v/>
      </c>
      <c r="E405" s="23">
        <f>IFERROR((C405-D405)/D405,NA())</f>
        <v/>
      </c>
      <c r="F405" s="16">
        <f>IF(ISNUMBER(E405),IF(E405&lt;=Settings!$B$6,"BUYBACK ACTIVITY",""),"")</f>
        <v/>
      </c>
      <c r="G405" s="22">
        <f>IFERROR(_xll.BDP(A405,"VOLUME_AVG_30D"),NA())</f>
        <v/>
      </c>
      <c r="H405" s="22">
        <f>IFERROR(_xll.BDP(A405,"PX_VOLUME"),NA())</f>
        <v/>
      </c>
      <c r="I405" s="16">
        <f>IFERROR(H405/G405,NA())</f>
        <v/>
      </c>
      <c r="J405" s="16">
        <f>IF(ISNUMBER(I405),IF(I405&gt;=Settings!$B$7,"VOL SPIKE",""),"")</f>
        <v/>
      </c>
    </row>
    <row r="406">
      <c r="A406" s="16">
        <f>'Rest Universe'!A407</f>
        <v/>
      </c>
      <c r="B406" s="22">
        <f>IFERROR(_xll.BDP(A406,"NAME"),"")</f>
        <v/>
      </c>
      <c r="C406" s="22">
        <f>IFERROR(_xll.BDP(A406,"EQY_SH_OUT"),NA())</f>
        <v/>
      </c>
      <c r="D406" s="22">
        <f>IFERROR(_xll.BDH(A406,"EQY_SH_OUT","-"&amp;Settings!$B$4&amp;"AW","-"&amp;Settings!$B$4&amp;"AW","days=a","fill=p"),NA())</f>
        <v/>
      </c>
      <c r="E406" s="23">
        <f>IFERROR((C406-D406)/D406,NA())</f>
        <v/>
      </c>
      <c r="F406" s="16">
        <f>IF(ISNUMBER(E406),IF(E406&lt;=Settings!$B$6,"BUYBACK ACTIVITY",""),"")</f>
        <v/>
      </c>
      <c r="G406" s="22">
        <f>IFERROR(_xll.BDP(A406,"VOLUME_AVG_30D"),NA())</f>
        <v/>
      </c>
      <c r="H406" s="22">
        <f>IFERROR(_xll.BDP(A406,"PX_VOLUME"),NA())</f>
        <v/>
      </c>
      <c r="I406" s="16">
        <f>IFERROR(H406/G406,NA())</f>
        <v/>
      </c>
      <c r="J406" s="16">
        <f>IF(ISNUMBER(I406),IF(I406&gt;=Settings!$B$7,"VOL SPIKE",""),"")</f>
        <v/>
      </c>
    </row>
    <row r="407">
      <c r="A407" s="16">
        <f>'Rest Universe'!A408</f>
        <v/>
      </c>
      <c r="B407" s="22">
        <f>IFERROR(_xll.BDP(A407,"NAME"),"")</f>
        <v/>
      </c>
      <c r="C407" s="22">
        <f>IFERROR(_xll.BDP(A407,"EQY_SH_OUT"),NA())</f>
        <v/>
      </c>
      <c r="D407" s="22">
        <f>IFERROR(_xll.BDH(A407,"EQY_SH_OUT","-"&amp;Settings!$B$4&amp;"AW","-"&amp;Settings!$B$4&amp;"AW","days=a","fill=p"),NA())</f>
        <v/>
      </c>
      <c r="E407" s="23">
        <f>IFERROR((C407-D407)/D407,NA())</f>
        <v/>
      </c>
      <c r="F407" s="16">
        <f>IF(ISNUMBER(E407),IF(E407&lt;=Settings!$B$6,"BUYBACK ACTIVITY",""),"")</f>
        <v/>
      </c>
      <c r="G407" s="22">
        <f>IFERROR(_xll.BDP(A407,"VOLUME_AVG_30D"),NA())</f>
        <v/>
      </c>
      <c r="H407" s="22">
        <f>IFERROR(_xll.BDP(A407,"PX_VOLUME"),NA())</f>
        <v/>
      </c>
      <c r="I407" s="16">
        <f>IFERROR(H407/G407,NA())</f>
        <v/>
      </c>
      <c r="J407" s="16">
        <f>IF(ISNUMBER(I407),IF(I407&gt;=Settings!$B$7,"VOL SPIKE",""),"")</f>
        <v/>
      </c>
    </row>
    <row r="408">
      <c r="A408" s="16">
        <f>'Rest Universe'!A409</f>
        <v/>
      </c>
      <c r="B408" s="22">
        <f>IFERROR(_xll.BDP(A408,"NAME"),"")</f>
        <v/>
      </c>
      <c r="C408" s="22">
        <f>IFERROR(_xll.BDP(A408,"EQY_SH_OUT"),NA())</f>
        <v/>
      </c>
      <c r="D408" s="22">
        <f>IFERROR(_xll.BDH(A408,"EQY_SH_OUT","-"&amp;Settings!$B$4&amp;"AW","-"&amp;Settings!$B$4&amp;"AW","days=a","fill=p"),NA())</f>
        <v/>
      </c>
      <c r="E408" s="23">
        <f>IFERROR((C408-D408)/D408,NA())</f>
        <v/>
      </c>
      <c r="F408" s="16">
        <f>IF(ISNUMBER(E408),IF(E408&lt;=Settings!$B$6,"BUYBACK ACTIVITY",""),"")</f>
        <v/>
      </c>
      <c r="G408" s="22">
        <f>IFERROR(_xll.BDP(A408,"VOLUME_AVG_30D"),NA())</f>
        <v/>
      </c>
      <c r="H408" s="22">
        <f>IFERROR(_xll.BDP(A408,"PX_VOLUME"),NA())</f>
        <v/>
      </c>
      <c r="I408" s="16">
        <f>IFERROR(H408/G408,NA())</f>
        <v/>
      </c>
      <c r="J408" s="16">
        <f>IF(ISNUMBER(I408),IF(I408&gt;=Settings!$B$7,"VOL SPIKE",""),"")</f>
        <v/>
      </c>
    </row>
    <row r="409">
      <c r="A409" s="16">
        <f>'Rest Universe'!A410</f>
        <v/>
      </c>
      <c r="B409" s="22">
        <f>IFERROR(_xll.BDP(A409,"NAME"),"")</f>
        <v/>
      </c>
      <c r="C409" s="22">
        <f>IFERROR(_xll.BDP(A409,"EQY_SH_OUT"),NA())</f>
        <v/>
      </c>
      <c r="D409" s="22">
        <f>IFERROR(_xll.BDH(A409,"EQY_SH_OUT","-"&amp;Settings!$B$4&amp;"AW","-"&amp;Settings!$B$4&amp;"AW","days=a","fill=p"),NA())</f>
        <v/>
      </c>
      <c r="E409" s="23">
        <f>IFERROR((C409-D409)/D409,NA())</f>
        <v/>
      </c>
      <c r="F409" s="16">
        <f>IF(ISNUMBER(E409),IF(E409&lt;=Settings!$B$6,"BUYBACK ACTIVITY",""),"")</f>
        <v/>
      </c>
      <c r="G409" s="22">
        <f>IFERROR(_xll.BDP(A409,"VOLUME_AVG_30D"),NA())</f>
        <v/>
      </c>
      <c r="H409" s="22">
        <f>IFERROR(_xll.BDP(A409,"PX_VOLUME"),NA())</f>
        <v/>
      </c>
      <c r="I409" s="16">
        <f>IFERROR(H409/G409,NA())</f>
        <v/>
      </c>
      <c r="J409" s="16">
        <f>IF(ISNUMBER(I409),IF(I409&gt;=Settings!$B$7,"VOL SPIKE",""),"")</f>
        <v/>
      </c>
    </row>
    <row r="410">
      <c r="A410" s="16">
        <f>'Rest Universe'!A411</f>
        <v/>
      </c>
      <c r="B410" s="22">
        <f>IFERROR(_xll.BDP(A410,"NAME"),"")</f>
        <v/>
      </c>
      <c r="C410" s="22">
        <f>IFERROR(_xll.BDP(A410,"EQY_SH_OUT"),NA())</f>
        <v/>
      </c>
      <c r="D410" s="22">
        <f>IFERROR(_xll.BDH(A410,"EQY_SH_OUT","-"&amp;Settings!$B$4&amp;"AW","-"&amp;Settings!$B$4&amp;"AW","days=a","fill=p"),NA())</f>
        <v/>
      </c>
      <c r="E410" s="23">
        <f>IFERROR((C410-D410)/D410,NA())</f>
        <v/>
      </c>
      <c r="F410" s="16">
        <f>IF(ISNUMBER(E410),IF(E410&lt;=Settings!$B$6,"BUYBACK ACTIVITY",""),"")</f>
        <v/>
      </c>
      <c r="G410" s="22">
        <f>IFERROR(_xll.BDP(A410,"VOLUME_AVG_30D"),NA())</f>
        <v/>
      </c>
      <c r="H410" s="22">
        <f>IFERROR(_xll.BDP(A410,"PX_VOLUME"),NA())</f>
        <v/>
      </c>
      <c r="I410" s="16">
        <f>IFERROR(H410/G410,NA())</f>
        <v/>
      </c>
      <c r="J410" s="16">
        <f>IF(ISNUMBER(I410),IF(I410&gt;=Settings!$B$7,"VOL SPIKE",""),"")</f>
        <v/>
      </c>
    </row>
    <row r="411">
      <c r="A411" s="16">
        <f>'Rest Universe'!A412</f>
        <v/>
      </c>
      <c r="B411" s="22">
        <f>IFERROR(_xll.BDP(A411,"NAME"),"")</f>
        <v/>
      </c>
      <c r="C411" s="22">
        <f>IFERROR(_xll.BDP(A411,"EQY_SH_OUT"),NA())</f>
        <v/>
      </c>
      <c r="D411" s="22">
        <f>IFERROR(_xll.BDH(A411,"EQY_SH_OUT","-"&amp;Settings!$B$4&amp;"AW","-"&amp;Settings!$B$4&amp;"AW","days=a","fill=p"),NA())</f>
        <v/>
      </c>
      <c r="E411" s="23">
        <f>IFERROR((C411-D411)/D411,NA())</f>
        <v/>
      </c>
      <c r="F411" s="16">
        <f>IF(ISNUMBER(E411),IF(E411&lt;=Settings!$B$6,"BUYBACK ACTIVITY",""),"")</f>
        <v/>
      </c>
      <c r="G411" s="22">
        <f>IFERROR(_xll.BDP(A411,"VOLUME_AVG_30D"),NA())</f>
        <v/>
      </c>
      <c r="H411" s="22">
        <f>IFERROR(_xll.BDP(A411,"PX_VOLUME"),NA())</f>
        <v/>
      </c>
      <c r="I411" s="16">
        <f>IFERROR(H411/G411,NA())</f>
        <v/>
      </c>
      <c r="J411" s="16">
        <f>IF(ISNUMBER(I411),IF(I411&gt;=Settings!$B$7,"VOL SPIKE",""),"")</f>
        <v/>
      </c>
    </row>
    <row r="412">
      <c r="A412" s="16">
        <f>'Rest Universe'!A413</f>
        <v/>
      </c>
      <c r="B412" s="22">
        <f>IFERROR(_xll.BDP(A412,"NAME"),"")</f>
        <v/>
      </c>
      <c r="C412" s="22">
        <f>IFERROR(_xll.BDP(A412,"EQY_SH_OUT"),NA())</f>
        <v/>
      </c>
      <c r="D412" s="22">
        <f>IFERROR(_xll.BDH(A412,"EQY_SH_OUT","-"&amp;Settings!$B$4&amp;"AW","-"&amp;Settings!$B$4&amp;"AW","days=a","fill=p"),NA())</f>
        <v/>
      </c>
      <c r="E412" s="23">
        <f>IFERROR((C412-D412)/D412,NA())</f>
        <v/>
      </c>
      <c r="F412" s="16">
        <f>IF(ISNUMBER(E412),IF(E412&lt;=Settings!$B$6,"BUYBACK ACTIVITY",""),"")</f>
        <v/>
      </c>
      <c r="G412" s="22">
        <f>IFERROR(_xll.BDP(A412,"VOLUME_AVG_30D"),NA())</f>
        <v/>
      </c>
      <c r="H412" s="22">
        <f>IFERROR(_xll.BDP(A412,"PX_VOLUME"),NA())</f>
        <v/>
      </c>
      <c r="I412" s="16">
        <f>IFERROR(H412/G412,NA())</f>
        <v/>
      </c>
      <c r="J412" s="16">
        <f>IF(ISNUMBER(I412),IF(I412&gt;=Settings!$B$7,"VOL SPIKE",""),"")</f>
        <v/>
      </c>
    </row>
    <row r="413">
      <c r="A413" s="16">
        <f>'Rest Universe'!A414</f>
        <v/>
      </c>
      <c r="B413" s="22">
        <f>IFERROR(_xll.BDP(A413,"NAME"),"")</f>
        <v/>
      </c>
      <c r="C413" s="22">
        <f>IFERROR(_xll.BDP(A413,"EQY_SH_OUT"),NA())</f>
        <v/>
      </c>
      <c r="D413" s="22">
        <f>IFERROR(_xll.BDH(A413,"EQY_SH_OUT","-"&amp;Settings!$B$4&amp;"AW","-"&amp;Settings!$B$4&amp;"AW","days=a","fill=p"),NA())</f>
        <v/>
      </c>
      <c r="E413" s="23">
        <f>IFERROR((C413-D413)/D413,NA())</f>
        <v/>
      </c>
      <c r="F413" s="16">
        <f>IF(ISNUMBER(E413),IF(E413&lt;=Settings!$B$6,"BUYBACK ACTIVITY",""),"")</f>
        <v/>
      </c>
      <c r="G413" s="22">
        <f>IFERROR(_xll.BDP(A413,"VOLUME_AVG_30D"),NA())</f>
        <v/>
      </c>
      <c r="H413" s="22">
        <f>IFERROR(_xll.BDP(A413,"PX_VOLUME"),NA())</f>
        <v/>
      </c>
      <c r="I413" s="16">
        <f>IFERROR(H413/G413,NA())</f>
        <v/>
      </c>
      <c r="J413" s="16">
        <f>IF(ISNUMBER(I413),IF(I413&gt;=Settings!$B$7,"VOL SPIKE",""),"")</f>
        <v/>
      </c>
    </row>
    <row r="414">
      <c r="A414" s="16">
        <f>'Rest Universe'!A415</f>
        <v/>
      </c>
      <c r="B414" s="22">
        <f>IFERROR(_xll.BDP(A414,"NAME"),"")</f>
        <v/>
      </c>
      <c r="C414" s="22">
        <f>IFERROR(_xll.BDP(A414,"EQY_SH_OUT"),NA())</f>
        <v/>
      </c>
      <c r="D414" s="22">
        <f>IFERROR(_xll.BDH(A414,"EQY_SH_OUT","-"&amp;Settings!$B$4&amp;"AW","-"&amp;Settings!$B$4&amp;"AW","days=a","fill=p"),NA())</f>
        <v/>
      </c>
      <c r="E414" s="23">
        <f>IFERROR((C414-D414)/D414,NA())</f>
        <v/>
      </c>
      <c r="F414" s="16">
        <f>IF(ISNUMBER(E414),IF(E414&lt;=Settings!$B$6,"BUYBACK ACTIVITY",""),"")</f>
        <v/>
      </c>
      <c r="G414" s="22">
        <f>IFERROR(_xll.BDP(A414,"VOLUME_AVG_30D"),NA())</f>
        <v/>
      </c>
      <c r="H414" s="22">
        <f>IFERROR(_xll.BDP(A414,"PX_VOLUME"),NA())</f>
        <v/>
      </c>
      <c r="I414" s="16">
        <f>IFERROR(H414/G414,NA())</f>
        <v/>
      </c>
      <c r="J414" s="16">
        <f>IF(ISNUMBER(I414),IF(I414&gt;=Settings!$B$7,"VOL SPIKE",""),"")</f>
        <v/>
      </c>
    </row>
    <row r="415">
      <c r="A415" s="16">
        <f>'Rest Universe'!A416</f>
        <v/>
      </c>
      <c r="B415" s="22">
        <f>IFERROR(_xll.BDP(A415,"NAME"),"")</f>
        <v/>
      </c>
      <c r="C415" s="22">
        <f>IFERROR(_xll.BDP(A415,"EQY_SH_OUT"),NA())</f>
        <v/>
      </c>
      <c r="D415" s="22">
        <f>IFERROR(_xll.BDH(A415,"EQY_SH_OUT","-"&amp;Settings!$B$4&amp;"AW","-"&amp;Settings!$B$4&amp;"AW","days=a","fill=p"),NA())</f>
        <v/>
      </c>
      <c r="E415" s="23">
        <f>IFERROR((C415-D415)/D415,NA())</f>
        <v/>
      </c>
      <c r="F415" s="16">
        <f>IF(ISNUMBER(E415),IF(E415&lt;=Settings!$B$6,"BUYBACK ACTIVITY",""),"")</f>
        <v/>
      </c>
      <c r="G415" s="22">
        <f>IFERROR(_xll.BDP(A415,"VOLUME_AVG_30D"),NA())</f>
        <v/>
      </c>
      <c r="H415" s="22">
        <f>IFERROR(_xll.BDP(A415,"PX_VOLUME"),NA())</f>
        <v/>
      </c>
      <c r="I415" s="16">
        <f>IFERROR(H415/G415,NA())</f>
        <v/>
      </c>
      <c r="J415" s="16">
        <f>IF(ISNUMBER(I415),IF(I415&gt;=Settings!$B$7,"VOL SPIKE",""),"")</f>
        <v/>
      </c>
    </row>
    <row r="416">
      <c r="A416" s="16">
        <f>'Rest Universe'!A417</f>
        <v/>
      </c>
      <c r="B416" s="22">
        <f>IFERROR(_xll.BDP(A416,"NAME"),"")</f>
        <v/>
      </c>
      <c r="C416" s="22">
        <f>IFERROR(_xll.BDP(A416,"EQY_SH_OUT"),NA())</f>
        <v/>
      </c>
      <c r="D416" s="22">
        <f>IFERROR(_xll.BDH(A416,"EQY_SH_OUT","-"&amp;Settings!$B$4&amp;"AW","-"&amp;Settings!$B$4&amp;"AW","days=a","fill=p"),NA())</f>
        <v/>
      </c>
      <c r="E416" s="23">
        <f>IFERROR((C416-D416)/D416,NA())</f>
        <v/>
      </c>
      <c r="F416" s="16">
        <f>IF(ISNUMBER(E416),IF(E416&lt;=Settings!$B$6,"BUYBACK ACTIVITY",""),"")</f>
        <v/>
      </c>
      <c r="G416" s="22">
        <f>IFERROR(_xll.BDP(A416,"VOLUME_AVG_30D"),NA())</f>
        <v/>
      </c>
      <c r="H416" s="22">
        <f>IFERROR(_xll.BDP(A416,"PX_VOLUME"),NA())</f>
        <v/>
      </c>
      <c r="I416" s="16">
        <f>IFERROR(H416/G416,NA())</f>
        <v/>
      </c>
      <c r="J416" s="16">
        <f>IF(ISNUMBER(I416),IF(I416&gt;=Settings!$B$7,"VOL SPIKE",""),"")</f>
        <v/>
      </c>
    </row>
    <row r="417">
      <c r="A417" s="16">
        <f>'Rest Universe'!A418</f>
        <v/>
      </c>
      <c r="B417" s="22">
        <f>IFERROR(_xll.BDP(A417,"NAME"),"")</f>
        <v/>
      </c>
      <c r="C417" s="22">
        <f>IFERROR(_xll.BDP(A417,"EQY_SH_OUT"),NA())</f>
        <v/>
      </c>
      <c r="D417" s="22">
        <f>IFERROR(_xll.BDH(A417,"EQY_SH_OUT","-"&amp;Settings!$B$4&amp;"AW","-"&amp;Settings!$B$4&amp;"AW","days=a","fill=p"),NA())</f>
        <v/>
      </c>
      <c r="E417" s="23">
        <f>IFERROR((C417-D417)/D417,NA())</f>
        <v/>
      </c>
      <c r="F417" s="16">
        <f>IF(ISNUMBER(E417),IF(E417&lt;=Settings!$B$6,"BUYBACK ACTIVITY",""),"")</f>
        <v/>
      </c>
      <c r="G417" s="22">
        <f>IFERROR(_xll.BDP(A417,"VOLUME_AVG_30D"),NA())</f>
        <v/>
      </c>
      <c r="H417" s="22">
        <f>IFERROR(_xll.BDP(A417,"PX_VOLUME"),NA())</f>
        <v/>
      </c>
      <c r="I417" s="16">
        <f>IFERROR(H417/G417,NA())</f>
        <v/>
      </c>
      <c r="J417" s="16">
        <f>IF(ISNUMBER(I417),IF(I417&gt;=Settings!$B$7,"VOL SPIKE",""),"")</f>
        <v/>
      </c>
    </row>
    <row r="418">
      <c r="A418" s="16">
        <f>'Rest Universe'!A419</f>
        <v/>
      </c>
      <c r="B418" s="22">
        <f>IFERROR(_xll.BDP(A418,"NAME"),"")</f>
        <v/>
      </c>
      <c r="C418" s="22">
        <f>IFERROR(_xll.BDP(A418,"EQY_SH_OUT"),NA())</f>
        <v/>
      </c>
      <c r="D418" s="22">
        <f>IFERROR(_xll.BDH(A418,"EQY_SH_OUT","-"&amp;Settings!$B$4&amp;"AW","-"&amp;Settings!$B$4&amp;"AW","days=a","fill=p"),NA())</f>
        <v/>
      </c>
      <c r="E418" s="23">
        <f>IFERROR((C418-D418)/D418,NA())</f>
        <v/>
      </c>
      <c r="F418" s="16">
        <f>IF(ISNUMBER(E418),IF(E418&lt;=Settings!$B$6,"BUYBACK ACTIVITY",""),"")</f>
        <v/>
      </c>
      <c r="G418" s="22">
        <f>IFERROR(_xll.BDP(A418,"VOLUME_AVG_30D"),NA())</f>
        <v/>
      </c>
      <c r="H418" s="22">
        <f>IFERROR(_xll.BDP(A418,"PX_VOLUME"),NA())</f>
        <v/>
      </c>
      <c r="I418" s="16">
        <f>IFERROR(H418/G418,NA())</f>
        <v/>
      </c>
      <c r="J418" s="16">
        <f>IF(ISNUMBER(I418),IF(I418&gt;=Settings!$B$7,"VOL SPIKE",""),"")</f>
        <v/>
      </c>
    </row>
    <row r="419">
      <c r="A419" s="16">
        <f>'Rest Universe'!A420</f>
        <v/>
      </c>
      <c r="B419" s="22">
        <f>IFERROR(_xll.BDP(A419,"NAME"),"")</f>
        <v/>
      </c>
      <c r="C419" s="22">
        <f>IFERROR(_xll.BDP(A419,"EQY_SH_OUT"),NA())</f>
        <v/>
      </c>
      <c r="D419" s="22">
        <f>IFERROR(_xll.BDH(A419,"EQY_SH_OUT","-"&amp;Settings!$B$4&amp;"AW","-"&amp;Settings!$B$4&amp;"AW","days=a","fill=p"),NA())</f>
        <v/>
      </c>
      <c r="E419" s="23">
        <f>IFERROR((C419-D419)/D419,NA())</f>
        <v/>
      </c>
      <c r="F419" s="16">
        <f>IF(ISNUMBER(E419),IF(E419&lt;=Settings!$B$6,"BUYBACK ACTIVITY",""),"")</f>
        <v/>
      </c>
      <c r="G419" s="22">
        <f>IFERROR(_xll.BDP(A419,"VOLUME_AVG_30D"),NA())</f>
        <v/>
      </c>
      <c r="H419" s="22">
        <f>IFERROR(_xll.BDP(A419,"PX_VOLUME"),NA())</f>
        <v/>
      </c>
      <c r="I419" s="16">
        <f>IFERROR(H419/G419,NA())</f>
        <v/>
      </c>
      <c r="J419" s="16">
        <f>IF(ISNUMBER(I419),IF(I419&gt;=Settings!$B$7,"VOL SPIKE",""),"")</f>
        <v/>
      </c>
    </row>
    <row r="420">
      <c r="A420" s="16">
        <f>'Rest Universe'!A421</f>
        <v/>
      </c>
      <c r="B420" s="22">
        <f>IFERROR(_xll.BDP(A420,"NAME"),"")</f>
        <v/>
      </c>
      <c r="C420" s="22">
        <f>IFERROR(_xll.BDP(A420,"EQY_SH_OUT"),NA())</f>
        <v/>
      </c>
      <c r="D420" s="22">
        <f>IFERROR(_xll.BDH(A420,"EQY_SH_OUT","-"&amp;Settings!$B$4&amp;"AW","-"&amp;Settings!$B$4&amp;"AW","days=a","fill=p"),NA())</f>
        <v/>
      </c>
      <c r="E420" s="23">
        <f>IFERROR((C420-D420)/D420,NA())</f>
        <v/>
      </c>
      <c r="F420" s="16">
        <f>IF(ISNUMBER(E420),IF(E420&lt;=Settings!$B$6,"BUYBACK ACTIVITY",""),"")</f>
        <v/>
      </c>
      <c r="G420" s="22">
        <f>IFERROR(_xll.BDP(A420,"VOLUME_AVG_30D"),NA())</f>
        <v/>
      </c>
      <c r="H420" s="22">
        <f>IFERROR(_xll.BDP(A420,"PX_VOLUME"),NA())</f>
        <v/>
      </c>
      <c r="I420" s="16">
        <f>IFERROR(H420/G420,NA())</f>
        <v/>
      </c>
      <c r="J420" s="16">
        <f>IF(ISNUMBER(I420),IF(I420&gt;=Settings!$B$7,"VOL SPIKE",""),"")</f>
        <v/>
      </c>
    </row>
    <row r="421">
      <c r="A421" s="16">
        <f>'Rest Universe'!A422</f>
        <v/>
      </c>
      <c r="B421" s="22">
        <f>IFERROR(_xll.BDP(A421,"NAME"),"")</f>
        <v/>
      </c>
      <c r="C421" s="22">
        <f>IFERROR(_xll.BDP(A421,"EQY_SH_OUT"),NA())</f>
        <v/>
      </c>
      <c r="D421" s="22">
        <f>IFERROR(_xll.BDH(A421,"EQY_SH_OUT","-"&amp;Settings!$B$4&amp;"AW","-"&amp;Settings!$B$4&amp;"AW","days=a","fill=p"),NA())</f>
        <v/>
      </c>
      <c r="E421" s="23">
        <f>IFERROR((C421-D421)/D421,NA())</f>
        <v/>
      </c>
      <c r="F421" s="16">
        <f>IF(ISNUMBER(E421),IF(E421&lt;=Settings!$B$6,"BUYBACK ACTIVITY",""),"")</f>
        <v/>
      </c>
      <c r="G421" s="22">
        <f>IFERROR(_xll.BDP(A421,"VOLUME_AVG_30D"),NA())</f>
        <v/>
      </c>
      <c r="H421" s="22">
        <f>IFERROR(_xll.BDP(A421,"PX_VOLUME"),NA())</f>
        <v/>
      </c>
      <c r="I421" s="16">
        <f>IFERROR(H421/G421,NA())</f>
        <v/>
      </c>
      <c r="J421" s="16">
        <f>IF(ISNUMBER(I421),IF(I421&gt;=Settings!$B$7,"VOL SPIKE",""),"")</f>
        <v/>
      </c>
    </row>
    <row r="422">
      <c r="A422" s="16">
        <f>'Rest Universe'!A423</f>
        <v/>
      </c>
      <c r="B422" s="22">
        <f>IFERROR(_xll.BDP(A422,"NAME"),"")</f>
        <v/>
      </c>
      <c r="C422" s="22">
        <f>IFERROR(_xll.BDP(A422,"EQY_SH_OUT"),NA())</f>
        <v/>
      </c>
      <c r="D422" s="22">
        <f>IFERROR(_xll.BDH(A422,"EQY_SH_OUT","-"&amp;Settings!$B$4&amp;"AW","-"&amp;Settings!$B$4&amp;"AW","days=a","fill=p"),NA())</f>
        <v/>
      </c>
      <c r="E422" s="23">
        <f>IFERROR((C422-D422)/D422,NA())</f>
        <v/>
      </c>
      <c r="F422" s="16">
        <f>IF(ISNUMBER(E422),IF(E422&lt;=Settings!$B$6,"BUYBACK ACTIVITY",""),"")</f>
        <v/>
      </c>
      <c r="G422" s="22">
        <f>IFERROR(_xll.BDP(A422,"VOLUME_AVG_30D"),NA())</f>
        <v/>
      </c>
      <c r="H422" s="22">
        <f>IFERROR(_xll.BDP(A422,"PX_VOLUME"),NA())</f>
        <v/>
      </c>
      <c r="I422" s="16">
        <f>IFERROR(H422/G422,NA())</f>
        <v/>
      </c>
      <c r="J422" s="16">
        <f>IF(ISNUMBER(I422),IF(I422&gt;=Settings!$B$7,"VOL SPIKE",""),"")</f>
        <v/>
      </c>
    </row>
    <row r="423">
      <c r="A423" s="16">
        <f>'Rest Universe'!A424</f>
        <v/>
      </c>
      <c r="B423" s="22">
        <f>IFERROR(_xll.BDP(A423,"NAME"),"")</f>
        <v/>
      </c>
      <c r="C423" s="22">
        <f>IFERROR(_xll.BDP(A423,"EQY_SH_OUT"),NA())</f>
        <v/>
      </c>
      <c r="D423" s="22">
        <f>IFERROR(_xll.BDH(A423,"EQY_SH_OUT","-"&amp;Settings!$B$4&amp;"AW","-"&amp;Settings!$B$4&amp;"AW","days=a","fill=p"),NA())</f>
        <v/>
      </c>
      <c r="E423" s="23">
        <f>IFERROR((C423-D423)/D423,NA())</f>
        <v/>
      </c>
      <c r="F423" s="16">
        <f>IF(ISNUMBER(E423),IF(E423&lt;=Settings!$B$6,"BUYBACK ACTIVITY",""),"")</f>
        <v/>
      </c>
      <c r="G423" s="22">
        <f>IFERROR(_xll.BDP(A423,"VOLUME_AVG_30D"),NA())</f>
        <v/>
      </c>
      <c r="H423" s="22">
        <f>IFERROR(_xll.BDP(A423,"PX_VOLUME"),NA())</f>
        <v/>
      </c>
      <c r="I423" s="16">
        <f>IFERROR(H423/G423,NA())</f>
        <v/>
      </c>
      <c r="J423" s="16">
        <f>IF(ISNUMBER(I423),IF(I423&gt;=Settings!$B$7,"VOL SPIKE",""),"")</f>
        <v/>
      </c>
    </row>
    <row r="424">
      <c r="A424" s="16">
        <f>'Rest Universe'!A425</f>
        <v/>
      </c>
      <c r="B424" s="22">
        <f>IFERROR(_xll.BDP(A424,"NAME"),"")</f>
        <v/>
      </c>
      <c r="C424" s="22">
        <f>IFERROR(_xll.BDP(A424,"EQY_SH_OUT"),NA())</f>
        <v/>
      </c>
      <c r="D424" s="22">
        <f>IFERROR(_xll.BDH(A424,"EQY_SH_OUT","-"&amp;Settings!$B$4&amp;"AW","-"&amp;Settings!$B$4&amp;"AW","days=a","fill=p"),NA())</f>
        <v/>
      </c>
      <c r="E424" s="23">
        <f>IFERROR((C424-D424)/D424,NA())</f>
        <v/>
      </c>
      <c r="F424" s="16">
        <f>IF(ISNUMBER(E424),IF(E424&lt;=Settings!$B$6,"BUYBACK ACTIVITY",""),"")</f>
        <v/>
      </c>
      <c r="G424" s="22">
        <f>IFERROR(_xll.BDP(A424,"VOLUME_AVG_30D"),NA())</f>
        <v/>
      </c>
      <c r="H424" s="22">
        <f>IFERROR(_xll.BDP(A424,"PX_VOLUME"),NA())</f>
        <v/>
      </c>
      <c r="I424" s="16">
        <f>IFERROR(H424/G424,NA())</f>
        <v/>
      </c>
      <c r="J424" s="16">
        <f>IF(ISNUMBER(I424),IF(I424&gt;=Settings!$B$7,"VOL SPIKE",""),"")</f>
        <v/>
      </c>
    </row>
    <row r="425">
      <c r="A425" s="16">
        <f>'Rest Universe'!A426</f>
        <v/>
      </c>
      <c r="B425" s="22">
        <f>IFERROR(_xll.BDP(A425,"NAME"),"")</f>
        <v/>
      </c>
      <c r="C425" s="22">
        <f>IFERROR(_xll.BDP(A425,"EQY_SH_OUT"),NA())</f>
        <v/>
      </c>
      <c r="D425" s="22">
        <f>IFERROR(_xll.BDH(A425,"EQY_SH_OUT","-"&amp;Settings!$B$4&amp;"AW","-"&amp;Settings!$B$4&amp;"AW","days=a","fill=p"),NA())</f>
        <v/>
      </c>
      <c r="E425" s="23">
        <f>IFERROR((C425-D425)/D425,NA())</f>
        <v/>
      </c>
      <c r="F425" s="16">
        <f>IF(ISNUMBER(E425),IF(E425&lt;=Settings!$B$6,"BUYBACK ACTIVITY",""),"")</f>
        <v/>
      </c>
      <c r="G425" s="22">
        <f>IFERROR(_xll.BDP(A425,"VOLUME_AVG_30D"),NA())</f>
        <v/>
      </c>
      <c r="H425" s="22">
        <f>IFERROR(_xll.BDP(A425,"PX_VOLUME"),NA())</f>
        <v/>
      </c>
      <c r="I425" s="16">
        <f>IFERROR(H425/G425,NA())</f>
        <v/>
      </c>
      <c r="J425" s="16">
        <f>IF(ISNUMBER(I425),IF(I425&gt;=Settings!$B$7,"VOL SPIKE",""),"")</f>
        <v/>
      </c>
    </row>
    <row r="426">
      <c r="A426" s="16">
        <f>'Rest Universe'!A427</f>
        <v/>
      </c>
      <c r="B426" s="22">
        <f>IFERROR(_xll.BDP(A426,"NAME"),"")</f>
        <v/>
      </c>
      <c r="C426" s="22">
        <f>IFERROR(_xll.BDP(A426,"EQY_SH_OUT"),NA())</f>
        <v/>
      </c>
      <c r="D426" s="22">
        <f>IFERROR(_xll.BDH(A426,"EQY_SH_OUT","-"&amp;Settings!$B$4&amp;"AW","-"&amp;Settings!$B$4&amp;"AW","days=a","fill=p"),NA())</f>
        <v/>
      </c>
      <c r="E426" s="23">
        <f>IFERROR((C426-D426)/D426,NA())</f>
        <v/>
      </c>
      <c r="F426" s="16">
        <f>IF(ISNUMBER(E426),IF(E426&lt;=Settings!$B$6,"BUYBACK ACTIVITY",""),"")</f>
        <v/>
      </c>
      <c r="G426" s="22">
        <f>IFERROR(_xll.BDP(A426,"VOLUME_AVG_30D"),NA())</f>
        <v/>
      </c>
      <c r="H426" s="22">
        <f>IFERROR(_xll.BDP(A426,"PX_VOLUME"),NA())</f>
        <v/>
      </c>
      <c r="I426" s="16">
        <f>IFERROR(H426/G426,NA())</f>
        <v/>
      </c>
      <c r="J426" s="16">
        <f>IF(ISNUMBER(I426),IF(I426&gt;=Settings!$B$7,"VOL SPIKE",""),"")</f>
        <v/>
      </c>
    </row>
    <row r="427">
      <c r="A427" s="16">
        <f>'Rest Universe'!A428</f>
        <v/>
      </c>
      <c r="B427" s="22">
        <f>IFERROR(_xll.BDP(A427,"NAME"),"")</f>
        <v/>
      </c>
      <c r="C427" s="22">
        <f>IFERROR(_xll.BDP(A427,"EQY_SH_OUT"),NA())</f>
        <v/>
      </c>
      <c r="D427" s="22">
        <f>IFERROR(_xll.BDH(A427,"EQY_SH_OUT","-"&amp;Settings!$B$4&amp;"AW","-"&amp;Settings!$B$4&amp;"AW","days=a","fill=p"),NA())</f>
        <v/>
      </c>
      <c r="E427" s="23">
        <f>IFERROR((C427-D427)/D427,NA())</f>
        <v/>
      </c>
      <c r="F427" s="16">
        <f>IF(ISNUMBER(E427),IF(E427&lt;=Settings!$B$6,"BUYBACK ACTIVITY",""),"")</f>
        <v/>
      </c>
      <c r="G427" s="22">
        <f>IFERROR(_xll.BDP(A427,"VOLUME_AVG_30D"),NA())</f>
        <v/>
      </c>
      <c r="H427" s="22">
        <f>IFERROR(_xll.BDP(A427,"PX_VOLUME"),NA())</f>
        <v/>
      </c>
      <c r="I427" s="16">
        <f>IFERROR(H427/G427,NA())</f>
        <v/>
      </c>
      <c r="J427" s="16">
        <f>IF(ISNUMBER(I427),IF(I427&gt;=Settings!$B$7,"VOL SPIKE",""),"")</f>
        <v/>
      </c>
    </row>
    <row r="428">
      <c r="A428" s="16">
        <f>'Rest Universe'!A429</f>
        <v/>
      </c>
      <c r="B428" s="22">
        <f>IFERROR(_xll.BDP(A428,"NAME"),"")</f>
        <v/>
      </c>
      <c r="C428" s="22">
        <f>IFERROR(_xll.BDP(A428,"EQY_SH_OUT"),NA())</f>
        <v/>
      </c>
      <c r="D428" s="22">
        <f>IFERROR(_xll.BDH(A428,"EQY_SH_OUT","-"&amp;Settings!$B$4&amp;"AW","-"&amp;Settings!$B$4&amp;"AW","days=a","fill=p"),NA())</f>
        <v/>
      </c>
      <c r="E428" s="23">
        <f>IFERROR((C428-D428)/D428,NA())</f>
        <v/>
      </c>
      <c r="F428" s="16">
        <f>IF(ISNUMBER(E428),IF(E428&lt;=Settings!$B$6,"BUYBACK ACTIVITY",""),"")</f>
        <v/>
      </c>
      <c r="G428" s="22">
        <f>IFERROR(_xll.BDP(A428,"VOLUME_AVG_30D"),NA())</f>
        <v/>
      </c>
      <c r="H428" s="22">
        <f>IFERROR(_xll.BDP(A428,"PX_VOLUME"),NA())</f>
        <v/>
      </c>
      <c r="I428" s="16">
        <f>IFERROR(H428/G428,NA())</f>
        <v/>
      </c>
      <c r="J428" s="16">
        <f>IF(ISNUMBER(I428),IF(I428&gt;=Settings!$B$7,"VOL SPIKE",""),"")</f>
        <v/>
      </c>
    </row>
    <row r="429">
      <c r="A429" s="16">
        <f>'Rest Universe'!A430</f>
        <v/>
      </c>
      <c r="B429" s="22">
        <f>IFERROR(_xll.BDP(A429,"NAME"),"")</f>
        <v/>
      </c>
      <c r="C429" s="22">
        <f>IFERROR(_xll.BDP(A429,"EQY_SH_OUT"),NA())</f>
        <v/>
      </c>
      <c r="D429" s="22">
        <f>IFERROR(_xll.BDH(A429,"EQY_SH_OUT","-"&amp;Settings!$B$4&amp;"AW","-"&amp;Settings!$B$4&amp;"AW","days=a","fill=p"),NA())</f>
        <v/>
      </c>
      <c r="E429" s="23">
        <f>IFERROR((C429-D429)/D429,NA())</f>
        <v/>
      </c>
      <c r="F429" s="16">
        <f>IF(ISNUMBER(E429),IF(E429&lt;=Settings!$B$6,"BUYBACK ACTIVITY",""),"")</f>
        <v/>
      </c>
      <c r="G429" s="22">
        <f>IFERROR(_xll.BDP(A429,"VOLUME_AVG_30D"),NA())</f>
        <v/>
      </c>
      <c r="H429" s="22">
        <f>IFERROR(_xll.BDP(A429,"PX_VOLUME"),NA())</f>
        <v/>
      </c>
      <c r="I429" s="16">
        <f>IFERROR(H429/G429,NA())</f>
        <v/>
      </c>
      <c r="J429" s="16">
        <f>IF(ISNUMBER(I429),IF(I429&gt;=Settings!$B$7,"VOL SPIKE",""),"")</f>
        <v/>
      </c>
    </row>
    <row r="430">
      <c r="A430" s="16">
        <f>'Rest Universe'!A431</f>
        <v/>
      </c>
      <c r="B430" s="22">
        <f>IFERROR(_xll.BDP(A430,"NAME"),"")</f>
        <v/>
      </c>
      <c r="C430" s="22">
        <f>IFERROR(_xll.BDP(A430,"EQY_SH_OUT"),NA())</f>
        <v/>
      </c>
      <c r="D430" s="22">
        <f>IFERROR(_xll.BDH(A430,"EQY_SH_OUT","-"&amp;Settings!$B$4&amp;"AW","-"&amp;Settings!$B$4&amp;"AW","days=a","fill=p"),NA())</f>
        <v/>
      </c>
      <c r="E430" s="23">
        <f>IFERROR((C430-D430)/D430,NA())</f>
        <v/>
      </c>
      <c r="F430" s="16">
        <f>IF(ISNUMBER(E430),IF(E430&lt;=Settings!$B$6,"BUYBACK ACTIVITY",""),"")</f>
        <v/>
      </c>
      <c r="G430" s="22">
        <f>IFERROR(_xll.BDP(A430,"VOLUME_AVG_30D"),NA())</f>
        <v/>
      </c>
      <c r="H430" s="22">
        <f>IFERROR(_xll.BDP(A430,"PX_VOLUME"),NA())</f>
        <v/>
      </c>
      <c r="I430" s="16">
        <f>IFERROR(H430/G430,NA())</f>
        <v/>
      </c>
      <c r="J430" s="16">
        <f>IF(ISNUMBER(I430),IF(I430&gt;=Settings!$B$7,"VOL SPIKE",""),"")</f>
        <v/>
      </c>
    </row>
    <row r="431">
      <c r="A431" s="16">
        <f>'Rest Universe'!A432</f>
        <v/>
      </c>
      <c r="B431" s="22">
        <f>IFERROR(_xll.BDP(A431,"NAME"),"")</f>
        <v/>
      </c>
      <c r="C431" s="22">
        <f>IFERROR(_xll.BDP(A431,"EQY_SH_OUT"),NA())</f>
        <v/>
      </c>
      <c r="D431" s="22">
        <f>IFERROR(_xll.BDH(A431,"EQY_SH_OUT","-"&amp;Settings!$B$4&amp;"AW","-"&amp;Settings!$B$4&amp;"AW","days=a","fill=p"),NA())</f>
        <v/>
      </c>
      <c r="E431" s="23">
        <f>IFERROR((C431-D431)/D431,NA())</f>
        <v/>
      </c>
      <c r="F431" s="16">
        <f>IF(ISNUMBER(E431),IF(E431&lt;=Settings!$B$6,"BUYBACK ACTIVITY",""),"")</f>
        <v/>
      </c>
      <c r="G431" s="22">
        <f>IFERROR(_xll.BDP(A431,"VOLUME_AVG_30D"),NA())</f>
        <v/>
      </c>
      <c r="H431" s="22">
        <f>IFERROR(_xll.BDP(A431,"PX_VOLUME"),NA())</f>
        <v/>
      </c>
      <c r="I431" s="16">
        <f>IFERROR(H431/G431,NA())</f>
        <v/>
      </c>
      <c r="J431" s="16">
        <f>IF(ISNUMBER(I431),IF(I431&gt;=Settings!$B$7,"VOL SPIKE",""),"")</f>
        <v/>
      </c>
    </row>
    <row r="432">
      <c r="A432" s="16">
        <f>'Rest Universe'!A433</f>
        <v/>
      </c>
      <c r="B432" s="22">
        <f>IFERROR(_xll.BDP(A432,"NAME"),"")</f>
        <v/>
      </c>
      <c r="C432" s="22">
        <f>IFERROR(_xll.BDP(A432,"EQY_SH_OUT"),NA())</f>
        <v/>
      </c>
      <c r="D432" s="22">
        <f>IFERROR(_xll.BDH(A432,"EQY_SH_OUT","-"&amp;Settings!$B$4&amp;"AW","-"&amp;Settings!$B$4&amp;"AW","days=a","fill=p"),NA())</f>
        <v/>
      </c>
      <c r="E432" s="23">
        <f>IFERROR((C432-D432)/D432,NA())</f>
        <v/>
      </c>
      <c r="F432" s="16">
        <f>IF(ISNUMBER(E432),IF(E432&lt;=Settings!$B$6,"BUYBACK ACTIVITY",""),"")</f>
        <v/>
      </c>
      <c r="G432" s="22">
        <f>IFERROR(_xll.BDP(A432,"VOLUME_AVG_30D"),NA())</f>
        <v/>
      </c>
      <c r="H432" s="22">
        <f>IFERROR(_xll.BDP(A432,"PX_VOLUME"),NA())</f>
        <v/>
      </c>
      <c r="I432" s="16">
        <f>IFERROR(H432/G432,NA())</f>
        <v/>
      </c>
      <c r="J432" s="16">
        <f>IF(ISNUMBER(I432),IF(I432&gt;=Settings!$B$7,"VOL SPIKE",""),"")</f>
        <v/>
      </c>
    </row>
    <row r="433">
      <c r="A433" s="16">
        <f>'Rest Universe'!A434</f>
        <v/>
      </c>
      <c r="B433" s="22">
        <f>IFERROR(_xll.BDP(A433,"NAME"),"")</f>
        <v/>
      </c>
      <c r="C433" s="22">
        <f>IFERROR(_xll.BDP(A433,"EQY_SH_OUT"),NA())</f>
        <v/>
      </c>
      <c r="D433" s="22">
        <f>IFERROR(_xll.BDH(A433,"EQY_SH_OUT","-"&amp;Settings!$B$4&amp;"AW","-"&amp;Settings!$B$4&amp;"AW","days=a","fill=p"),NA())</f>
        <v/>
      </c>
      <c r="E433" s="23">
        <f>IFERROR((C433-D433)/D433,NA())</f>
        <v/>
      </c>
      <c r="F433" s="16">
        <f>IF(ISNUMBER(E433),IF(E433&lt;=Settings!$B$6,"BUYBACK ACTIVITY",""),"")</f>
        <v/>
      </c>
      <c r="G433" s="22">
        <f>IFERROR(_xll.BDP(A433,"VOLUME_AVG_30D"),NA())</f>
        <v/>
      </c>
      <c r="H433" s="22">
        <f>IFERROR(_xll.BDP(A433,"PX_VOLUME"),NA())</f>
        <v/>
      </c>
      <c r="I433" s="16">
        <f>IFERROR(H433/G433,NA())</f>
        <v/>
      </c>
      <c r="J433" s="16">
        <f>IF(ISNUMBER(I433),IF(I433&gt;=Settings!$B$7,"VOL SPIKE",""),"")</f>
        <v/>
      </c>
    </row>
    <row r="434">
      <c r="A434" s="16">
        <f>'Rest Universe'!A435</f>
        <v/>
      </c>
      <c r="B434" s="22">
        <f>IFERROR(_xll.BDP(A434,"NAME"),"")</f>
        <v/>
      </c>
      <c r="C434" s="22">
        <f>IFERROR(_xll.BDP(A434,"EQY_SH_OUT"),NA())</f>
        <v/>
      </c>
      <c r="D434" s="22">
        <f>IFERROR(_xll.BDH(A434,"EQY_SH_OUT","-"&amp;Settings!$B$4&amp;"AW","-"&amp;Settings!$B$4&amp;"AW","days=a","fill=p"),NA())</f>
        <v/>
      </c>
      <c r="E434" s="23">
        <f>IFERROR((C434-D434)/D434,NA())</f>
        <v/>
      </c>
      <c r="F434" s="16">
        <f>IF(ISNUMBER(E434),IF(E434&lt;=Settings!$B$6,"BUYBACK ACTIVITY",""),"")</f>
        <v/>
      </c>
      <c r="G434" s="22">
        <f>IFERROR(_xll.BDP(A434,"VOLUME_AVG_30D"),NA())</f>
        <v/>
      </c>
      <c r="H434" s="22">
        <f>IFERROR(_xll.BDP(A434,"PX_VOLUME"),NA())</f>
        <v/>
      </c>
      <c r="I434" s="16">
        <f>IFERROR(H434/G434,NA())</f>
        <v/>
      </c>
      <c r="J434" s="16">
        <f>IF(ISNUMBER(I434),IF(I434&gt;=Settings!$B$7,"VOL SPIKE",""),"")</f>
        <v/>
      </c>
    </row>
    <row r="435">
      <c r="A435" s="16">
        <f>'Rest Universe'!A436</f>
        <v/>
      </c>
      <c r="B435" s="22">
        <f>IFERROR(_xll.BDP(A435,"NAME"),"")</f>
        <v/>
      </c>
      <c r="C435" s="22">
        <f>IFERROR(_xll.BDP(A435,"EQY_SH_OUT"),NA())</f>
        <v/>
      </c>
      <c r="D435" s="22">
        <f>IFERROR(_xll.BDH(A435,"EQY_SH_OUT","-"&amp;Settings!$B$4&amp;"AW","-"&amp;Settings!$B$4&amp;"AW","days=a","fill=p"),NA())</f>
        <v/>
      </c>
      <c r="E435" s="23">
        <f>IFERROR((C435-D435)/D435,NA())</f>
        <v/>
      </c>
      <c r="F435" s="16">
        <f>IF(ISNUMBER(E435),IF(E435&lt;=Settings!$B$6,"BUYBACK ACTIVITY",""),"")</f>
        <v/>
      </c>
      <c r="G435" s="22">
        <f>IFERROR(_xll.BDP(A435,"VOLUME_AVG_30D"),NA())</f>
        <v/>
      </c>
      <c r="H435" s="22">
        <f>IFERROR(_xll.BDP(A435,"PX_VOLUME"),NA())</f>
        <v/>
      </c>
      <c r="I435" s="16">
        <f>IFERROR(H435/G435,NA())</f>
        <v/>
      </c>
      <c r="J435" s="16">
        <f>IF(ISNUMBER(I435),IF(I435&gt;=Settings!$B$7,"VOL SPIKE",""),"")</f>
        <v/>
      </c>
    </row>
    <row r="436">
      <c r="A436" s="16">
        <f>'Rest Universe'!A437</f>
        <v/>
      </c>
      <c r="B436" s="22">
        <f>IFERROR(_xll.BDP(A436,"NAME"),"")</f>
        <v/>
      </c>
      <c r="C436" s="22">
        <f>IFERROR(_xll.BDP(A436,"EQY_SH_OUT"),NA())</f>
        <v/>
      </c>
      <c r="D436" s="22">
        <f>IFERROR(_xll.BDH(A436,"EQY_SH_OUT","-"&amp;Settings!$B$4&amp;"AW","-"&amp;Settings!$B$4&amp;"AW","days=a","fill=p"),NA())</f>
        <v/>
      </c>
      <c r="E436" s="23">
        <f>IFERROR((C436-D436)/D436,NA())</f>
        <v/>
      </c>
      <c r="F436" s="16">
        <f>IF(ISNUMBER(E436),IF(E436&lt;=Settings!$B$6,"BUYBACK ACTIVITY",""),"")</f>
        <v/>
      </c>
      <c r="G436" s="22">
        <f>IFERROR(_xll.BDP(A436,"VOLUME_AVG_30D"),NA())</f>
        <v/>
      </c>
      <c r="H436" s="22">
        <f>IFERROR(_xll.BDP(A436,"PX_VOLUME"),NA())</f>
        <v/>
      </c>
      <c r="I436" s="16">
        <f>IFERROR(H436/G436,NA())</f>
        <v/>
      </c>
      <c r="J436" s="16">
        <f>IF(ISNUMBER(I436),IF(I436&gt;=Settings!$B$7,"VOL SPIKE",""),"")</f>
        <v/>
      </c>
    </row>
    <row r="437">
      <c r="A437" s="16">
        <f>'Rest Universe'!A438</f>
        <v/>
      </c>
      <c r="B437" s="22">
        <f>IFERROR(_xll.BDP(A437,"NAME"),"")</f>
        <v/>
      </c>
      <c r="C437" s="22">
        <f>IFERROR(_xll.BDP(A437,"EQY_SH_OUT"),NA())</f>
        <v/>
      </c>
      <c r="D437" s="22">
        <f>IFERROR(_xll.BDH(A437,"EQY_SH_OUT","-"&amp;Settings!$B$4&amp;"AW","-"&amp;Settings!$B$4&amp;"AW","days=a","fill=p"),NA())</f>
        <v/>
      </c>
      <c r="E437" s="23">
        <f>IFERROR((C437-D437)/D437,NA())</f>
        <v/>
      </c>
      <c r="F437" s="16">
        <f>IF(ISNUMBER(E437),IF(E437&lt;=Settings!$B$6,"BUYBACK ACTIVITY",""),"")</f>
        <v/>
      </c>
      <c r="G437" s="22">
        <f>IFERROR(_xll.BDP(A437,"VOLUME_AVG_30D"),NA())</f>
        <v/>
      </c>
      <c r="H437" s="22">
        <f>IFERROR(_xll.BDP(A437,"PX_VOLUME"),NA())</f>
        <v/>
      </c>
      <c r="I437" s="16">
        <f>IFERROR(H437/G437,NA())</f>
        <v/>
      </c>
      <c r="J437" s="16">
        <f>IF(ISNUMBER(I437),IF(I437&gt;=Settings!$B$7,"VOL SPIKE",""),"")</f>
        <v/>
      </c>
    </row>
    <row r="438">
      <c r="A438" s="16">
        <f>'Rest Universe'!A439</f>
        <v/>
      </c>
      <c r="B438" s="22">
        <f>IFERROR(_xll.BDP(A438,"NAME"),"")</f>
        <v/>
      </c>
      <c r="C438" s="22">
        <f>IFERROR(_xll.BDP(A438,"EQY_SH_OUT"),NA())</f>
        <v/>
      </c>
      <c r="D438" s="22">
        <f>IFERROR(_xll.BDH(A438,"EQY_SH_OUT","-"&amp;Settings!$B$4&amp;"AW","-"&amp;Settings!$B$4&amp;"AW","days=a","fill=p"),NA())</f>
        <v/>
      </c>
      <c r="E438" s="23">
        <f>IFERROR((C438-D438)/D438,NA())</f>
        <v/>
      </c>
      <c r="F438" s="16">
        <f>IF(ISNUMBER(E438),IF(E438&lt;=Settings!$B$6,"BUYBACK ACTIVITY",""),"")</f>
        <v/>
      </c>
      <c r="G438" s="22">
        <f>IFERROR(_xll.BDP(A438,"VOLUME_AVG_30D"),NA())</f>
        <v/>
      </c>
      <c r="H438" s="22">
        <f>IFERROR(_xll.BDP(A438,"PX_VOLUME"),NA())</f>
        <v/>
      </c>
      <c r="I438" s="16">
        <f>IFERROR(H438/G438,NA())</f>
        <v/>
      </c>
      <c r="J438" s="16">
        <f>IF(ISNUMBER(I438),IF(I438&gt;=Settings!$B$7,"VOL SPIKE",""),"")</f>
        <v/>
      </c>
    </row>
    <row r="439">
      <c r="A439" s="16">
        <f>'Rest Universe'!A440</f>
        <v/>
      </c>
      <c r="B439" s="22">
        <f>IFERROR(_xll.BDP(A439,"NAME"),"")</f>
        <v/>
      </c>
      <c r="C439" s="22">
        <f>IFERROR(_xll.BDP(A439,"EQY_SH_OUT"),NA())</f>
        <v/>
      </c>
      <c r="D439" s="22">
        <f>IFERROR(_xll.BDH(A439,"EQY_SH_OUT","-"&amp;Settings!$B$4&amp;"AW","-"&amp;Settings!$B$4&amp;"AW","days=a","fill=p"),NA())</f>
        <v/>
      </c>
      <c r="E439" s="23">
        <f>IFERROR((C439-D439)/D439,NA())</f>
        <v/>
      </c>
      <c r="F439" s="16">
        <f>IF(ISNUMBER(E439),IF(E439&lt;=Settings!$B$6,"BUYBACK ACTIVITY",""),"")</f>
        <v/>
      </c>
      <c r="G439" s="22">
        <f>IFERROR(_xll.BDP(A439,"VOLUME_AVG_30D"),NA())</f>
        <v/>
      </c>
      <c r="H439" s="22">
        <f>IFERROR(_xll.BDP(A439,"PX_VOLUME"),NA())</f>
        <v/>
      </c>
      <c r="I439" s="16">
        <f>IFERROR(H439/G439,NA())</f>
        <v/>
      </c>
      <c r="J439" s="16">
        <f>IF(ISNUMBER(I439),IF(I439&gt;=Settings!$B$7,"VOL SPIKE",""),"")</f>
        <v/>
      </c>
    </row>
    <row r="440">
      <c r="A440" s="16">
        <f>'Rest Universe'!A441</f>
        <v/>
      </c>
      <c r="B440" s="22">
        <f>IFERROR(_xll.BDP(A440,"NAME"),"")</f>
        <v/>
      </c>
      <c r="C440" s="22">
        <f>IFERROR(_xll.BDP(A440,"EQY_SH_OUT"),NA())</f>
        <v/>
      </c>
      <c r="D440" s="22">
        <f>IFERROR(_xll.BDH(A440,"EQY_SH_OUT","-"&amp;Settings!$B$4&amp;"AW","-"&amp;Settings!$B$4&amp;"AW","days=a","fill=p"),NA())</f>
        <v/>
      </c>
      <c r="E440" s="23">
        <f>IFERROR((C440-D440)/D440,NA())</f>
        <v/>
      </c>
      <c r="F440" s="16">
        <f>IF(ISNUMBER(E440),IF(E440&lt;=Settings!$B$6,"BUYBACK ACTIVITY",""),"")</f>
        <v/>
      </c>
      <c r="G440" s="22">
        <f>IFERROR(_xll.BDP(A440,"VOLUME_AVG_30D"),NA())</f>
        <v/>
      </c>
      <c r="H440" s="22">
        <f>IFERROR(_xll.BDP(A440,"PX_VOLUME"),NA())</f>
        <v/>
      </c>
      <c r="I440" s="16">
        <f>IFERROR(H440/G440,NA())</f>
        <v/>
      </c>
      <c r="J440" s="16">
        <f>IF(ISNUMBER(I440),IF(I440&gt;=Settings!$B$7,"VOL SPIKE",""),"")</f>
        <v/>
      </c>
    </row>
    <row r="441">
      <c r="A441" s="16">
        <f>'Rest Universe'!A442</f>
        <v/>
      </c>
      <c r="B441" s="22">
        <f>IFERROR(_xll.BDP(A441,"NAME"),"")</f>
        <v/>
      </c>
      <c r="C441" s="22">
        <f>IFERROR(_xll.BDP(A441,"EQY_SH_OUT"),NA())</f>
        <v/>
      </c>
      <c r="D441" s="22">
        <f>IFERROR(_xll.BDH(A441,"EQY_SH_OUT","-"&amp;Settings!$B$4&amp;"AW","-"&amp;Settings!$B$4&amp;"AW","days=a","fill=p"),NA())</f>
        <v/>
      </c>
      <c r="E441" s="23">
        <f>IFERROR((C441-D441)/D441,NA())</f>
        <v/>
      </c>
      <c r="F441" s="16">
        <f>IF(ISNUMBER(E441),IF(E441&lt;=Settings!$B$6,"BUYBACK ACTIVITY",""),"")</f>
        <v/>
      </c>
      <c r="G441" s="22">
        <f>IFERROR(_xll.BDP(A441,"VOLUME_AVG_30D"),NA())</f>
        <v/>
      </c>
      <c r="H441" s="22">
        <f>IFERROR(_xll.BDP(A441,"PX_VOLUME"),NA())</f>
        <v/>
      </c>
      <c r="I441" s="16">
        <f>IFERROR(H441/G441,NA())</f>
        <v/>
      </c>
      <c r="J441" s="16">
        <f>IF(ISNUMBER(I441),IF(I441&gt;=Settings!$B$7,"VOL SPIKE",""),"")</f>
        <v/>
      </c>
    </row>
    <row r="442">
      <c r="A442" s="16">
        <f>'Rest Universe'!A443</f>
        <v/>
      </c>
      <c r="B442" s="22">
        <f>IFERROR(_xll.BDP(A442,"NAME"),"")</f>
        <v/>
      </c>
      <c r="C442" s="22">
        <f>IFERROR(_xll.BDP(A442,"EQY_SH_OUT"),NA())</f>
        <v/>
      </c>
      <c r="D442" s="22">
        <f>IFERROR(_xll.BDH(A442,"EQY_SH_OUT","-"&amp;Settings!$B$4&amp;"AW","-"&amp;Settings!$B$4&amp;"AW","days=a","fill=p"),NA())</f>
        <v/>
      </c>
      <c r="E442" s="23">
        <f>IFERROR((C442-D442)/D442,NA())</f>
        <v/>
      </c>
      <c r="F442" s="16">
        <f>IF(ISNUMBER(E442),IF(E442&lt;=Settings!$B$6,"BUYBACK ACTIVITY",""),"")</f>
        <v/>
      </c>
      <c r="G442" s="22">
        <f>IFERROR(_xll.BDP(A442,"VOLUME_AVG_30D"),NA())</f>
        <v/>
      </c>
      <c r="H442" s="22">
        <f>IFERROR(_xll.BDP(A442,"PX_VOLUME"),NA())</f>
        <v/>
      </c>
      <c r="I442" s="16">
        <f>IFERROR(H442/G442,NA())</f>
        <v/>
      </c>
      <c r="J442" s="16">
        <f>IF(ISNUMBER(I442),IF(I442&gt;=Settings!$B$7,"VOL SPIKE",""),"")</f>
        <v/>
      </c>
    </row>
    <row r="443">
      <c r="A443" s="16">
        <f>'Rest Universe'!A444</f>
        <v/>
      </c>
      <c r="B443" s="22">
        <f>IFERROR(_xll.BDP(A443,"NAME"),"")</f>
        <v/>
      </c>
      <c r="C443" s="22">
        <f>IFERROR(_xll.BDP(A443,"EQY_SH_OUT"),NA())</f>
        <v/>
      </c>
      <c r="D443" s="22">
        <f>IFERROR(_xll.BDH(A443,"EQY_SH_OUT","-"&amp;Settings!$B$4&amp;"AW","-"&amp;Settings!$B$4&amp;"AW","days=a","fill=p"),NA())</f>
        <v/>
      </c>
      <c r="E443" s="23">
        <f>IFERROR((C443-D443)/D443,NA())</f>
        <v/>
      </c>
      <c r="F443" s="16">
        <f>IF(ISNUMBER(E443),IF(E443&lt;=Settings!$B$6,"BUYBACK ACTIVITY",""),"")</f>
        <v/>
      </c>
      <c r="G443" s="22">
        <f>IFERROR(_xll.BDP(A443,"VOLUME_AVG_30D"),NA())</f>
        <v/>
      </c>
      <c r="H443" s="22">
        <f>IFERROR(_xll.BDP(A443,"PX_VOLUME"),NA())</f>
        <v/>
      </c>
      <c r="I443" s="16">
        <f>IFERROR(H443/G443,NA())</f>
        <v/>
      </c>
      <c r="J443" s="16">
        <f>IF(ISNUMBER(I443),IF(I443&gt;=Settings!$B$7,"VOL SPIKE",""),"")</f>
        <v/>
      </c>
    </row>
    <row r="444">
      <c r="A444" s="16">
        <f>'Rest Universe'!A445</f>
        <v/>
      </c>
      <c r="B444" s="22">
        <f>IFERROR(_xll.BDP(A444,"NAME"),"")</f>
        <v/>
      </c>
      <c r="C444" s="22">
        <f>IFERROR(_xll.BDP(A444,"EQY_SH_OUT"),NA())</f>
        <v/>
      </c>
      <c r="D444" s="22">
        <f>IFERROR(_xll.BDH(A444,"EQY_SH_OUT","-"&amp;Settings!$B$4&amp;"AW","-"&amp;Settings!$B$4&amp;"AW","days=a","fill=p"),NA())</f>
        <v/>
      </c>
      <c r="E444" s="23">
        <f>IFERROR((C444-D444)/D444,NA())</f>
        <v/>
      </c>
      <c r="F444" s="16">
        <f>IF(ISNUMBER(E444),IF(E444&lt;=Settings!$B$6,"BUYBACK ACTIVITY",""),"")</f>
        <v/>
      </c>
      <c r="G444" s="22">
        <f>IFERROR(_xll.BDP(A444,"VOLUME_AVG_30D"),NA())</f>
        <v/>
      </c>
      <c r="H444" s="22">
        <f>IFERROR(_xll.BDP(A444,"PX_VOLUME"),NA())</f>
        <v/>
      </c>
      <c r="I444" s="16">
        <f>IFERROR(H444/G444,NA())</f>
        <v/>
      </c>
      <c r="J444" s="16">
        <f>IF(ISNUMBER(I444),IF(I444&gt;=Settings!$B$7,"VOL SPIKE",""),"")</f>
        <v/>
      </c>
    </row>
    <row r="445">
      <c r="A445" s="16">
        <f>'Rest Universe'!A446</f>
        <v/>
      </c>
      <c r="B445" s="22">
        <f>IFERROR(_xll.BDP(A445,"NAME"),"")</f>
        <v/>
      </c>
      <c r="C445" s="22">
        <f>IFERROR(_xll.BDP(A445,"EQY_SH_OUT"),NA())</f>
        <v/>
      </c>
      <c r="D445" s="22">
        <f>IFERROR(_xll.BDH(A445,"EQY_SH_OUT","-"&amp;Settings!$B$4&amp;"AW","-"&amp;Settings!$B$4&amp;"AW","days=a","fill=p"),NA())</f>
        <v/>
      </c>
      <c r="E445" s="23">
        <f>IFERROR((C445-D445)/D445,NA())</f>
        <v/>
      </c>
      <c r="F445" s="16">
        <f>IF(ISNUMBER(E445),IF(E445&lt;=Settings!$B$6,"BUYBACK ACTIVITY",""),"")</f>
        <v/>
      </c>
      <c r="G445" s="22">
        <f>IFERROR(_xll.BDP(A445,"VOLUME_AVG_30D"),NA())</f>
        <v/>
      </c>
      <c r="H445" s="22">
        <f>IFERROR(_xll.BDP(A445,"PX_VOLUME"),NA())</f>
        <v/>
      </c>
      <c r="I445" s="16">
        <f>IFERROR(H445/G445,NA())</f>
        <v/>
      </c>
      <c r="J445" s="16">
        <f>IF(ISNUMBER(I445),IF(I445&gt;=Settings!$B$7,"VOL SPIKE",""),"")</f>
        <v/>
      </c>
    </row>
    <row r="446">
      <c r="A446" s="16">
        <f>'Rest Universe'!A447</f>
        <v/>
      </c>
      <c r="B446" s="22">
        <f>IFERROR(_xll.BDP(A446,"NAME"),"")</f>
        <v/>
      </c>
      <c r="C446" s="22">
        <f>IFERROR(_xll.BDP(A446,"EQY_SH_OUT"),NA())</f>
        <v/>
      </c>
      <c r="D446" s="22">
        <f>IFERROR(_xll.BDH(A446,"EQY_SH_OUT","-"&amp;Settings!$B$4&amp;"AW","-"&amp;Settings!$B$4&amp;"AW","days=a","fill=p"),NA())</f>
        <v/>
      </c>
      <c r="E446" s="23">
        <f>IFERROR((C446-D446)/D446,NA())</f>
        <v/>
      </c>
      <c r="F446" s="16">
        <f>IF(ISNUMBER(E446),IF(E446&lt;=Settings!$B$6,"BUYBACK ACTIVITY",""),"")</f>
        <v/>
      </c>
      <c r="G446" s="22">
        <f>IFERROR(_xll.BDP(A446,"VOLUME_AVG_30D"),NA())</f>
        <v/>
      </c>
      <c r="H446" s="22">
        <f>IFERROR(_xll.BDP(A446,"PX_VOLUME"),NA())</f>
        <v/>
      </c>
      <c r="I446" s="16">
        <f>IFERROR(H446/G446,NA())</f>
        <v/>
      </c>
      <c r="J446" s="16">
        <f>IF(ISNUMBER(I446),IF(I446&gt;=Settings!$B$7,"VOL SPIKE",""),"")</f>
        <v/>
      </c>
    </row>
    <row r="447">
      <c r="A447" s="16">
        <f>'Rest Universe'!A448</f>
        <v/>
      </c>
      <c r="B447" s="22">
        <f>IFERROR(_xll.BDP(A447,"NAME"),"")</f>
        <v/>
      </c>
      <c r="C447" s="22">
        <f>IFERROR(_xll.BDP(A447,"EQY_SH_OUT"),NA())</f>
        <v/>
      </c>
      <c r="D447" s="22">
        <f>IFERROR(_xll.BDH(A447,"EQY_SH_OUT","-"&amp;Settings!$B$4&amp;"AW","-"&amp;Settings!$B$4&amp;"AW","days=a","fill=p"),NA())</f>
        <v/>
      </c>
      <c r="E447" s="23">
        <f>IFERROR((C447-D447)/D447,NA())</f>
        <v/>
      </c>
      <c r="F447" s="16">
        <f>IF(ISNUMBER(E447),IF(E447&lt;=Settings!$B$6,"BUYBACK ACTIVITY",""),"")</f>
        <v/>
      </c>
      <c r="G447" s="22">
        <f>IFERROR(_xll.BDP(A447,"VOLUME_AVG_30D"),NA())</f>
        <v/>
      </c>
      <c r="H447" s="22">
        <f>IFERROR(_xll.BDP(A447,"PX_VOLUME"),NA())</f>
        <v/>
      </c>
      <c r="I447" s="16">
        <f>IFERROR(H447/G447,NA())</f>
        <v/>
      </c>
      <c r="J447" s="16">
        <f>IF(ISNUMBER(I447),IF(I447&gt;=Settings!$B$7,"VOL SPIKE",""),"")</f>
        <v/>
      </c>
    </row>
    <row r="448">
      <c r="A448" s="16">
        <f>'Rest Universe'!A449</f>
        <v/>
      </c>
      <c r="B448" s="22">
        <f>IFERROR(_xll.BDP(A448,"NAME"),"")</f>
        <v/>
      </c>
      <c r="C448" s="22">
        <f>IFERROR(_xll.BDP(A448,"EQY_SH_OUT"),NA())</f>
        <v/>
      </c>
      <c r="D448" s="22">
        <f>IFERROR(_xll.BDH(A448,"EQY_SH_OUT","-"&amp;Settings!$B$4&amp;"AW","-"&amp;Settings!$B$4&amp;"AW","days=a","fill=p"),NA())</f>
        <v/>
      </c>
      <c r="E448" s="23">
        <f>IFERROR((C448-D448)/D448,NA())</f>
        <v/>
      </c>
      <c r="F448" s="16">
        <f>IF(ISNUMBER(E448),IF(E448&lt;=Settings!$B$6,"BUYBACK ACTIVITY",""),"")</f>
        <v/>
      </c>
      <c r="G448" s="22">
        <f>IFERROR(_xll.BDP(A448,"VOLUME_AVG_30D"),NA())</f>
        <v/>
      </c>
      <c r="H448" s="22">
        <f>IFERROR(_xll.BDP(A448,"PX_VOLUME"),NA())</f>
        <v/>
      </c>
      <c r="I448" s="16">
        <f>IFERROR(H448/G448,NA())</f>
        <v/>
      </c>
      <c r="J448" s="16">
        <f>IF(ISNUMBER(I448),IF(I448&gt;=Settings!$B$7,"VOL SPIKE",""),"")</f>
        <v/>
      </c>
    </row>
    <row r="449">
      <c r="A449" s="16">
        <f>'Rest Universe'!A450</f>
        <v/>
      </c>
      <c r="B449" s="22">
        <f>IFERROR(_xll.BDP(A449,"NAME"),"")</f>
        <v/>
      </c>
      <c r="C449" s="22">
        <f>IFERROR(_xll.BDP(A449,"EQY_SH_OUT"),NA())</f>
        <v/>
      </c>
      <c r="D449" s="22">
        <f>IFERROR(_xll.BDH(A449,"EQY_SH_OUT","-"&amp;Settings!$B$4&amp;"AW","-"&amp;Settings!$B$4&amp;"AW","days=a","fill=p"),NA())</f>
        <v/>
      </c>
      <c r="E449" s="23">
        <f>IFERROR((C449-D449)/D449,NA())</f>
        <v/>
      </c>
      <c r="F449" s="16">
        <f>IF(ISNUMBER(E449),IF(E449&lt;=Settings!$B$6,"BUYBACK ACTIVITY",""),"")</f>
        <v/>
      </c>
      <c r="G449" s="22">
        <f>IFERROR(_xll.BDP(A449,"VOLUME_AVG_30D"),NA())</f>
        <v/>
      </c>
      <c r="H449" s="22">
        <f>IFERROR(_xll.BDP(A449,"PX_VOLUME"),NA())</f>
        <v/>
      </c>
      <c r="I449" s="16">
        <f>IFERROR(H449/G449,NA())</f>
        <v/>
      </c>
      <c r="J449" s="16">
        <f>IF(ISNUMBER(I449),IF(I449&gt;=Settings!$B$7,"VOL SPIKE",""),"")</f>
        <v/>
      </c>
    </row>
    <row r="450">
      <c r="A450" s="16">
        <f>'Rest Universe'!A451</f>
        <v/>
      </c>
      <c r="B450" s="22">
        <f>IFERROR(_xll.BDP(A450,"NAME"),"")</f>
        <v/>
      </c>
      <c r="C450" s="22">
        <f>IFERROR(_xll.BDP(A450,"EQY_SH_OUT"),NA())</f>
        <v/>
      </c>
      <c r="D450" s="22">
        <f>IFERROR(_xll.BDH(A450,"EQY_SH_OUT","-"&amp;Settings!$B$4&amp;"AW","-"&amp;Settings!$B$4&amp;"AW","days=a","fill=p"),NA())</f>
        <v/>
      </c>
      <c r="E450" s="23">
        <f>IFERROR((C450-D450)/D450,NA())</f>
        <v/>
      </c>
      <c r="F450" s="16">
        <f>IF(ISNUMBER(E450),IF(E450&lt;=Settings!$B$6,"BUYBACK ACTIVITY",""),"")</f>
        <v/>
      </c>
      <c r="G450" s="22">
        <f>IFERROR(_xll.BDP(A450,"VOLUME_AVG_30D"),NA())</f>
        <v/>
      </c>
      <c r="H450" s="22">
        <f>IFERROR(_xll.BDP(A450,"PX_VOLUME"),NA())</f>
        <v/>
      </c>
      <c r="I450" s="16">
        <f>IFERROR(H450/G450,NA())</f>
        <v/>
      </c>
      <c r="J450" s="16">
        <f>IF(ISNUMBER(I450),IF(I450&gt;=Settings!$B$7,"VOL SPIKE",""),"")</f>
        <v/>
      </c>
    </row>
    <row r="451">
      <c r="A451" s="16">
        <f>'Rest Universe'!A452</f>
        <v/>
      </c>
      <c r="B451" s="22">
        <f>IFERROR(_xll.BDP(A451,"NAME"),"")</f>
        <v/>
      </c>
      <c r="C451" s="22">
        <f>IFERROR(_xll.BDP(A451,"EQY_SH_OUT"),NA())</f>
        <v/>
      </c>
      <c r="D451" s="22">
        <f>IFERROR(_xll.BDH(A451,"EQY_SH_OUT","-"&amp;Settings!$B$4&amp;"AW","-"&amp;Settings!$B$4&amp;"AW","days=a","fill=p"),NA())</f>
        <v/>
      </c>
      <c r="E451" s="23">
        <f>IFERROR((C451-D451)/D451,NA())</f>
        <v/>
      </c>
      <c r="F451" s="16">
        <f>IF(ISNUMBER(E451),IF(E451&lt;=Settings!$B$6,"BUYBACK ACTIVITY",""),"")</f>
        <v/>
      </c>
      <c r="G451" s="22">
        <f>IFERROR(_xll.BDP(A451,"VOLUME_AVG_30D"),NA())</f>
        <v/>
      </c>
      <c r="H451" s="22">
        <f>IFERROR(_xll.BDP(A451,"PX_VOLUME"),NA())</f>
        <v/>
      </c>
      <c r="I451" s="16">
        <f>IFERROR(H451/G451,NA())</f>
        <v/>
      </c>
      <c r="J451" s="16">
        <f>IF(ISNUMBER(I451),IF(I451&gt;=Settings!$B$7,"VOL SPIKE",""),"")</f>
        <v/>
      </c>
    </row>
    <row r="452">
      <c r="A452" s="16">
        <f>'Rest Universe'!A453</f>
        <v/>
      </c>
      <c r="B452" s="22">
        <f>IFERROR(_xll.BDP(A452,"NAME"),"")</f>
        <v/>
      </c>
      <c r="C452" s="22">
        <f>IFERROR(_xll.BDP(A452,"EQY_SH_OUT"),NA())</f>
        <v/>
      </c>
      <c r="D452" s="22">
        <f>IFERROR(_xll.BDH(A452,"EQY_SH_OUT","-"&amp;Settings!$B$4&amp;"AW","-"&amp;Settings!$B$4&amp;"AW","days=a","fill=p"),NA())</f>
        <v/>
      </c>
      <c r="E452" s="23">
        <f>IFERROR((C452-D452)/D452,NA())</f>
        <v/>
      </c>
      <c r="F452" s="16">
        <f>IF(ISNUMBER(E452),IF(E452&lt;=Settings!$B$6,"BUYBACK ACTIVITY",""),"")</f>
        <v/>
      </c>
      <c r="G452" s="22">
        <f>IFERROR(_xll.BDP(A452,"VOLUME_AVG_30D"),NA())</f>
        <v/>
      </c>
      <c r="H452" s="22">
        <f>IFERROR(_xll.BDP(A452,"PX_VOLUME"),NA())</f>
        <v/>
      </c>
      <c r="I452" s="16">
        <f>IFERROR(H452/G452,NA())</f>
        <v/>
      </c>
      <c r="J452" s="16">
        <f>IF(ISNUMBER(I452),IF(I452&gt;=Settings!$B$7,"VOL SPIKE",""),"")</f>
        <v/>
      </c>
    </row>
    <row r="453">
      <c r="A453" s="16">
        <f>'Rest Universe'!A454</f>
        <v/>
      </c>
      <c r="B453" s="22">
        <f>IFERROR(_xll.BDP(A453,"NAME"),"")</f>
        <v/>
      </c>
      <c r="C453" s="22">
        <f>IFERROR(_xll.BDP(A453,"EQY_SH_OUT"),NA())</f>
        <v/>
      </c>
      <c r="D453" s="22">
        <f>IFERROR(_xll.BDH(A453,"EQY_SH_OUT","-"&amp;Settings!$B$4&amp;"AW","-"&amp;Settings!$B$4&amp;"AW","days=a","fill=p"),NA())</f>
        <v/>
      </c>
      <c r="E453" s="23">
        <f>IFERROR((C453-D453)/D453,NA())</f>
        <v/>
      </c>
      <c r="F453" s="16">
        <f>IF(ISNUMBER(E453),IF(E453&lt;=Settings!$B$6,"BUYBACK ACTIVITY",""),"")</f>
        <v/>
      </c>
      <c r="G453" s="22">
        <f>IFERROR(_xll.BDP(A453,"VOLUME_AVG_30D"),NA())</f>
        <v/>
      </c>
      <c r="H453" s="22">
        <f>IFERROR(_xll.BDP(A453,"PX_VOLUME"),NA())</f>
        <v/>
      </c>
      <c r="I453" s="16">
        <f>IFERROR(H453/G453,NA())</f>
        <v/>
      </c>
      <c r="J453" s="16">
        <f>IF(ISNUMBER(I453),IF(I453&gt;=Settings!$B$7,"VOL SPIKE",""),"")</f>
        <v/>
      </c>
    </row>
    <row r="454">
      <c r="A454" s="16">
        <f>'Rest Universe'!A455</f>
        <v/>
      </c>
      <c r="B454" s="22">
        <f>IFERROR(_xll.BDP(A454,"NAME"),"")</f>
        <v/>
      </c>
      <c r="C454" s="22">
        <f>IFERROR(_xll.BDP(A454,"EQY_SH_OUT"),NA())</f>
        <v/>
      </c>
      <c r="D454" s="22">
        <f>IFERROR(_xll.BDH(A454,"EQY_SH_OUT","-"&amp;Settings!$B$4&amp;"AW","-"&amp;Settings!$B$4&amp;"AW","days=a","fill=p"),NA())</f>
        <v/>
      </c>
      <c r="E454" s="23">
        <f>IFERROR((C454-D454)/D454,NA())</f>
        <v/>
      </c>
      <c r="F454" s="16">
        <f>IF(ISNUMBER(E454),IF(E454&lt;=Settings!$B$6,"BUYBACK ACTIVITY",""),"")</f>
        <v/>
      </c>
      <c r="G454" s="22">
        <f>IFERROR(_xll.BDP(A454,"VOLUME_AVG_30D"),NA())</f>
        <v/>
      </c>
      <c r="H454" s="22">
        <f>IFERROR(_xll.BDP(A454,"PX_VOLUME"),NA())</f>
        <v/>
      </c>
      <c r="I454" s="16">
        <f>IFERROR(H454/G454,NA())</f>
        <v/>
      </c>
      <c r="J454" s="16">
        <f>IF(ISNUMBER(I454),IF(I454&gt;=Settings!$B$7,"VOL SPIKE",""),"")</f>
        <v/>
      </c>
    </row>
    <row r="455">
      <c r="A455" s="16">
        <f>'Rest Universe'!A456</f>
        <v/>
      </c>
      <c r="B455" s="22">
        <f>IFERROR(_xll.BDP(A455,"NAME"),"")</f>
        <v/>
      </c>
      <c r="C455" s="22">
        <f>IFERROR(_xll.BDP(A455,"EQY_SH_OUT"),NA())</f>
        <v/>
      </c>
      <c r="D455" s="22">
        <f>IFERROR(_xll.BDH(A455,"EQY_SH_OUT","-"&amp;Settings!$B$4&amp;"AW","-"&amp;Settings!$B$4&amp;"AW","days=a","fill=p"),NA())</f>
        <v/>
      </c>
      <c r="E455" s="23">
        <f>IFERROR((C455-D455)/D455,NA())</f>
        <v/>
      </c>
      <c r="F455" s="16">
        <f>IF(ISNUMBER(E455),IF(E455&lt;=Settings!$B$6,"BUYBACK ACTIVITY",""),"")</f>
        <v/>
      </c>
      <c r="G455" s="22">
        <f>IFERROR(_xll.BDP(A455,"VOLUME_AVG_30D"),NA())</f>
        <v/>
      </c>
      <c r="H455" s="22">
        <f>IFERROR(_xll.BDP(A455,"PX_VOLUME"),NA())</f>
        <v/>
      </c>
      <c r="I455" s="16">
        <f>IFERROR(H455/G455,NA())</f>
        <v/>
      </c>
      <c r="J455" s="16">
        <f>IF(ISNUMBER(I455),IF(I455&gt;=Settings!$B$7,"VOL SPIKE",""),"")</f>
        <v/>
      </c>
    </row>
    <row r="456">
      <c r="A456" s="16">
        <f>'Rest Universe'!A457</f>
        <v/>
      </c>
      <c r="B456" s="22">
        <f>IFERROR(_xll.BDP(A456,"NAME"),"")</f>
        <v/>
      </c>
      <c r="C456" s="22">
        <f>IFERROR(_xll.BDP(A456,"EQY_SH_OUT"),NA())</f>
        <v/>
      </c>
      <c r="D456" s="22">
        <f>IFERROR(_xll.BDH(A456,"EQY_SH_OUT","-"&amp;Settings!$B$4&amp;"AW","-"&amp;Settings!$B$4&amp;"AW","days=a","fill=p"),NA())</f>
        <v/>
      </c>
      <c r="E456" s="23">
        <f>IFERROR((C456-D456)/D456,NA())</f>
        <v/>
      </c>
      <c r="F456" s="16">
        <f>IF(ISNUMBER(E456),IF(E456&lt;=Settings!$B$6,"BUYBACK ACTIVITY",""),"")</f>
        <v/>
      </c>
      <c r="G456" s="22">
        <f>IFERROR(_xll.BDP(A456,"VOLUME_AVG_30D"),NA())</f>
        <v/>
      </c>
      <c r="H456" s="22">
        <f>IFERROR(_xll.BDP(A456,"PX_VOLUME"),NA())</f>
        <v/>
      </c>
      <c r="I456" s="16">
        <f>IFERROR(H456/G456,NA())</f>
        <v/>
      </c>
      <c r="J456" s="16">
        <f>IF(ISNUMBER(I456),IF(I456&gt;=Settings!$B$7,"VOL SPIKE",""),"")</f>
        <v/>
      </c>
    </row>
    <row r="457">
      <c r="A457" s="16">
        <f>'Rest Universe'!A458</f>
        <v/>
      </c>
      <c r="B457" s="22">
        <f>IFERROR(_xll.BDP(A457,"NAME"),"")</f>
        <v/>
      </c>
      <c r="C457" s="22">
        <f>IFERROR(_xll.BDP(A457,"EQY_SH_OUT"),NA())</f>
        <v/>
      </c>
      <c r="D457" s="22">
        <f>IFERROR(_xll.BDH(A457,"EQY_SH_OUT","-"&amp;Settings!$B$4&amp;"AW","-"&amp;Settings!$B$4&amp;"AW","days=a","fill=p"),NA())</f>
        <v/>
      </c>
      <c r="E457" s="23">
        <f>IFERROR((C457-D457)/D457,NA())</f>
        <v/>
      </c>
      <c r="F457" s="16">
        <f>IF(ISNUMBER(E457),IF(E457&lt;=Settings!$B$6,"BUYBACK ACTIVITY",""),"")</f>
        <v/>
      </c>
      <c r="G457" s="22">
        <f>IFERROR(_xll.BDP(A457,"VOLUME_AVG_30D"),NA())</f>
        <v/>
      </c>
      <c r="H457" s="22">
        <f>IFERROR(_xll.BDP(A457,"PX_VOLUME"),NA())</f>
        <v/>
      </c>
      <c r="I457" s="16">
        <f>IFERROR(H457/G457,NA())</f>
        <v/>
      </c>
      <c r="J457" s="16">
        <f>IF(ISNUMBER(I457),IF(I457&gt;=Settings!$B$7,"VOL SPIKE",""),"")</f>
        <v/>
      </c>
    </row>
    <row r="458">
      <c r="A458" s="16">
        <f>'Rest Universe'!A459</f>
        <v/>
      </c>
      <c r="B458" s="22">
        <f>IFERROR(_xll.BDP(A458,"NAME"),"")</f>
        <v/>
      </c>
      <c r="C458" s="22">
        <f>IFERROR(_xll.BDP(A458,"EQY_SH_OUT"),NA())</f>
        <v/>
      </c>
      <c r="D458" s="22">
        <f>IFERROR(_xll.BDH(A458,"EQY_SH_OUT","-"&amp;Settings!$B$4&amp;"AW","-"&amp;Settings!$B$4&amp;"AW","days=a","fill=p"),NA())</f>
        <v/>
      </c>
      <c r="E458" s="23">
        <f>IFERROR((C458-D458)/D458,NA())</f>
        <v/>
      </c>
      <c r="F458" s="16">
        <f>IF(ISNUMBER(E458),IF(E458&lt;=Settings!$B$6,"BUYBACK ACTIVITY",""),"")</f>
        <v/>
      </c>
      <c r="G458" s="22">
        <f>IFERROR(_xll.BDP(A458,"VOLUME_AVG_30D"),NA())</f>
        <v/>
      </c>
      <c r="H458" s="22">
        <f>IFERROR(_xll.BDP(A458,"PX_VOLUME"),NA())</f>
        <v/>
      </c>
      <c r="I458" s="16">
        <f>IFERROR(H458/G458,NA())</f>
        <v/>
      </c>
      <c r="J458" s="16">
        <f>IF(ISNUMBER(I458),IF(I458&gt;=Settings!$B$7,"VOL SPIKE",""),"")</f>
        <v/>
      </c>
    </row>
    <row r="459">
      <c r="A459" s="16">
        <f>'Rest Universe'!A460</f>
        <v/>
      </c>
      <c r="B459" s="22">
        <f>IFERROR(_xll.BDP(A459,"NAME"),"")</f>
        <v/>
      </c>
      <c r="C459" s="22">
        <f>IFERROR(_xll.BDP(A459,"EQY_SH_OUT"),NA())</f>
        <v/>
      </c>
      <c r="D459" s="22">
        <f>IFERROR(_xll.BDH(A459,"EQY_SH_OUT","-"&amp;Settings!$B$4&amp;"AW","-"&amp;Settings!$B$4&amp;"AW","days=a","fill=p"),NA())</f>
        <v/>
      </c>
      <c r="E459" s="23">
        <f>IFERROR((C459-D459)/D459,NA())</f>
        <v/>
      </c>
      <c r="F459" s="16">
        <f>IF(ISNUMBER(E459),IF(E459&lt;=Settings!$B$6,"BUYBACK ACTIVITY",""),"")</f>
        <v/>
      </c>
      <c r="G459" s="22">
        <f>IFERROR(_xll.BDP(A459,"VOLUME_AVG_30D"),NA())</f>
        <v/>
      </c>
      <c r="H459" s="22">
        <f>IFERROR(_xll.BDP(A459,"PX_VOLUME"),NA())</f>
        <v/>
      </c>
      <c r="I459" s="16">
        <f>IFERROR(H459/G459,NA())</f>
        <v/>
      </c>
      <c r="J459" s="16">
        <f>IF(ISNUMBER(I459),IF(I459&gt;=Settings!$B$7,"VOL SPIKE",""),"")</f>
        <v/>
      </c>
    </row>
    <row r="460">
      <c r="A460" s="16">
        <f>'Rest Universe'!A461</f>
        <v/>
      </c>
      <c r="B460" s="22">
        <f>IFERROR(_xll.BDP(A460,"NAME"),"")</f>
        <v/>
      </c>
      <c r="C460" s="22">
        <f>IFERROR(_xll.BDP(A460,"EQY_SH_OUT"),NA())</f>
        <v/>
      </c>
      <c r="D460" s="22">
        <f>IFERROR(_xll.BDH(A460,"EQY_SH_OUT","-"&amp;Settings!$B$4&amp;"AW","-"&amp;Settings!$B$4&amp;"AW","days=a","fill=p"),NA())</f>
        <v/>
      </c>
      <c r="E460" s="23">
        <f>IFERROR((C460-D460)/D460,NA())</f>
        <v/>
      </c>
      <c r="F460" s="16">
        <f>IF(ISNUMBER(E460),IF(E460&lt;=Settings!$B$6,"BUYBACK ACTIVITY",""),"")</f>
        <v/>
      </c>
      <c r="G460" s="22">
        <f>IFERROR(_xll.BDP(A460,"VOLUME_AVG_30D"),NA())</f>
        <v/>
      </c>
      <c r="H460" s="22">
        <f>IFERROR(_xll.BDP(A460,"PX_VOLUME"),NA())</f>
        <v/>
      </c>
      <c r="I460" s="16">
        <f>IFERROR(H460/G460,NA())</f>
        <v/>
      </c>
      <c r="J460" s="16">
        <f>IF(ISNUMBER(I460),IF(I460&gt;=Settings!$B$7,"VOL SPIKE",""),"")</f>
        <v/>
      </c>
    </row>
    <row r="461">
      <c r="A461" s="16">
        <f>'Rest Universe'!A462</f>
        <v/>
      </c>
      <c r="B461" s="22">
        <f>IFERROR(_xll.BDP(A461,"NAME"),"")</f>
        <v/>
      </c>
      <c r="C461" s="22">
        <f>IFERROR(_xll.BDP(A461,"EQY_SH_OUT"),NA())</f>
        <v/>
      </c>
      <c r="D461" s="22">
        <f>IFERROR(_xll.BDH(A461,"EQY_SH_OUT","-"&amp;Settings!$B$4&amp;"AW","-"&amp;Settings!$B$4&amp;"AW","days=a","fill=p"),NA())</f>
        <v/>
      </c>
      <c r="E461" s="23">
        <f>IFERROR((C461-D461)/D461,NA())</f>
        <v/>
      </c>
      <c r="F461" s="16">
        <f>IF(ISNUMBER(E461),IF(E461&lt;=Settings!$B$6,"BUYBACK ACTIVITY",""),"")</f>
        <v/>
      </c>
      <c r="G461" s="22">
        <f>IFERROR(_xll.BDP(A461,"VOLUME_AVG_30D"),NA())</f>
        <v/>
      </c>
      <c r="H461" s="22">
        <f>IFERROR(_xll.BDP(A461,"PX_VOLUME"),NA())</f>
        <v/>
      </c>
      <c r="I461" s="16">
        <f>IFERROR(H461/G461,NA())</f>
        <v/>
      </c>
      <c r="J461" s="16">
        <f>IF(ISNUMBER(I461),IF(I461&gt;=Settings!$B$7,"VOL SPIKE",""),"")</f>
        <v/>
      </c>
    </row>
    <row r="462">
      <c r="A462" s="16">
        <f>'Rest Universe'!A463</f>
        <v/>
      </c>
      <c r="B462" s="22">
        <f>IFERROR(_xll.BDP(A462,"NAME"),"")</f>
        <v/>
      </c>
      <c r="C462" s="22">
        <f>IFERROR(_xll.BDP(A462,"EQY_SH_OUT"),NA())</f>
        <v/>
      </c>
      <c r="D462" s="22">
        <f>IFERROR(_xll.BDH(A462,"EQY_SH_OUT","-"&amp;Settings!$B$4&amp;"AW","-"&amp;Settings!$B$4&amp;"AW","days=a","fill=p"),NA())</f>
        <v/>
      </c>
      <c r="E462" s="23">
        <f>IFERROR((C462-D462)/D462,NA())</f>
        <v/>
      </c>
      <c r="F462" s="16">
        <f>IF(ISNUMBER(E462),IF(E462&lt;=Settings!$B$6,"BUYBACK ACTIVITY",""),"")</f>
        <v/>
      </c>
      <c r="G462" s="22">
        <f>IFERROR(_xll.BDP(A462,"VOLUME_AVG_30D"),NA())</f>
        <v/>
      </c>
      <c r="H462" s="22">
        <f>IFERROR(_xll.BDP(A462,"PX_VOLUME"),NA())</f>
        <v/>
      </c>
      <c r="I462" s="16">
        <f>IFERROR(H462/G462,NA())</f>
        <v/>
      </c>
      <c r="J462" s="16">
        <f>IF(ISNUMBER(I462),IF(I462&gt;=Settings!$B$7,"VOL SPIKE",""),"")</f>
        <v/>
      </c>
    </row>
    <row r="463">
      <c r="A463" s="16">
        <f>'Rest Universe'!A464</f>
        <v/>
      </c>
      <c r="B463" s="22">
        <f>IFERROR(_xll.BDP(A463,"NAME"),"")</f>
        <v/>
      </c>
      <c r="C463" s="22">
        <f>IFERROR(_xll.BDP(A463,"EQY_SH_OUT"),NA())</f>
        <v/>
      </c>
      <c r="D463" s="22">
        <f>IFERROR(_xll.BDH(A463,"EQY_SH_OUT","-"&amp;Settings!$B$4&amp;"AW","-"&amp;Settings!$B$4&amp;"AW","days=a","fill=p"),NA())</f>
        <v/>
      </c>
      <c r="E463" s="23">
        <f>IFERROR((C463-D463)/D463,NA())</f>
        <v/>
      </c>
      <c r="F463" s="16">
        <f>IF(ISNUMBER(E463),IF(E463&lt;=Settings!$B$6,"BUYBACK ACTIVITY",""),"")</f>
        <v/>
      </c>
      <c r="G463" s="22">
        <f>IFERROR(_xll.BDP(A463,"VOLUME_AVG_30D"),NA())</f>
        <v/>
      </c>
      <c r="H463" s="22">
        <f>IFERROR(_xll.BDP(A463,"PX_VOLUME"),NA())</f>
        <v/>
      </c>
      <c r="I463" s="16">
        <f>IFERROR(H463/G463,NA())</f>
        <v/>
      </c>
      <c r="J463" s="16">
        <f>IF(ISNUMBER(I463),IF(I463&gt;=Settings!$B$7,"VOL SPIKE",""),"")</f>
        <v/>
      </c>
    </row>
    <row r="464">
      <c r="A464" s="16">
        <f>'Rest Universe'!A465</f>
        <v/>
      </c>
      <c r="B464" s="22">
        <f>IFERROR(_xll.BDP(A464,"NAME"),"")</f>
        <v/>
      </c>
      <c r="C464" s="22">
        <f>IFERROR(_xll.BDP(A464,"EQY_SH_OUT"),NA())</f>
        <v/>
      </c>
      <c r="D464" s="22">
        <f>IFERROR(_xll.BDH(A464,"EQY_SH_OUT","-"&amp;Settings!$B$4&amp;"AW","-"&amp;Settings!$B$4&amp;"AW","days=a","fill=p"),NA())</f>
        <v/>
      </c>
      <c r="E464" s="23">
        <f>IFERROR((C464-D464)/D464,NA())</f>
        <v/>
      </c>
      <c r="F464" s="16">
        <f>IF(ISNUMBER(E464),IF(E464&lt;=Settings!$B$6,"BUYBACK ACTIVITY",""),"")</f>
        <v/>
      </c>
      <c r="G464" s="22">
        <f>IFERROR(_xll.BDP(A464,"VOLUME_AVG_30D"),NA())</f>
        <v/>
      </c>
      <c r="H464" s="22">
        <f>IFERROR(_xll.BDP(A464,"PX_VOLUME"),NA())</f>
        <v/>
      </c>
      <c r="I464" s="16">
        <f>IFERROR(H464/G464,NA())</f>
        <v/>
      </c>
      <c r="J464" s="16">
        <f>IF(ISNUMBER(I464),IF(I464&gt;=Settings!$B$7,"VOL SPIKE",""),"")</f>
        <v/>
      </c>
    </row>
    <row r="465">
      <c r="A465" s="16">
        <f>'Rest Universe'!A466</f>
        <v/>
      </c>
      <c r="B465" s="22">
        <f>IFERROR(_xll.BDP(A465,"NAME"),"")</f>
        <v/>
      </c>
      <c r="C465" s="22">
        <f>IFERROR(_xll.BDP(A465,"EQY_SH_OUT"),NA())</f>
        <v/>
      </c>
      <c r="D465" s="22">
        <f>IFERROR(_xll.BDH(A465,"EQY_SH_OUT","-"&amp;Settings!$B$4&amp;"AW","-"&amp;Settings!$B$4&amp;"AW","days=a","fill=p"),NA())</f>
        <v/>
      </c>
      <c r="E465" s="23">
        <f>IFERROR((C465-D465)/D465,NA())</f>
        <v/>
      </c>
      <c r="F465" s="16">
        <f>IF(ISNUMBER(E465),IF(E465&lt;=Settings!$B$6,"BUYBACK ACTIVITY",""),"")</f>
        <v/>
      </c>
      <c r="G465" s="22">
        <f>IFERROR(_xll.BDP(A465,"VOLUME_AVG_30D"),NA())</f>
        <v/>
      </c>
      <c r="H465" s="22">
        <f>IFERROR(_xll.BDP(A465,"PX_VOLUME"),NA())</f>
        <v/>
      </c>
      <c r="I465" s="16">
        <f>IFERROR(H465/G465,NA())</f>
        <v/>
      </c>
      <c r="J465" s="16">
        <f>IF(ISNUMBER(I465),IF(I465&gt;=Settings!$B$7,"VOL SPIKE",""),"")</f>
        <v/>
      </c>
    </row>
    <row r="466">
      <c r="A466" s="16">
        <f>'Rest Universe'!A467</f>
        <v/>
      </c>
      <c r="B466" s="22">
        <f>IFERROR(_xll.BDP(A466,"NAME"),"")</f>
        <v/>
      </c>
      <c r="C466" s="22">
        <f>IFERROR(_xll.BDP(A466,"EQY_SH_OUT"),NA())</f>
        <v/>
      </c>
      <c r="D466" s="22">
        <f>IFERROR(_xll.BDH(A466,"EQY_SH_OUT","-"&amp;Settings!$B$4&amp;"AW","-"&amp;Settings!$B$4&amp;"AW","days=a","fill=p"),NA())</f>
        <v/>
      </c>
      <c r="E466" s="23">
        <f>IFERROR((C466-D466)/D466,NA())</f>
        <v/>
      </c>
      <c r="F466" s="16">
        <f>IF(ISNUMBER(E466),IF(E466&lt;=Settings!$B$6,"BUYBACK ACTIVITY",""),"")</f>
        <v/>
      </c>
      <c r="G466" s="22">
        <f>IFERROR(_xll.BDP(A466,"VOLUME_AVG_30D"),NA())</f>
        <v/>
      </c>
      <c r="H466" s="22">
        <f>IFERROR(_xll.BDP(A466,"PX_VOLUME"),NA())</f>
        <v/>
      </c>
      <c r="I466" s="16">
        <f>IFERROR(H466/G466,NA())</f>
        <v/>
      </c>
      <c r="J466" s="16">
        <f>IF(ISNUMBER(I466),IF(I466&gt;=Settings!$B$7,"VOL SPIKE",""),"")</f>
        <v/>
      </c>
    </row>
    <row r="467">
      <c r="A467" s="16">
        <f>'Rest Universe'!A468</f>
        <v/>
      </c>
      <c r="B467" s="22">
        <f>IFERROR(_xll.BDP(A467,"NAME"),"")</f>
        <v/>
      </c>
      <c r="C467" s="22">
        <f>IFERROR(_xll.BDP(A467,"EQY_SH_OUT"),NA())</f>
        <v/>
      </c>
      <c r="D467" s="22">
        <f>IFERROR(_xll.BDH(A467,"EQY_SH_OUT","-"&amp;Settings!$B$4&amp;"AW","-"&amp;Settings!$B$4&amp;"AW","days=a","fill=p"),NA())</f>
        <v/>
      </c>
      <c r="E467" s="23">
        <f>IFERROR((C467-D467)/D467,NA())</f>
        <v/>
      </c>
      <c r="F467" s="16">
        <f>IF(ISNUMBER(E467),IF(E467&lt;=Settings!$B$6,"BUYBACK ACTIVITY",""),"")</f>
        <v/>
      </c>
      <c r="G467" s="22">
        <f>IFERROR(_xll.BDP(A467,"VOLUME_AVG_30D"),NA())</f>
        <v/>
      </c>
      <c r="H467" s="22">
        <f>IFERROR(_xll.BDP(A467,"PX_VOLUME"),NA())</f>
        <v/>
      </c>
      <c r="I467" s="16">
        <f>IFERROR(H467/G467,NA())</f>
        <v/>
      </c>
      <c r="J467" s="16">
        <f>IF(ISNUMBER(I467),IF(I467&gt;=Settings!$B$7,"VOL SPIKE",""),"")</f>
        <v/>
      </c>
    </row>
    <row r="468">
      <c r="A468" s="16">
        <f>'Rest Universe'!A469</f>
        <v/>
      </c>
      <c r="B468" s="22">
        <f>IFERROR(_xll.BDP(A468,"NAME"),"")</f>
        <v/>
      </c>
      <c r="C468" s="22">
        <f>IFERROR(_xll.BDP(A468,"EQY_SH_OUT"),NA())</f>
        <v/>
      </c>
      <c r="D468" s="22">
        <f>IFERROR(_xll.BDH(A468,"EQY_SH_OUT","-"&amp;Settings!$B$4&amp;"AW","-"&amp;Settings!$B$4&amp;"AW","days=a","fill=p"),NA())</f>
        <v/>
      </c>
      <c r="E468" s="23">
        <f>IFERROR((C468-D468)/D468,NA())</f>
        <v/>
      </c>
      <c r="F468" s="16">
        <f>IF(ISNUMBER(E468),IF(E468&lt;=Settings!$B$6,"BUYBACK ACTIVITY",""),"")</f>
        <v/>
      </c>
      <c r="G468" s="22">
        <f>IFERROR(_xll.BDP(A468,"VOLUME_AVG_30D"),NA())</f>
        <v/>
      </c>
      <c r="H468" s="22">
        <f>IFERROR(_xll.BDP(A468,"PX_VOLUME"),NA())</f>
        <v/>
      </c>
      <c r="I468" s="16">
        <f>IFERROR(H468/G468,NA())</f>
        <v/>
      </c>
      <c r="J468" s="16">
        <f>IF(ISNUMBER(I468),IF(I468&gt;=Settings!$B$7,"VOL SPIKE",""),"")</f>
        <v/>
      </c>
    </row>
    <row r="469">
      <c r="A469" s="16">
        <f>'Rest Universe'!A470</f>
        <v/>
      </c>
      <c r="B469" s="22">
        <f>IFERROR(_xll.BDP(A469,"NAME"),"")</f>
        <v/>
      </c>
      <c r="C469" s="22">
        <f>IFERROR(_xll.BDP(A469,"EQY_SH_OUT"),NA())</f>
        <v/>
      </c>
      <c r="D469" s="22">
        <f>IFERROR(_xll.BDH(A469,"EQY_SH_OUT","-"&amp;Settings!$B$4&amp;"AW","-"&amp;Settings!$B$4&amp;"AW","days=a","fill=p"),NA())</f>
        <v/>
      </c>
      <c r="E469" s="23">
        <f>IFERROR((C469-D469)/D469,NA())</f>
        <v/>
      </c>
      <c r="F469" s="16">
        <f>IF(ISNUMBER(E469),IF(E469&lt;=Settings!$B$6,"BUYBACK ACTIVITY",""),"")</f>
        <v/>
      </c>
      <c r="G469" s="22">
        <f>IFERROR(_xll.BDP(A469,"VOLUME_AVG_30D"),NA())</f>
        <v/>
      </c>
      <c r="H469" s="22">
        <f>IFERROR(_xll.BDP(A469,"PX_VOLUME"),NA())</f>
        <v/>
      </c>
      <c r="I469" s="16">
        <f>IFERROR(H469/G469,NA())</f>
        <v/>
      </c>
      <c r="J469" s="16">
        <f>IF(ISNUMBER(I469),IF(I469&gt;=Settings!$B$7,"VOL SPIKE",""),"")</f>
        <v/>
      </c>
    </row>
    <row r="470">
      <c r="A470" s="16">
        <f>'Rest Universe'!A471</f>
        <v/>
      </c>
      <c r="B470" s="22">
        <f>IFERROR(_xll.BDP(A470,"NAME"),"")</f>
        <v/>
      </c>
      <c r="C470" s="22">
        <f>IFERROR(_xll.BDP(A470,"EQY_SH_OUT"),NA())</f>
        <v/>
      </c>
      <c r="D470" s="22">
        <f>IFERROR(_xll.BDH(A470,"EQY_SH_OUT","-"&amp;Settings!$B$4&amp;"AW","-"&amp;Settings!$B$4&amp;"AW","days=a","fill=p"),NA())</f>
        <v/>
      </c>
      <c r="E470" s="23">
        <f>IFERROR((C470-D470)/D470,NA())</f>
        <v/>
      </c>
      <c r="F470" s="16">
        <f>IF(ISNUMBER(E470),IF(E470&lt;=Settings!$B$6,"BUYBACK ACTIVITY",""),"")</f>
        <v/>
      </c>
      <c r="G470" s="22">
        <f>IFERROR(_xll.BDP(A470,"VOLUME_AVG_30D"),NA())</f>
        <v/>
      </c>
      <c r="H470" s="22">
        <f>IFERROR(_xll.BDP(A470,"PX_VOLUME"),NA())</f>
        <v/>
      </c>
      <c r="I470" s="16">
        <f>IFERROR(H470/G470,NA())</f>
        <v/>
      </c>
      <c r="J470" s="16">
        <f>IF(ISNUMBER(I470),IF(I470&gt;=Settings!$B$7,"VOL SPIKE",""),"")</f>
        <v/>
      </c>
    </row>
    <row r="471">
      <c r="A471" s="16">
        <f>'Rest Universe'!A472</f>
        <v/>
      </c>
      <c r="B471" s="22">
        <f>IFERROR(_xll.BDP(A471,"NAME"),"")</f>
        <v/>
      </c>
      <c r="C471" s="22">
        <f>IFERROR(_xll.BDP(A471,"EQY_SH_OUT"),NA())</f>
        <v/>
      </c>
      <c r="D471" s="22">
        <f>IFERROR(_xll.BDH(A471,"EQY_SH_OUT","-"&amp;Settings!$B$4&amp;"AW","-"&amp;Settings!$B$4&amp;"AW","days=a","fill=p"),NA())</f>
        <v/>
      </c>
      <c r="E471" s="23">
        <f>IFERROR((C471-D471)/D471,NA())</f>
        <v/>
      </c>
      <c r="F471" s="16">
        <f>IF(ISNUMBER(E471),IF(E471&lt;=Settings!$B$6,"BUYBACK ACTIVITY",""),"")</f>
        <v/>
      </c>
      <c r="G471" s="22">
        <f>IFERROR(_xll.BDP(A471,"VOLUME_AVG_30D"),NA())</f>
        <v/>
      </c>
      <c r="H471" s="22">
        <f>IFERROR(_xll.BDP(A471,"PX_VOLUME"),NA())</f>
        <v/>
      </c>
      <c r="I471" s="16">
        <f>IFERROR(H471/G471,NA())</f>
        <v/>
      </c>
      <c r="J471" s="16">
        <f>IF(ISNUMBER(I471),IF(I471&gt;=Settings!$B$7,"VOL SPIKE",""),"")</f>
        <v/>
      </c>
    </row>
    <row r="472">
      <c r="A472" s="16">
        <f>'Rest Universe'!A473</f>
        <v/>
      </c>
      <c r="B472" s="22">
        <f>IFERROR(_xll.BDP(A472,"NAME"),"")</f>
        <v/>
      </c>
      <c r="C472" s="22">
        <f>IFERROR(_xll.BDP(A472,"EQY_SH_OUT"),NA())</f>
        <v/>
      </c>
      <c r="D472" s="22">
        <f>IFERROR(_xll.BDH(A472,"EQY_SH_OUT","-"&amp;Settings!$B$4&amp;"AW","-"&amp;Settings!$B$4&amp;"AW","days=a","fill=p"),NA())</f>
        <v/>
      </c>
      <c r="E472" s="23">
        <f>IFERROR((C472-D472)/D472,NA())</f>
        <v/>
      </c>
      <c r="F472" s="16">
        <f>IF(ISNUMBER(E472),IF(E472&lt;=Settings!$B$6,"BUYBACK ACTIVITY",""),"")</f>
        <v/>
      </c>
      <c r="G472" s="22">
        <f>IFERROR(_xll.BDP(A472,"VOLUME_AVG_30D"),NA())</f>
        <v/>
      </c>
      <c r="H472" s="22">
        <f>IFERROR(_xll.BDP(A472,"PX_VOLUME"),NA())</f>
        <v/>
      </c>
      <c r="I472" s="16">
        <f>IFERROR(H472/G472,NA())</f>
        <v/>
      </c>
      <c r="J472" s="16">
        <f>IF(ISNUMBER(I472),IF(I472&gt;=Settings!$B$7,"VOL SPIKE",""),"")</f>
        <v/>
      </c>
    </row>
    <row r="473">
      <c r="A473" s="16">
        <f>'Rest Universe'!A474</f>
        <v/>
      </c>
      <c r="B473" s="22">
        <f>IFERROR(_xll.BDP(A473,"NAME"),"")</f>
        <v/>
      </c>
      <c r="C473" s="22">
        <f>IFERROR(_xll.BDP(A473,"EQY_SH_OUT"),NA())</f>
        <v/>
      </c>
      <c r="D473" s="22">
        <f>IFERROR(_xll.BDH(A473,"EQY_SH_OUT","-"&amp;Settings!$B$4&amp;"AW","-"&amp;Settings!$B$4&amp;"AW","days=a","fill=p"),NA())</f>
        <v/>
      </c>
      <c r="E473" s="23">
        <f>IFERROR((C473-D473)/D473,NA())</f>
        <v/>
      </c>
      <c r="F473" s="16">
        <f>IF(ISNUMBER(E473),IF(E473&lt;=Settings!$B$6,"BUYBACK ACTIVITY",""),"")</f>
        <v/>
      </c>
      <c r="G473" s="22">
        <f>IFERROR(_xll.BDP(A473,"VOLUME_AVG_30D"),NA())</f>
        <v/>
      </c>
      <c r="H473" s="22">
        <f>IFERROR(_xll.BDP(A473,"PX_VOLUME"),NA())</f>
        <v/>
      </c>
      <c r="I473" s="16">
        <f>IFERROR(H473/G473,NA())</f>
        <v/>
      </c>
      <c r="J473" s="16">
        <f>IF(ISNUMBER(I473),IF(I473&gt;=Settings!$B$7,"VOL SPIKE",""),"")</f>
        <v/>
      </c>
    </row>
    <row r="474">
      <c r="A474" s="16">
        <f>'Rest Universe'!A475</f>
        <v/>
      </c>
      <c r="B474" s="22">
        <f>IFERROR(_xll.BDP(A474,"NAME"),"")</f>
        <v/>
      </c>
      <c r="C474" s="22">
        <f>IFERROR(_xll.BDP(A474,"EQY_SH_OUT"),NA())</f>
        <v/>
      </c>
      <c r="D474" s="22">
        <f>IFERROR(_xll.BDH(A474,"EQY_SH_OUT","-"&amp;Settings!$B$4&amp;"AW","-"&amp;Settings!$B$4&amp;"AW","days=a","fill=p"),NA())</f>
        <v/>
      </c>
      <c r="E474" s="23">
        <f>IFERROR((C474-D474)/D474,NA())</f>
        <v/>
      </c>
      <c r="F474" s="16">
        <f>IF(ISNUMBER(E474),IF(E474&lt;=Settings!$B$6,"BUYBACK ACTIVITY",""),"")</f>
        <v/>
      </c>
      <c r="G474" s="22">
        <f>IFERROR(_xll.BDP(A474,"VOLUME_AVG_30D"),NA())</f>
        <v/>
      </c>
      <c r="H474" s="22">
        <f>IFERROR(_xll.BDP(A474,"PX_VOLUME"),NA())</f>
        <v/>
      </c>
      <c r="I474" s="16">
        <f>IFERROR(H474/G474,NA())</f>
        <v/>
      </c>
      <c r="J474" s="16">
        <f>IF(ISNUMBER(I474),IF(I474&gt;=Settings!$B$7,"VOL SPIKE",""),"")</f>
        <v/>
      </c>
    </row>
    <row r="475">
      <c r="A475" s="16">
        <f>'Rest Universe'!A476</f>
        <v/>
      </c>
      <c r="B475" s="22">
        <f>IFERROR(_xll.BDP(A475,"NAME"),"")</f>
        <v/>
      </c>
      <c r="C475" s="22">
        <f>IFERROR(_xll.BDP(A475,"EQY_SH_OUT"),NA())</f>
        <v/>
      </c>
      <c r="D475" s="22">
        <f>IFERROR(_xll.BDH(A475,"EQY_SH_OUT","-"&amp;Settings!$B$4&amp;"AW","-"&amp;Settings!$B$4&amp;"AW","days=a","fill=p"),NA())</f>
        <v/>
      </c>
      <c r="E475" s="23">
        <f>IFERROR((C475-D475)/D475,NA())</f>
        <v/>
      </c>
      <c r="F475" s="16">
        <f>IF(ISNUMBER(E475),IF(E475&lt;=Settings!$B$6,"BUYBACK ACTIVITY",""),"")</f>
        <v/>
      </c>
      <c r="G475" s="22">
        <f>IFERROR(_xll.BDP(A475,"VOLUME_AVG_30D"),NA())</f>
        <v/>
      </c>
      <c r="H475" s="22">
        <f>IFERROR(_xll.BDP(A475,"PX_VOLUME"),NA())</f>
        <v/>
      </c>
      <c r="I475" s="16">
        <f>IFERROR(H475/G475,NA())</f>
        <v/>
      </c>
      <c r="J475" s="16">
        <f>IF(ISNUMBER(I475),IF(I475&gt;=Settings!$B$7,"VOL SPIKE",""),"")</f>
        <v/>
      </c>
    </row>
    <row r="476">
      <c r="A476" s="16">
        <f>'Rest Universe'!A477</f>
        <v/>
      </c>
      <c r="B476" s="22">
        <f>IFERROR(_xll.BDP(A476,"NAME"),"")</f>
        <v/>
      </c>
      <c r="C476" s="22">
        <f>IFERROR(_xll.BDP(A476,"EQY_SH_OUT"),NA())</f>
        <v/>
      </c>
      <c r="D476" s="22">
        <f>IFERROR(_xll.BDH(A476,"EQY_SH_OUT","-"&amp;Settings!$B$4&amp;"AW","-"&amp;Settings!$B$4&amp;"AW","days=a","fill=p"),NA())</f>
        <v/>
      </c>
      <c r="E476" s="23">
        <f>IFERROR((C476-D476)/D476,NA())</f>
        <v/>
      </c>
      <c r="F476" s="16">
        <f>IF(ISNUMBER(E476),IF(E476&lt;=Settings!$B$6,"BUYBACK ACTIVITY",""),"")</f>
        <v/>
      </c>
      <c r="G476" s="22">
        <f>IFERROR(_xll.BDP(A476,"VOLUME_AVG_30D"),NA())</f>
        <v/>
      </c>
      <c r="H476" s="22">
        <f>IFERROR(_xll.BDP(A476,"PX_VOLUME"),NA())</f>
        <v/>
      </c>
      <c r="I476" s="16">
        <f>IFERROR(H476/G476,NA())</f>
        <v/>
      </c>
      <c r="J476" s="16">
        <f>IF(ISNUMBER(I476),IF(I476&gt;=Settings!$B$7,"VOL SPIKE",""),"")</f>
        <v/>
      </c>
    </row>
    <row r="477">
      <c r="A477" s="16">
        <f>'Rest Universe'!A478</f>
        <v/>
      </c>
      <c r="B477" s="22">
        <f>IFERROR(_xll.BDP(A477,"NAME"),"")</f>
        <v/>
      </c>
      <c r="C477" s="22">
        <f>IFERROR(_xll.BDP(A477,"EQY_SH_OUT"),NA())</f>
        <v/>
      </c>
      <c r="D477" s="22">
        <f>IFERROR(_xll.BDH(A477,"EQY_SH_OUT","-"&amp;Settings!$B$4&amp;"AW","-"&amp;Settings!$B$4&amp;"AW","days=a","fill=p"),NA())</f>
        <v/>
      </c>
      <c r="E477" s="23">
        <f>IFERROR((C477-D477)/D477,NA())</f>
        <v/>
      </c>
      <c r="F477" s="16">
        <f>IF(ISNUMBER(E477),IF(E477&lt;=Settings!$B$6,"BUYBACK ACTIVITY",""),"")</f>
        <v/>
      </c>
      <c r="G477" s="22">
        <f>IFERROR(_xll.BDP(A477,"VOLUME_AVG_30D"),NA())</f>
        <v/>
      </c>
      <c r="H477" s="22">
        <f>IFERROR(_xll.BDP(A477,"PX_VOLUME"),NA())</f>
        <v/>
      </c>
      <c r="I477" s="16">
        <f>IFERROR(H477/G477,NA())</f>
        <v/>
      </c>
      <c r="J477" s="16">
        <f>IF(ISNUMBER(I477),IF(I477&gt;=Settings!$B$7,"VOL SPIKE",""),"")</f>
        <v/>
      </c>
    </row>
    <row r="478">
      <c r="A478" s="16">
        <f>'Rest Universe'!A479</f>
        <v/>
      </c>
      <c r="B478" s="22">
        <f>IFERROR(_xll.BDP(A478,"NAME"),"")</f>
        <v/>
      </c>
      <c r="C478" s="22">
        <f>IFERROR(_xll.BDP(A478,"EQY_SH_OUT"),NA())</f>
        <v/>
      </c>
      <c r="D478" s="22">
        <f>IFERROR(_xll.BDH(A478,"EQY_SH_OUT","-"&amp;Settings!$B$4&amp;"AW","-"&amp;Settings!$B$4&amp;"AW","days=a","fill=p"),NA())</f>
        <v/>
      </c>
      <c r="E478" s="23">
        <f>IFERROR((C478-D478)/D478,NA())</f>
        <v/>
      </c>
      <c r="F478" s="16">
        <f>IF(ISNUMBER(E478),IF(E478&lt;=Settings!$B$6,"BUYBACK ACTIVITY",""),"")</f>
        <v/>
      </c>
      <c r="G478" s="22">
        <f>IFERROR(_xll.BDP(A478,"VOLUME_AVG_30D"),NA())</f>
        <v/>
      </c>
      <c r="H478" s="22">
        <f>IFERROR(_xll.BDP(A478,"PX_VOLUME"),NA())</f>
        <v/>
      </c>
      <c r="I478" s="16">
        <f>IFERROR(H478/G478,NA())</f>
        <v/>
      </c>
      <c r="J478" s="16">
        <f>IF(ISNUMBER(I478),IF(I478&gt;=Settings!$B$7,"VOL SPIKE",""),"")</f>
        <v/>
      </c>
    </row>
    <row r="479">
      <c r="A479" s="16">
        <f>'Rest Universe'!A480</f>
        <v/>
      </c>
      <c r="B479" s="22">
        <f>IFERROR(_xll.BDP(A479,"NAME"),"")</f>
        <v/>
      </c>
      <c r="C479" s="22">
        <f>IFERROR(_xll.BDP(A479,"EQY_SH_OUT"),NA())</f>
        <v/>
      </c>
      <c r="D479" s="22">
        <f>IFERROR(_xll.BDH(A479,"EQY_SH_OUT","-"&amp;Settings!$B$4&amp;"AW","-"&amp;Settings!$B$4&amp;"AW","days=a","fill=p"),NA())</f>
        <v/>
      </c>
      <c r="E479" s="23">
        <f>IFERROR((C479-D479)/D479,NA())</f>
        <v/>
      </c>
      <c r="F479" s="16">
        <f>IF(ISNUMBER(E479),IF(E479&lt;=Settings!$B$6,"BUYBACK ACTIVITY",""),"")</f>
        <v/>
      </c>
      <c r="G479" s="22">
        <f>IFERROR(_xll.BDP(A479,"VOLUME_AVG_30D"),NA())</f>
        <v/>
      </c>
      <c r="H479" s="22">
        <f>IFERROR(_xll.BDP(A479,"PX_VOLUME"),NA())</f>
        <v/>
      </c>
      <c r="I479" s="16">
        <f>IFERROR(H479/G479,NA())</f>
        <v/>
      </c>
      <c r="J479" s="16">
        <f>IF(ISNUMBER(I479),IF(I479&gt;=Settings!$B$7,"VOL SPIKE",""),"")</f>
        <v/>
      </c>
    </row>
    <row r="480">
      <c r="A480" s="16">
        <f>'Rest Universe'!A481</f>
        <v/>
      </c>
      <c r="B480" s="22">
        <f>IFERROR(_xll.BDP(A480,"NAME"),"")</f>
        <v/>
      </c>
      <c r="C480" s="22">
        <f>IFERROR(_xll.BDP(A480,"EQY_SH_OUT"),NA())</f>
        <v/>
      </c>
      <c r="D480" s="22">
        <f>IFERROR(_xll.BDH(A480,"EQY_SH_OUT","-"&amp;Settings!$B$4&amp;"AW","-"&amp;Settings!$B$4&amp;"AW","days=a","fill=p"),NA())</f>
        <v/>
      </c>
      <c r="E480" s="23">
        <f>IFERROR((C480-D480)/D480,NA())</f>
        <v/>
      </c>
      <c r="F480" s="16">
        <f>IF(ISNUMBER(E480),IF(E480&lt;=Settings!$B$6,"BUYBACK ACTIVITY",""),"")</f>
        <v/>
      </c>
      <c r="G480" s="22">
        <f>IFERROR(_xll.BDP(A480,"VOLUME_AVG_30D"),NA())</f>
        <v/>
      </c>
      <c r="H480" s="22">
        <f>IFERROR(_xll.BDP(A480,"PX_VOLUME"),NA())</f>
        <v/>
      </c>
      <c r="I480" s="16">
        <f>IFERROR(H480/G480,NA())</f>
        <v/>
      </c>
      <c r="J480" s="16">
        <f>IF(ISNUMBER(I480),IF(I480&gt;=Settings!$B$7,"VOL SPIKE",""),"")</f>
        <v/>
      </c>
    </row>
    <row r="481">
      <c r="A481" s="16">
        <f>'Rest Universe'!A482</f>
        <v/>
      </c>
      <c r="B481" s="22">
        <f>IFERROR(_xll.BDP(A481,"NAME"),"")</f>
        <v/>
      </c>
      <c r="C481" s="22">
        <f>IFERROR(_xll.BDP(A481,"EQY_SH_OUT"),NA())</f>
        <v/>
      </c>
      <c r="D481" s="22">
        <f>IFERROR(_xll.BDH(A481,"EQY_SH_OUT","-"&amp;Settings!$B$4&amp;"AW","-"&amp;Settings!$B$4&amp;"AW","days=a","fill=p"),NA())</f>
        <v/>
      </c>
      <c r="E481" s="23">
        <f>IFERROR((C481-D481)/D481,NA())</f>
        <v/>
      </c>
      <c r="F481" s="16">
        <f>IF(ISNUMBER(E481),IF(E481&lt;=Settings!$B$6,"BUYBACK ACTIVITY",""),"")</f>
        <v/>
      </c>
      <c r="G481" s="22">
        <f>IFERROR(_xll.BDP(A481,"VOLUME_AVG_30D"),NA())</f>
        <v/>
      </c>
      <c r="H481" s="22">
        <f>IFERROR(_xll.BDP(A481,"PX_VOLUME"),NA())</f>
        <v/>
      </c>
      <c r="I481" s="16">
        <f>IFERROR(H481/G481,NA())</f>
        <v/>
      </c>
      <c r="J481" s="16">
        <f>IF(ISNUMBER(I481),IF(I481&gt;=Settings!$B$7,"VOL SPIKE",""),"")</f>
        <v/>
      </c>
    </row>
    <row r="482">
      <c r="A482" s="16">
        <f>'Rest Universe'!A483</f>
        <v/>
      </c>
      <c r="B482" s="22">
        <f>IFERROR(_xll.BDP(A482,"NAME"),"")</f>
        <v/>
      </c>
      <c r="C482" s="22">
        <f>IFERROR(_xll.BDP(A482,"EQY_SH_OUT"),NA())</f>
        <v/>
      </c>
      <c r="D482" s="22">
        <f>IFERROR(_xll.BDH(A482,"EQY_SH_OUT","-"&amp;Settings!$B$4&amp;"AW","-"&amp;Settings!$B$4&amp;"AW","days=a","fill=p"),NA())</f>
        <v/>
      </c>
      <c r="E482" s="23">
        <f>IFERROR((C482-D482)/D482,NA())</f>
        <v/>
      </c>
      <c r="F482" s="16">
        <f>IF(ISNUMBER(E482),IF(E482&lt;=Settings!$B$6,"BUYBACK ACTIVITY",""),"")</f>
        <v/>
      </c>
      <c r="G482" s="22">
        <f>IFERROR(_xll.BDP(A482,"VOLUME_AVG_30D"),NA())</f>
        <v/>
      </c>
      <c r="H482" s="22">
        <f>IFERROR(_xll.BDP(A482,"PX_VOLUME"),NA())</f>
        <v/>
      </c>
      <c r="I482" s="16">
        <f>IFERROR(H482/G482,NA())</f>
        <v/>
      </c>
      <c r="J482" s="16">
        <f>IF(ISNUMBER(I482),IF(I482&gt;=Settings!$B$7,"VOL SPIKE",""),"")</f>
        <v/>
      </c>
    </row>
    <row r="483">
      <c r="A483" s="16">
        <f>'Rest Universe'!A484</f>
        <v/>
      </c>
      <c r="B483" s="22">
        <f>IFERROR(_xll.BDP(A483,"NAME"),"")</f>
        <v/>
      </c>
      <c r="C483" s="22">
        <f>IFERROR(_xll.BDP(A483,"EQY_SH_OUT"),NA())</f>
        <v/>
      </c>
      <c r="D483" s="22">
        <f>IFERROR(_xll.BDH(A483,"EQY_SH_OUT","-"&amp;Settings!$B$4&amp;"AW","-"&amp;Settings!$B$4&amp;"AW","days=a","fill=p"),NA())</f>
        <v/>
      </c>
      <c r="E483" s="23">
        <f>IFERROR((C483-D483)/D483,NA())</f>
        <v/>
      </c>
      <c r="F483" s="16">
        <f>IF(ISNUMBER(E483),IF(E483&lt;=Settings!$B$6,"BUYBACK ACTIVITY",""),"")</f>
        <v/>
      </c>
      <c r="G483" s="22">
        <f>IFERROR(_xll.BDP(A483,"VOLUME_AVG_30D"),NA())</f>
        <v/>
      </c>
      <c r="H483" s="22">
        <f>IFERROR(_xll.BDP(A483,"PX_VOLUME"),NA())</f>
        <v/>
      </c>
      <c r="I483" s="16">
        <f>IFERROR(H483/G483,NA())</f>
        <v/>
      </c>
      <c r="J483" s="16">
        <f>IF(ISNUMBER(I483),IF(I483&gt;=Settings!$B$7,"VOL SPIKE",""),"")</f>
        <v/>
      </c>
    </row>
    <row r="484">
      <c r="A484" s="16">
        <f>'Rest Universe'!A485</f>
        <v/>
      </c>
      <c r="B484" s="22">
        <f>IFERROR(_xll.BDP(A484,"NAME"),"")</f>
        <v/>
      </c>
      <c r="C484" s="22">
        <f>IFERROR(_xll.BDP(A484,"EQY_SH_OUT"),NA())</f>
        <v/>
      </c>
      <c r="D484" s="22">
        <f>IFERROR(_xll.BDH(A484,"EQY_SH_OUT","-"&amp;Settings!$B$4&amp;"AW","-"&amp;Settings!$B$4&amp;"AW","days=a","fill=p"),NA())</f>
        <v/>
      </c>
      <c r="E484" s="23">
        <f>IFERROR((C484-D484)/D484,NA())</f>
        <v/>
      </c>
      <c r="F484" s="16">
        <f>IF(ISNUMBER(E484),IF(E484&lt;=Settings!$B$6,"BUYBACK ACTIVITY",""),"")</f>
        <v/>
      </c>
      <c r="G484" s="22">
        <f>IFERROR(_xll.BDP(A484,"VOLUME_AVG_30D"),NA())</f>
        <v/>
      </c>
      <c r="H484" s="22">
        <f>IFERROR(_xll.BDP(A484,"PX_VOLUME"),NA())</f>
        <v/>
      </c>
      <c r="I484" s="16">
        <f>IFERROR(H484/G484,NA())</f>
        <v/>
      </c>
      <c r="J484" s="16">
        <f>IF(ISNUMBER(I484),IF(I484&gt;=Settings!$B$7,"VOL SPIKE",""),"")</f>
        <v/>
      </c>
    </row>
    <row r="485">
      <c r="A485" s="16">
        <f>'Rest Universe'!A486</f>
        <v/>
      </c>
      <c r="B485" s="22">
        <f>IFERROR(_xll.BDP(A485,"NAME"),"")</f>
        <v/>
      </c>
      <c r="C485" s="22">
        <f>IFERROR(_xll.BDP(A485,"EQY_SH_OUT"),NA())</f>
        <v/>
      </c>
      <c r="D485" s="22">
        <f>IFERROR(_xll.BDH(A485,"EQY_SH_OUT","-"&amp;Settings!$B$4&amp;"AW","-"&amp;Settings!$B$4&amp;"AW","days=a","fill=p"),NA())</f>
        <v/>
      </c>
      <c r="E485" s="23">
        <f>IFERROR((C485-D485)/D485,NA())</f>
        <v/>
      </c>
      <c r="F485" s="16">
        <f>IF(ISNUMBER(E485),IF(E485&lt;=Settings!$B$6,"BUYBACK ACTIVITY",""),"")</f>
        <v/>
      </c>
      <c r="G485" s="22">
        <f>IFERROR(_xll.BDP(A485,"VOLUME_AVG_30D"),NA())</f>
        <v/>
      </c>
      <c r="H485" s="22">
        <f>IFERROR(_xll.BDP(A485,"PX_VOLUME"),NA())</f>
        <v/>
      </c>
      <c r="I485" s="16">
        <f>IFERROR(H485/G485,NA())</f>
        <v/>
      </c>
      <c r="J485" s="16">
        <f>IF(ISNUMBER(I485),IF(I485&gt;=Settings!$B$7,"VOL SPIKE",""),"")</f>
        <v/>
      </c>
    </row>
    <row r="486">
      <c r="A486" s="16">
        <f>'Rest Universe'!A487</f>
        <v/>
      </c>
      <c r="B486" s="22">
        <f>IFERROR(_xll.BDP(A486,"NAME"),"")</f>
        <v/>
      </c>
      <c r="C486" s="22">
        <f>IFERROR(_xll.BDP(A486,"EQY_SH_OUT"),NA())</f>
        <v/>
      </c>
      <c r="D486" s="22">
        <f>IFERROR(_xll.BDH(A486,"EQY_SH_OUT","-"&amp;Settings!$B$4&amp;"AW","-"&amp;Settings!$B$4&amp;"AW","days=a","fill=p"),NA())</f>
        <v/>
      </c>
      <c r="E486" s="23">
        <f>IFERROR((C486-D486)/D486,NA())</f>
        <v/>
      </c>
      <c r="F486" s="16">
        <f>IF(ISNUMBER(E486),IF(E486&lt;=Settings!$B$6,"BUYBACK ACTIVITY",""),"")</f>
        <v/>
      </c>
      <c r="G486" s="22">
        <f>IFERROR(_xll.BDP(A486,"VOLUME_AVG_30D"),NA())</f>
        <v/>
      </c>
      <c r="H486" s="22">
        <f>IFERROR(_xll.BDP(A486,"PX_VOLUME"),NA())</f>
        <v/>
      </c>
      <c r="I486" s="16">
        <f>IFERROR(H486/G486,NA())</f>
        <v/>
      </c>
      <c r="J486" s="16">
        <f>IF(ISNUMBER(I486),IF(I486&gt;=Settings!$B$7,"VOL SPIKE",""),"")</f>
        <v/>
      </c>
    </row>
    <row r="487">
      <c r="A487" s="16">
        <f>'Rest Universe'!A488</f>
        <v/>
      </c>
      <c r="B487" s="22">
        <f>IFERROR(_xll.BDP(A487,"NAME"),"")</f>
        <v/>
      </c>
      <c r="C487" s="22">
        <f>IFERROR(_xll.BDP(A487,"EQY_SH_OUT"),NA())</f>
        <v/>
      </c>
      <c r="D487" s="22">
        <f>IFERROR(_xll.BDH(A487,"EQY_SH_OUT","-"&amp;Settings!$B$4&amp;"AW","-"&amp;Settings!$B$4&amp;"AW","days=a","fill=p"),NA())</f>
        <v/>
      </c>
      <c r="E487" s="23">
        <f>IFERROR((C487-D487)/D487,NA())</f>
        <v/>
      </c>
      <c r="F487" s="16">
        <f>IF(ISNUMBER(E487),IF(E487&lt;=Settings!$B$6,"BUYBACK ACTIVITY",""),"")</f>
        <v/>
      </c>
      <c r="G487" s="22">
        <f>IFERROR(_xll.BDP(A487,"VOLUME_AVG_30D"),NA())</f>
        <v/>
      </c>
      <c r="H487" s="22">
        <f>IFERROR(_xll.BDP(A487,"PX_VOLUME"),NA())</f>
        <v/>
      </c>
      <c r="I487" s="16">
        <f>IFERROR(H487/G487,NA())</f>
        <v/>
      </c>
      <c r="J487" s="16">
        <f>IF(ISNUMBER(I487),IF(I487&gt;=Settings!$B$7,"VOL SPIKE",""),"")</f>
        <v/>
      </c>
    </row>
    <row r="488">
      <c r="A488" s="16">
        <f>'Rest Universe'!A489</f>
        <v/>
      </c>
      <c r="B488" s="22">
        <f>IFERROR(_xll.BDP(A488,"NAME"),"")</f>
        <v/>
      </c>
      <c r="C488" s="22">
        <f>IFERROR(_xll.BDP(A488,"EQY_SH_OUT"),NA())</f>
        <v/>
      </c>
      <c r="D488" s="22">
        <f>IFERROR(_xll.BDH(A488,"EQY_SH_OUT","-"&amp;Settings!$B$4&amp;"AW","-"&amp;Settings!$B$4&amp;"AW","days=a","fill=p"),NA())</f>
        <v/>
      </c>
      <c r="E488" s="23">
        <f>IFERROR((C488-D488)/D488,NA())</f>
        <v/>
      </c>
      <c r="F488" s="16">
        <f>IF(ISNUMBER(E488),IF(E488&lt;=Settings!$B$6,"BUYBACK ACTIVITY",""),"")</f>
        <v/>
      </c>
      <c r="G488" s="22">
        <f>IFERROR(_xll.BDP(A488,"VOLUME_AVG_30D"),NA())</f>
        <v/>
      </c>
      <c r="H488" s="22">
        <f>IFERROR(_xll.BDP(A488,"PX_VOLUME"),NA())</f>
        <v/>
      </c>
      <c r="I488" s="16">
        <f>IFERROR(H488/G488,NA())</f>
        <v/>
      </c>
      <c r="J488" s="16">
        <f>IF(ISNUMBER(I488),IF(I488&gt;=Settings!$B$7,"VOL SPIKE",""),"")</f>
        <v/>
      </c>
    </row>
    <row r="489">
      <c r="A489" s="16">
        <f>'Rest Universe'!A490</f>
        <v/>
      </c>
      <c r="B489" s="22">
        <f>IFERROR(_xll.BDP(A489,"NAME"),"")</f>
        <v/>
      </c>
      <c r="C489" s="22">
        <f>IFERROR(_xll.BDP(A489,"EQY_SH_OUT"),NA())</f>
        <v/>
      </c>
      <c r="D489" s="22">
        <f>IFERROR(_xll.BDH(A489,"EQY_SH_OUT","-"&amp;Settings!$B$4&amp;"AW","-"&amp;Settings!$B$4&amp;"AW","days=a","fill=p"),NA())</f>
        <v/>
      </c>
      <c r="E489" s="23">
        <f>IFERROR((C489-D489)/D489,NA())</f>
        <v/>
      </c>
      <c r="F489" s="16">
        <f>IF(ISNUMBER(E489),IF(E489&lt;=Settings!$B$6,"BUYBACK ACTIVITY",""),"")</f>
        <v/>
      </c>
      <c r="G489" s="22">
        <f>IFERROR(_xll.BDP(A489,"VOLUME_AVG_30D"),NA())</f>
        <v/>
      </c>
      <c r="H489" s="22">
        <f>IFERROR(_xll.BDP(A489,"PX_VOLUME"),NA())</f>
        <v/>
      </c>
      <c r="I489" s="16">
        <f>IFERROR(H489/G489,NA())</f>
        <v/>
      </c>
      <c r="J489" s="16">
        <f>IF(ISNUMBER(I489),IF(I489&gt;=Settings!$B$7,"VOL SPIKE",""),"")</f>
        <v/>
      </c>
    </row>
    <row r="490">
      <c r="A490" s="16">
        <f>'Rest Universe'!A491</f>
        <v/>
      </c>
      <c r="B490" s="22">
        <f>IFERROR(_xll.BDP(A490,"NAME"),"")</f>
        <v/>
      </c>
      <c r="C490" s="22">
        <f>IFERROR(_xll.BDP(A490,"EQY_SH_OUT"),NA())</f>
        <v/>
      </c>
      <c r="D490" s="22">
        <f>IFERROR(_xll.BDH(A490,"EQY_SH_OUT","-"&amp;Settings!$B$4&amp;"AW","-"&amp;Settings!$B$4&amp;"AW","days=a","fill=p"),NA())</f>
        <v/>
      </c>
      <c r="E490" s="23">
        <f>IFERROR((C490-D490)/D490,NA())</f>
        <v/>
      </c>
      <c r="F490" s="16">
        <f>IF(ISNUMBER(E490),IF(E490&lt;=Settings!$B$6,"BUYBACK ACTIVITY",""),"")</f>
        <v/>
      </c>
      <c r="G490" s="22">
        <f>IFERROR(_xll.BDP(A490,"VOLUME_AVG_30D"),NA())</f>
        <v/>
      </c>
      <c r="H490" s="22">
        <f>IFERROR(_xll.BDP(A490,"PX_VOLUME"),NA())</f>
        <v/>
      </c>
      <c r="I490" s="16">
        <f>IFERROR(H490/G490,NA())</f>
        <v/>
      </c>
      <c r="J490" s="16">
        <f>IF(ISNUMBER(I490),IF(I490&gt;=Settings!$B$7,"VOL SPIKE",""),"")</f>
        <v/>
      </c>
    </row>
    <row r="491">
      <c r="A491" s="16">
        <f>'Rest Universe'!A492</f>
        <v/>
      </c>
      <c r="B491" s="22">
        <f>IFERROR(_xll.BDP(A491,"NAME"),"")</f>
        <v/>
      </c>
      <c r="C491" s="22">
        <f>IFERROR(_xll.BDP(A491,"EQY_SH_OUT"),NA())</f>
        <v/>
      </c>
      <c r="D491" s="22">
        <f>IFERROR(_xll.BDH(A491,"EQY_SH_OUT","-"&amp;Settings!$B$4&amp;"AW","-"&amp;Settings!$B$4&amp;"AW","days=a","fill=p"),NA())</f>
        <v/>
      </c>
      <c r="E491" s="23">
        <f>IFERROR((C491-D491)/D491,NA())</f>
        <v/>
      </c>
      <c r="F491" s="16">
        <f>IF(ISNUMBER(E491),IF(E491&lt;=Settings!$B$6,"BUYBACK ACTIVITY",""),"")</f>
        <v/>
      </c>
      <c r="G491" s="22">
        <f>IFERROR(_xll.BDP(A491,"VOLUME_AVG_30D"),NA())</f>
        <v/>
      </c>
      <c r="H491" s="22">
        <f>IFERROR(_xll.BDP(A491,"PX_VOLUME"),NA())</f>
        <v/>
      </c>
      <c r="I491" s="16">
        <f>IFERROR(H491/G491,NA())</f>
        <v/>
      </c>
      <c r="J491" s="16">
        <f>IF(ISNUMBER(I491),IF(I491&gt;=Settings!$B$7,"VOL SPIKE",""),"")</f>
        <v/>
      </c>
    </row>
    <row r="492">
      <c r="A492" s="16">
        <f>'Rest Universe'!A493</f>
        <v/>
      </c>
      <c r="B492" s="22">
        <f>IFERROR(_xll.BDP(A492,"NAME"),"")</f>
        <v/>
      </c>
      <c r="C492" s="22">
        <f>IFERROR(_xll.BDP(A492,"EQY_SH_OUT"),NA())</f>
        <v/>
      </c>
      <c r="D492" s="22">
        <f>IFERROR(_xll.BDH(A492,"EQY_SH_OUT","-"&amp;Settings!$B$4&amp;"AW","-"&amp;Settings!$B$4&amp;"AW","days=a","fill=p"),NA())</f>
        <v/>
      </c>
      <c r="E492" s="23">
        <f>IFERROR((C492-D492)/D492,NA())</f>
        <v/>
      </c>
      <c r="F492" s="16">
        <f>IF(ISNUMBER(E492),IF(E492&lt;=Settings!$B$6,"BUYBACK ACTIVITY",""),"")</f>
        <v/>
      </c>
      <c r="G492" s="22">
        <f>IFERROR(_xll.BDP(A492,"VOLUME_AVG_30D"),NA())</f>
        <v/>
      </c>
      <c r="H492" s="22">
        <f>IFERROR(_xll.BDP(A492,"PX_VOLUME"),NA())</f>
        <v/>
      </c>
      <c r="I492" s="16">
        <f>IFERROR(H492/G492,NA())</f>
        <v/>
      </c>
      <c r="J492" s="16">
        <f>IF(ISNUMBER(I492),IF(I492&gt;=Settings!$B$7,"VOL SPIKE",""),"")</f>
        <v/>
      </c>
    </row>
    <row r="493">
      <c r="A493" s="16">
        <f>'Rest Universe'!A494</f>
        <v/>
      </c>
      <c r="B493" s="22">
        <f>IFERROR(_xll.BDP(A493,"NAME"),"")</f>
        <v/>
      </c>
      <c r="C493" s="22">
        <f>IFERROR(_xll.BDP(A493,"EQY_SH_OUT"),NA())</f>
        <v/>
      </c>
      <c r="D493" s="22">
        <f>IFERROR(_xll.BDH(A493,"EQY_SH_OUT","-"&amp;Settings!$B$4&amp;"AW","-"&amp;Settings!$B$4&amp;"AW","days=a","fill=p"),NA())</f>
        <v/>
      </c>
      <c r="E493" s="23">
        <f>IFERROR((C493-D493)/D493,NA())</f>
        <v/>
      </c>
      <c r="F493" s="16">
        <f>IF(ISNUMBER(E493),IF(E493&lt;=Settings!$B$6,"BUYBACK ACTIVITY",""),"")</f>
        <v/>
      </c>
      <c r="G493" s="22">
        <f>IFERROR(_xll.BDP(A493,"VOLUME_AVG_30D"),NA())</f>
        <v/>
      </c>
      <c r="H493" s="22">
        <f>IFERROR(_xll.BDP(A493,"PX_VOLUME"),NA())</f>
        <v/>
      </c>
      <c r="I493" s="16">
        <f>IFERROR(H493/G493,NA())</f>
        <v/>
      </c>
      <c r="J493" s="16">
        <f>IF(ISNUMBER(I493),IF(I493&gt;=Settings!$B$7,"VOL SPIKE",""),"")</f>
        <v/>
      </c>
    </row>
    <row r="494">
      <c r="A494" s="16">
        <f>'Rest Universe'!A495</f>
        <v/>
      </c>
      <c r="B494" s="22">
        <f>IFERROR(_xll.BDP(A494,"NAME"),"")</f>
        <v/>
      </c>
      <c r="C494" s="22">
        <f>IFERROR(_xll.BDP(A494,"EQY_SH_OUT"),NA())</f>
        <v/>
      </c>
      <c r="D494" s="22">
        <f>IFERROR(_xll.BDH(A494,"EQY_SH_OUT","-"&amp;Settings!$B$4&amp;"AW","-"&amp;Settings!$B$4&amp;"AW","days=a","fill=p"),NA())</f>
        <v/>
      </c>
      <c r="E494" s="23">
        <f>IFERROR((C494-D494)/D494,NA())</f>
        <v/>
      </c>
      <c r="F494" s="16">
        <f>IF(ISNUMBER(E494),IF(E494&lt;=Settings!$B$6,"BUYBACK ACTIVITY",""),"")</f>
        <v/>
      </c>
      <c r="G494" s="22">
        <f>IFERROR(_xll.BDP(A494,"VOLUME_AVG_30D"),NA())</f>
        <v/>
      </c>
      <c r="H494" s="22">
        <f>IFERROR(_xll.BDP(A494,"PX_VOLUME"),NA())</f>
        <v/>
      </c>
      <c r="I494" s="16">
        <f>IFERROR(H494/G494,NA())</f>
        <v/>
      </c>
      <c r="J494" s="16">
        <f>IF(ISNUMBER(I494),IF(I494&gt;=Settings!$B$7,"VOL SPIKE",""),"")</f>
        <v/>
      </c>
    </row>
    <row r="495">
      <c r="A495" s="16">
        <f>'Rest Universe'!A496</f>
        <v/>
      </c>
      <c r="B495" s="22">
        <f>IFERROR(_xll.BDP(A495,"NAME"),"")</f>
        <v/>
      </c>
      <c r="C495" s="22">
        <f>IFERROR(_xll.BDP(A495,"EQY_SH_OUT"),NA())</f>
        <v/>
      </c>
      <c r="D495" s="22">
        <f>IFERROR(_xll.BDH(A495,"EQY_SH_OUT","-"&amp;Settings!$B$4&amp;"AW","-"&amp;Settings!$B$4&amp;"AW","days=a","fill=p"),NA())</f>
        <v/>
      </c>
      <c r="E495" s="23">
        <f>IFERROR((C495-D495)/D495,NA())</f>
        <v/>
      </c>
      <c r="F495" s="16">
        <f>IF(ISNUMBER(E495),IF(E495&lt;=Settings!$B$6,"BUYBACK ACTIVITY",""),"")</f>
        <v/>
      </c>
      <c r="G495" s="22">
        <f>IFERROR(_xll.BDP(A495,"VOLUME_AVG_30D"),NA())</f>
        <v/>
      </c>
      <c r="H495" s="22">
        <f>IFERROR(_xll.BDP(A495,"PX_VOLUME"),NA())</f>
        <v/>
      </c>
      <c r="I495" s="16">
        <f>IFERROR(H495/G495,NA())</f>
        <v/>
      </c>
      <c r="J495" s="16">
        <f>IF(ISNUMBER(I495),IF(I495&gt;=Settings!$B$7,"VOL SPIKE",""),"")</f>
        <v/>
      </c>
    </row>
    <row r="496">
      <c r="A496" s="16">
        <f>'Rest Universe'!A497</f>
        <v/>
      </c>
      <c r="B496" s="22">
        <f>IFERROR(_xll.BDP(A496,"NAME"),"")</f>
        <v/>
      </c>
      <c r="C496" s="22">
        <f>IFERROR(_xll.BDP(A496,"EQY_SH_OUT"),NA())</f>
        <v/>
      </c>
      <c r="D496" s="22">
        <f>IFERROR(_xll.BDH(A496,"EQY_SH_OUT","-"&amp;Settings!$B$4&amp;"AW","-"&amp;Settings!$B$4&amp;"AW","days=a","fill=p"),NA())</f>
        <v/>
      </c>
      <c r="E496" s="23">
        <f>IFERROR((C496-D496)/D496,NA())</f>
        <v/>
      </c>
      <c r="F496" s="16">
        <f>IF(ISNUMBER(E496),IF(E496&lt;=Settings!$B$6,"BUYBACK ACTIVITY",""),"")</f>
        <v/>
      </c>
      <c r="G496" s="22">
        <f>IFERROR(_xll.BDP(A496,"VOLUME_AVG_30D"),NA())</f>
        <v/>
      </c>
      <c r="H496" s="22">
        <f>IFERROR(_xll.BDP(A496,"PX_VOLUME"),NA())</f>
        <v/>
      </c>
      <c r="I496" s="16">
        <f>IFERROR(H496/G496,NA())</f>
        <v/>
      </c>
      <c r="J496" s="16">
        <f>IF(ISNUMBER(I496),IF(I496&gt;=Settings!$B$7,"VOL SPIKE",""),"")</f>
        <v/>
      </c>
    </row>
    <row r="497">
      <c r="A497" s="16">
        <f>'Rest Universe'!A498</f>
        <v/>
      </c>
      <c r="B497" s="22">
        <f>IFERROR(_xll.BDP(A497,"NAME"),"")</f>
        <v/>
      </c>
      <c r="C497" s="22">
        <f>IFERROR(_xll.BDP(A497,"EQY_SH_OUT"),NA())</f>
        <v/>
      </c>
      <c r="D497" s="22">
        <f>IFERROR(_xll.BDH(A497,"EQY_SH_OUT","-"&amp;Settings!$B$4&amp;"AW","-"&amp;Settings!$B$4&amp;"AW","days=a","fill=p"),NA())</f>
        <v/>
      </c>
      <c r="E497" s="23">
        <f>IFERROR((C497-D497)/D497,NA())</f>
        <v/>
      </c>
      <c r="F497" s="16">
        <f>IF(ISNUMBER(E497),IF(E497&lt;=Settings!$B$6,"BUYBACK ACTIVITY",""),"")</f>
        <v/>
      </c>
      <c r="G497" s="22">
        <f>IFERROR(_xll.BDP(A497,"VOLUME_AVG_30D"),NA())</f>
        <v/>
      </c>
      <c r="H497" s="22">
        <f>IFERROR(_xll.BDP(A497,"PX_VOLUME"),NA())</f>
        <v/>
      </c>
      <c r="I497" s="16">
        <f>IFERROR(H497/G497,NA())</f>
        <v/>
      </c>
      <c r="J497" s="16">
        <f>IF(ISNUMBER(I497),IF(I497&gt;=Settings!$B$7,"VOL SPIKE",""),"")</f>
        <v/>
      </c>
    </row>
    <row r="498">
      <c r="A498" s="16">
        <f>'Rest Universe'!A499</f>
        <v/>
      </c>
      <c r="B498" s="22">
        <f>IFERROR(_xll.BDP(A498,"NAME"),"")</f>
        <v/>
      </c>
      <c r="C498" s="22">
        <f>IFERROR(_xll.BDP(A498,"EQY_SH_OUT"),NA())</f>
        <v/>
      </c>
      <c r="D498" s="22">
        <f>IFERROR(_xll.BDH(A498,"EQY_SH_OUT","-"&amp;Settings!$B$4&amp;"AW","-"&amp;Settings!$B$4&amp;"AW","days=a","fill=p"),NA())</f>
        <v/>
      </c>
      <c r="E498" s="23">
        <f>IFERROR((C498-D498)/D498,NA())</f>
        <v/>
      </c>
      <c r="F498" s="16">
        <f>IF(ISNUMBER(E498),IF(E498&lt;=Settings!$B$6,"BUYBACK ACTIVITY",""),"")</f>
        <v/>
      </c>
      <c r="G498" s="22">
        <f>IFERROR(_xll.BDP(A498,"VOLUME_AVG_30D"),NA())</f>
        <v/>
      </c>
      <c r="H498" s="22">
        <f>IFERROR(_xll.BDP(A498,"PX_VOLUME"),NA())</f>
        <v/>
      </c>
      <c r="I498" s="16">
        <f>IFERROR(H498/G498,NA())</f>
        <v/>
      </c>
      <c r="J498" s="16">
        <f>IF(ISNUMBER(I498),IF(I498&gt;=Settings!$B$7,"VOL SPIKE",""),"")</f>
        <v/>
      </c>
    </row>
    <row r="499">
      <c r="A499" s="16">
        <f>'Rest Universe'!A500</f>
        <v/>
      </c>
      <c r="B499" s="22">
        <f>IFERROR(_xll.BDP(A499,"NAME"),"")</f>
        <v/>
      </c>
      <c r="C499" s="22">
        <f>IFERROR(_xll.BDP(A499,"EQY_SH_OUT"),NA())</f>
        <v/>
      </c>
      <c r="D499" s="22">
        <f>IFERROR(_xll.BDH(A499,"EQY_SH_OUT","-"&amp;Settings!$B$4&amp;"AW","-"&amp;Settings!$B$4&amp;"AW","days=a","fill=p"),NA())</f>
        <v/>
      </c>
      <c r="E499" s="23">
        <f>IFERROR((C499-D499)/D499,NA())</f>
        <v/>
      </c>
      <c r="F499" s="16">
        <f>IF(ISNUMBER(E499),IF(E499&lt;=Settings!$B$6,"BUYBACK ACTIVITY",""),"")</f>
        <v/>
      </c>
      <c r="G499" s="22">
        <f>IFERROR(_xll.BDP(A499,"VOLUME_AVG_30D"),NA())</f>
        <v/>
      </c>
      <c r="H499" s="22">
        <f>IFERROR(_xll.BDP(A499,"PX_VOLUME"),NA())</f>
        <v/>
      </c>
      <c r="I499" s="16">
        <f>IFERROR(H499/G499,NA())</f>
        <v/>
      </c>
      <c r="J499" s="16">
        <f>IF(ISNUMBER(I499),IF(I499&gt;=Settings!$B$7,"VOL SPIKE",""),"")</f>
        <v/>
      </c>
    </row>
    <row r="500">
      <c r="A500" s="16">
        <f>'Rest Universe'!A501</f>
        <v/>
      </c>
      <c r="B500" s="22">
        <f>IFERROR(_xll.BDP(A500,"NAME"),"")</f>
        <v/>
      </c>
      <c r="C500" s="22">
        <f>IFERROR(_xll.BDP(A500,"EQY_SH_OUT"),NA())</f>
        <v/>
      </c>
      <c r="D500" s="22">
        <f>IFERROR(_xll.BDH(A500,"EQY_SH_OUT","-"&amp;Settings!$B$4&amp;"AW","-"&amp;Settings!$B$4&amp;"AW","days=a","fill=p"),NA())</f>
        <v/>
      </c>
      <c r="E500" s="23">
        <f>IFERROR((C500-D500)/D500,NA())</f>
        <v/>
      </c>
      <c r="F500" s="16">
        <f>IF(ISNUMBER(E500),IF(E500&lt;=Settings!$B$6,"BUYBACK ACTIVITY",""),"")</f>
        <v/>
      </c>
      <c r="G500" s="22">
        <f>IFERROR(_xll.BDP(A500,"VOLUME_AVG_30D"),NA())</f>
        <v/>
      </c>
      <c r="H500" s="22">
        <f>IFERROR(_xll.BDP(A500,"PX_VOLUME"),NA())</f>
        <v/>
      </c>
      <c r="I500" s="16">
        <f>IFERROR(H500/G500,NA())</f>
        <v/>
      </c>
      <c r="J500" s="16">
        <f>IF(ISNUMBER(I500),IF(I500&gt;=Settings!$B$7,"VOL SPIKE",""),"")</f>
        <v/>
      </c>
    </row>
    <row r="501">
      <c r="A501" s="16">
        <f>'Rest Universe'!A502</f>
        <v/>
      </c>
      <c r="B501" s="22">
        <f>IFERROR(_xll.BDP(A501,"NAME"),"")</f>
        <v/>
      </c>
      <c r="C501" s="22">
        <f>IFERROR(_xll.BDP(A501,"EQY_SH_OUT"),NA())</f>
        <v/>
      </c>
      <c r="D501" s="22">
        <f>IFERROR(_xll.BDH(A501,"EQY_SH_OUT","-"&amp;Settings!$B$4&amp;"AW","-"&amp;Settings!$B$4&amp;"AW","days=a","fill=p"),NA())</f>
        <v/>
      </c>
      <c r="E501" s="23">
        <f>IFERROR((C501-D501)/D501,NA())</f>
        <v/>
      </c>
      <c r="F501" s="16">
        <f>IF(ISNUMBER(E501),IF(E501&lt;=Settings!$B$6,"BUYBACK ACTIVITY",""),"")</f>
        <v/>
      </c>
      <c r="G501" s="22">
        <f>IFERROR(_xll.BDP(A501,"VOLUME_AVG_30D"),NA())</f>
        <v/>
      </c>
      <c r="H501" s="22">
        <f>IFERROR(_xll.BDP(A501,"PX_VOLUME"),NA())</f>
        <v/>
      </c>
      <c r="I501" s="16">
        <f>IFERROR(H501/G501,NA())</f>
        <v/>
      </c>
      <c r="J501" s="16">
        <f>IF(ISNUMBER(I501),IF(I501&gt;=Settings!$B$7,"VOL SPIKE",""),"")</f>
        <v/>
      </c>
    </row>
    <row r="502">
      <c r="A502" s="16">
        <f>'Rest Universe'!A503</f>
        <v/>
      </c>
      <c r="B502" s="22">
        <f>IFERROR(_xll.BDP(A502,"NAME"),"")</f>
        <v/>
      </c>
      <c r="C502" s="22">
        <f>IFERROR(_xll.BDP(A502,"EQY_SH_OUT"),NA())</f>
        <v/>
      </c>
      <c r="D502" s="22">
        <f>IFERROR(_xll.BDH(A502,"EQY_SH_OUT","-"&amp;Settings!$B$4&amp;"AW","-"&amp;Settings!$B$4&amp;"AW","days=a","fill=p"),NA())</f>
        <v/>
      </c>
      <c r="E502" s="23">
        <f>IFERROR((C502-D502)/D502,NA())</f>
        <v/>
      </c>
      <c r="F502" s="16">
        <f>IF(ISNUMBER(E502),IF(E502&lt;=Settings!$B$6,"BUYBACK ACTIVITY",""),"")</f>
        <v/>
      </c>
      <c r="G502" s="22">
        <f>IFERROR(_xll.BDP(A502,"VOLUME_AVG_30D"),NA())</f>
        <v/>
      </c>
      <c r="H502" s="22">
        <f>IFERROR(_xll.BDP(A502,"PX_VOLUME"),NA())</f>
        <v/>
      </c>
      <c r="I502" s="16">
        <f>IFERROR(H502/G502,NA())</f>
        <v/>
      </c>
      <c r="J502" s="16">
        <f>IF(ISNUMBER(I502),IF(I502&gt;=Settings!$B$7,"VOL SPIKE",""),"")</f>
        <v/>
      </c>
    </row>
    <row r="503">
      <c r="A503" s="16">
        <f>'Rest Universe'!A504</f>
        <v/>
      </c>
      <c r="B503" s="22">
        <f>IFERROR(_xll.BDP(A503,"NAME"),"")</f>
        <v/>
      </c>
      <c r="C503" s="22">
        <f>IFERROR(_xll.BDP(A503,"EQY_SH_OUT"),NA())</f>
        <v/>
      </c>
      <c r="D503" s="22">
        <f>IFERROR(_xll.BDH(A503,"EQY_SH_OUT","-"&amp;Settings!$B$4&amp;"AW","-"&amp;Settings!$B$4&amp;"AW","days=a","fill=p"),NA())</f>
        <v/>
      </c>
      <c r="E503" s="23">
        <f>IFERROR((C503-D503)/D503,NA())</f>
        <v/>
      </c>
      <c r="F503" s="16">
        <f>IF(ISNUMBER(E503),IF(E503&lt;=Settings!$B$6,"BUYBACK ACTIVITY",""),"")</f>
        <v/>
      </c>
      <c r="G503" s="22">
        <f>IFERROR(_xll.BDP(A503,"VOLUME_AVG_30D"),NA())</f>
        <v/>
      </c>
      <c r="H503" s="22">
        <f>IFERROR(_xll.BDP(A503,"PX_VOLUME"),NA())</f>
        <v/>
      </c>
      <c r="I503" s="16">
        <f>IFERROR(H503/G503,NA())</f>
        <v/>
      </c>
      <c r="J503" s="16">
        <f>IF(ISNUMBER(I503),IF(I503&gt;=Settings!$B$7,"VOL SPIKE",""),"")</f>
        <v/>
      </c>
    </row>
    <row r="504">
      <c r="A504" s="16">
        <f>'Rest Universe'!A505</f>
        <v/>
      </c>
      <c r="B504" s="22">
        <f>IFERROR(_xll.BDP(A504,"NAME"),"")</f>
        <v/>
      </c>
      <c r="C504" s="22">
        <f>IFERROR(_xll.BDP(A504,"EQY_SH_OUT"),NA())</f>
        <v/>
      </c>
      <c r="D504" s="22">
        <f>IFERROR(_xll.BDH(A504,"EQY_SH_OUT","-"&amp;Settings!$B$4&amp;"AW","-"&amp;Settings!$B$4&amp;"AW","days=a","fill=p"),NA())</f>
        <v/>
      </c>
      <c r="E504" s="23">
        <f>IFERROR((C504-D504)/D504,NA())</f>
        <v/>
      </c>
      <c r="F504" s="16">
        <f>IF(ISNUMBER(E504),IF(E504&lt;=Settings!$B$6,"BUYBACK ACTIVITY",""),"")</f>
        <v/>
      </c>
      <c r="G504" s="22">
        <f>IFERROR(_xll.BDP(A504,"VOLUME_AVG_30D"),NA())</f>
        <v/>
      </c>
      <c r="H504" s="22">
        <f>IFERROR(_xll.BDP(A504,"PX_VOLUME"),NA())</f>
        <v/>
      </c>
      <c r="I504" s="16">
        <f>IFERROR(H504/G504,NA())</f>
        <v/>
      </c>
      <c r="J504" s="16">
        <f>IF(ISNUMBER(I504),IF(I504&gt;=Settings!$B$7,"VOL SPIKE",""),"")</f>
        <v/>
      </c>
    </row>
    <row r="505">
      <c r="A505" s="16">
        <f>'Rest Universe'!A506</f>
        <v/>
      </c>
      <c r="B505" s="22">
        <f>IFERROR(_xll.BDP(A505,"NAME"),"")</f>
        <v/>
      </c>
      <c r="C505" s="22">
        <f>IFERROR(_xll.BDP(A505,"EQY_SH_OUT"),NA())</f>
        <v/>
      </c>
      <c r="D505" s="22">
        <f>IFERROR(_xll.BDH(A505,"EQY_SH_OUT","-"&amp;Settings!$B$4&amp;"AW","-"&amp;Settings!$B$4&amp;"AW","days=a","fill=p"),NA())</f>
        <v/>
      </c>
      <c r="E505" s="23">
        <f>IFERROR((C505-D505)/D505,NA())</f>
        <v/>
      </c>
      <c r="F505" s="16">
        <f>IF(ISNUMBER(E505),IF(E505&lt;=Settings!$B$6,"BUYBACK ACTIVITY",""),"")</f>
        <v/>
      </c>
      <c r="G505" s="22">
        <f>IFERROR(_xll.BDP(A505,"VOLUME_AVG_30D"),NA())</f>
        <v/>
      </c>
      <c r="H505" s="22">
        <f>IFERROR(_xll.BDP(A505,"PX_VOLUME"),NA())</f>
        <v/>
      </c>
      <c r="I505" s="16">
        <f>IFERROR(H505/G505,NA())</f>
        <v/>
      </c>
      <c r="J505" s="16">
        <f>IF(ISNUMBER(I505),IF(I505&gt;=Settings!$B$7,"VOL SPIKE",""),"")</f>
        <v/>
      </c>
    </row>
    <row r="506">
      <c r="A506" s="16">
        <f>'Rest Universe'!A507</f>
        <v/>
      </c>
      <c r="B506" s="22">
        <f>IFERROR(_xll.BDP(A506,"NAME"),"")</f>
        <v/>
      </c>
      <c r="C506" s="22">
        <f>IFERROR(_xll.BDP(A506,"EQY_SH_OUT"),NA())</f>
        <v/>
      </c>
      <c r="D506" s="22">
        <f>IFERROR(_xll.BDH(A506,"EQY_SH_OUT","-"&amp;Settings!$B$4&amp;"AW","-"&amp;Settings!$B$4&amp;"AW","days=a","fill=p"),NA())</f>
        <v/>
      </c>
      <c r="E506" s="23">
        <f>IFERROR((C506-D506)/D506,NA())</f>
        <v/>
      </c>
      <c r="F506" s="16">
        <f>IF(ISNUMBER(E506),IF(E506&lt;=Settings!$B$6,"BUYBACK ACTIVITY",""),"")</f>
        <v/>
      </c>
      <c r="G506" s="22">
        <f>IFERROR(_xll.BDP(A506,"VOLUME_AVG_30D"),NA())</f>
        <v/>
      </c>
      <c r="H506" s="22">
        <f>IFERROR(_xll.BDP(A506,"PX_VOLUME"),NA())</f>
        <v/>
      </c>
      <c r="I506" s="16">
        <f>IFERROR(H506/G506,NA())</f>
        <v/>
      </c>
      <c r="J506" s="16">
        <f>IF(ISNUMBER(I506),IF(I506&gt;=Settings!$B$7,"VOL SPIKE",""),"")</f>
        <v/>
      </c>
    </row>
    <row r="507">
      <c r="A507" s="16">
        <f>'Rest Universe'!A508</f>
        <v/>
      </c>
      <c r="B507" s="22">
        <f>IFERROR(_xll.BDP(A507,"NAME"),"")</f>
        <v/>
      </c>
      <c r="C507" s="22">
        <f>IFERROR(_xll.BDP(A507,"EQY_SH_OUT"),NA())</f>
        <v/>
      </c>
      <c r="D507" s="22">
        <f>IFERROR(_xll.BDH(A507,"EQY_SH_OUT","-"&amp;Settings!$B$4&amp;"AW","-"&amp;Settings!$B$4&amp;"AW","days=a","fill=p"),NA())</f>
        <v/>
      </c>
      <c r="E507" s="23">
        <f>IFERROR((C507-D507)/D507,NA())</f>
        <v/>
      </c>
      <c r="F507" s="16">
        <f>IF(ISNUMBER(E507),IF(E507&lt;=Settings!$B$6,"BUYBACK ACTIVITY",""),"")</f>
        <v/>
      </c>
      <c r="G507" s="22">
        <f>IFERROR(_xll.BDP(A507,"VOLUME_AVG_30D"),NA())</f>
        <v/>
      </c>
      <c r="H507" s="22">
        <f>IFERROR(_xll.BDP(A507,"PX_VOLUME"),NA())</f>
        <v/>
      </c>
      <c r="I507" s="16">
        <f>IFERROR(H507/G507,NA())</f>
        <v/>
      </c>
      <c r="J507" s="16">
        <f>IF(ISNUMBER(I507),IF(I507&gt;=Settings!$B$7,"VOL SPIKE",""),"")</f>
        <v/>
      </c>
    </row>
    <row r="508">
      <c r="A508" s="16">
        <f>'Rest Universe'!A509</f>
        <v/>
      </c>
      <c r="B508" s="22">
        <f>IFERROR(_xll.BDP(A508,"NAME"),"")</f>
        <v/>
      </c>
      <c r="C508" s="22">
        <f>IFERROR(_xll.BDP(A508,"EQY_SH_OUT"),NA())</f>
        <v/>
      </c>
      <c r="D508" s="22">
        <f>IFERROR(_xll.BDH(A508,"EQY_SH_OUT","-"&amp;Settings!$B$4&amp;"AW","-"&amp;Settings!$B$4&amp;"AW","days=a","fill=p"),NA())</f>
        <v/>
      </c>
      <c r="E508" s="23">
        <f>IFERROR((C508-D508)/D508,NA())</f>
        <v/>
      </c>
      <c r="F508" s="16">
        <f>IF(ISNUMBER(E508),IF(E508&lt;=Settings!$B$6,"BUYBACK ACTIVITY",""),"")</f>
        <v/>
      </c>
      <c r="G508" s="22">
        <f>IFERROR(_xll.BDP(A508,"VOLUME_AVG_30D"),NA())</f>
        <v/>
      </c>
      <c r="H508" s="22">
        <f>IFERROR(_xll.BDP(A508,"PX_VOLUME"),NA())</f>
        <v/>
      </c>
      <c r="I508" s="16">
        <f>IFERROR(H508/G508,NA())</f>
        <v/>
      </c>
      <c r="J508" s="16">
        <f>IF(ISNUMBER(I508),IF(I508&gt;=Settings!$B$7,"VOL SPIKE",""),"")</f>
        <v/>
      </c>
    </row>
    <row r="509">
      <c r="A509" s="16">
        <f>'Rest Universe'!A510</f>
        <v/>
      </c>
      <c r="B509" s="22">
        <f>IFERROR(_xll.BDP(A509,"NAME"),"")</f>
        <v/>
      </c>
      <c r="C509" s="22">
        <f>IFERROR(_xll.BDP(A509,"EQY_SH_OUT"),NA())</f>
        <v/>
      </c>
      <c r="D509" s="22">
        <f>IFERROR(_xll.BDH(A509,"EQY_SH_OUT","-"&amp;Settings!$B$4&amp;"AW","-"&amp;Settings!$B$4&amp;"AW","days=a","fill=p"),NA())</f>
        <v/>
      </c>
      <c r="E509" s="23">
        <f>IFERROR((C509-D509)/D509,NA())</f>
        <v/>
      </c>
      <c r="F509" s="16">
        <f>IF(ISNUMBER(E509),IF(E509&lt;=Settings!$B$6,"BUYBACK ACTIVITY",""),"")</f>
        <v/>
      </c>
      <c r="G509" s="22">
        <f>IFERROR(_xll.BDP(A509,"VOLUME_AVG_30D"),NA())</f>
        <v/>
      </c>
      <c r="H509" s="22">
        <f>IFERROR(_xll.BDP(A509,"PX_VOLUME"),NA())</f>
        <v/>
      </c>
      <c r="I509" s="16">
        <f>IFERROR(H509/G509,NA())</f>
        <v/>
      </c>
      <c r="J509" s="16">
        <f>IF(ISNUMBER(I509),IF(I509&gt;=Settings!$B$7,"VOL SPIKE",""),"")</f>
        <v/>
      </c>
    </row>
    <row r="510">
      <c r="A510" s="16">
        <f>'Rest Universe'!A511</f>
        <v/>
      </c>
      <c r="B510" s="22">
        <f>IFERROR(_xll.BDP(A510,"NAME"),"")</f>
        <v/>
      </c>
      <c r="C510" s="22">
        <f>IFERROR(_xll.BDP(A510,"EQY_SH_OUT"),NA())</f>
        <v/>
      </c>
      <c r="D510" s="22">
        <f>IFERROR(_xll.BDH(A510,"EQY_SH_OUT","-"&amp;Settings!$B$4&amp;"AW","-"&amp;Settings!$B$4&amp;"AW","days=a","fill=p"),NA())</f>
        <v/>
      </c>
      <c r="E510" s="23">
        <f>IFERROR((C510-D510)/D510,NA())</f>
        <v/>
      </c>
      <c r="F510" s="16">
        <f>IF(ISNUMBER(E510),IF(E510&lt;=Settings!$B$6,"BUYBACK ACTIVITY",""),"")</f>
        <v/>
      </c>
      <c r="G510" s="22">
        <f>IFERROR(_xll.BDP(A510,"VOLUME_AVG_30D"),NA())</f>
        <v/>
      </c>
      <c r="H510" s="22">
        <f>IFERROR(_xll.BDP(A510,"PX_VOLUME"),NA())</f>
        <v/>
      </c>
      <c r="I510" s="16">
        <f>IFERROR(H510/G510,NA())</f>
        <v/>
      </c>
      <c r="J510" s="16">
        <f>IF(ISNUMBER(I510),IF(I510&gt;=Settings!$B$7,"VOL SPIKE",""),"")</f>
        <v/>
      </c>
    </row>
    <row r="511">
      <c r="A511" s="16">
        <f>'Rest Universe'!A512</f>
        <v/>
      </c>
      <c r="B511" s="22">
        <f>IFERROR(_xll.BDP(A511,"NAME"),"")</f>
        <v/>
      </c>
      <c r="C511" s="22">
        <f>IFERROR(_xll.BDP(A511,"EQY_SH_OUT"),NA())</f>
        <v/>
      </c>
      <c r="D511" s="22">
        <f>IFERROR(_xll.BDH(A511,"EQY_SH_OUT","-"&amp;Settings!$B$4&amp;"AW","-"&amp;Settings!$B$4&amp;"AW","days=a","fill=p"),NA())</f>
        <v/>
      </c>
      <c r="E511" s="23">
        <f>IFERROR((C511-D511)/D511,NA())</f>
        <v/>
      </c>
      <c r="F511" s="16">
        <f>IF(ISNUMBER(E511),IF(E511&lt;=Settings!$B$6,"BUYBACK ACTIVITY",""),"")</f>
        <v/>
      </c>
      <c r="G511" s="22">
        <f>IFERROR(_xll.BDP(A511,"VOLUME_AVG_30D"),NA())</f>
        <v/>
      </c>
      <c r="H511" s="22">
        <f>IFERROR(_xll.BDP(A511,"PX_VOLUME"),NA())</f>
        <v/>
      </c>
      <c r="I511" s="16">
        <f>IFERROR(H511/G511,NA())</f>
        <v/>
      </c>
      <c r="J511" s="16">
        <f>IF(ISNUMBER(I511),IF(I511&gt;=Settings!$B$7,"VOL SPIKE",""),"")</f>
        <v/>
      </c>
    </row>
    <row r="512">
      <c r="A512" s="16">
        <f>'Rest Universe'!A513</f>
        <v/>
      </c>
      <c r="B512" s="22">
        <f>IFERROR(_xll.BDP(A512,"NAME"),"")</f>
        <v/>
      </c>
      <c r="C512" s="22">
        <f>IFERROR(_xll.BDP(A512,"EQY_SH_OUT"),NA())</f>
        <v/>
      </c>
      <c r="D512" s="22">
        <f>IFERROR(_xll.BDH(A512,"EQY_SH_OUT","-"&amp;Settings!$B$4&amp;"AW","-"&amp;Settings!$B$4&amp;"AW","days=a","fill=p"),NA())</f>
        <v/>
      </c>
      <c r="E512" s="23">
        <f>IFERROR((C512-D512)/D512,NA())</f>
        <v/>
      </c>
      <c r="F512" s="16">
        <f>IF(ISNUMBER(E512),IF(E512&lt;=Settings!$B$6,"BUYBACK ACTIVITY",""),"")</f>
        <v/>
      </c>
      <c r="G512" s="22">
        <f>IFERROR(_xll.BDP(A512,"VOLUME_AVG_30D"),NA())</f>
        <v/>
      </c>
      <c r="H512" s="22">
        <f>IFERROR(_xll.BDP(A512,"PX_VOLUME"),NA())</f>
        <v/>
      </c>
      <c r="I512" s="16">
        <f>IFERROR(H512/G512,NA())</f>
        <v/>
      </c>
      <c r="J512" s="16">
        <f>IF(ISNUMBER(I512),IF(I512&gt;=Settings!$B$7,"VOL SPIKE",""),"")</f>
        <v/>
      </c>
    </row>
    <row r="513">
      <c r="A513" s="16">
        <f>'Rest Universe'!A514</f>
        <v/>
      </c>
      <c r="B513" s="22">
        <f>IFERROR(_xll.BDP(A513,"NAME"),"")</f>
        <v/>
      </c>
      <c r="C513" s="22">
        <f>IFERROR(_xll.BDP(A513,"EQY_SH_OUT"),NA())</f>
        <v/>
      </c>
      <c r="D513" s="22">
        <f>IFERROR(_xll.BDH(A513,"EQY_SH_OUT","-"&amp;Settings!$B$4&amp;"AW","-"&amp;Settings!$B$4&amp;"AW","days=a","fill=p"),NA())</f>
        <v/>
      </c>
      <c r="E513" s="23">
        <f>IFERROR((C513-D513)/D513,NA())</f>
        <v/>
      </c>
      <c r="F513" s="16">
        <f>IF(ISNUMBER(E513),IF(E513&lt;=Settings!$B$6,"BUYBACK ACTIVITY",""),"")</f>
        <v/>
      </c>
      <c r="G513" s="22">
        <f>IFERROR(_xll.BDP(A513,"VOLUME_AVG_30D"),NA())</f>
        <v/>
      </c>
      <c r="H513" s="22">
        <f>IFERROR(_xll.BDP(A513,"PX_VOLUME"),NA())</f>
        <v/>
      </c>
      <c r="I513" s="16">
        <f>IFERROR(H513/G513,NA())</f>
        <v/>
      </c>
      <c r="J513" s="16">
        <f>IF(ISNUMBER(I513),IF(I513&gt;=Settings!$B$7,"VOL SPIKE",""),"")</f>
        <v/>
      </c>
    </row>
    <row r="514">
      <c r="A514" s="16">
        <f>'Rest Universe'!A515</f>
        <v/>
      </c>
      <c r="B514" s="22">
        <f>IFERROR(_xll.BDP(A514,"NAME"),"")</f>
        <v/>
      </c>
      <c r="C514" s="22">
        <f>IFERROR(_xll.BDP(A514,"EQY_SH_OUT"),NA())</f>
        <v/>
      </c>
      <c r="D514" s="22">
        <f>IFERROR(_xll.BDH(A514,"EQY_SH_OUT","-"&amp;Settings!$B$4&amp;"AW","-"&amp;Settings!$B$4&amp;"AW","days=a","fill=p"),NA())</f>
        <v/>
      </c>
      <c r="E514" s="23">
        <f>IFERROR((C514-D514)/D514,NA())</f>
        <v/>
      </c>
      <c r="F514" s="16">
        <f>IF(ISNUMBER(E514),IF(E514&lt;=Settings!$B$6,"BUYBACK ACTIVITY",""),"")</f>
        <v/>
      </c>
      <c r="G514" s="22">
        <f>IFERROR(_xll.BDP(A514,"VOLUME_AVG_30D"),NA())</f>
        <v/>
      </c>
      <c r="H514" s="22">
        <f>IFERROR(_xll.BDP(A514,"PX_VOLUME"),NA())</f>
        <v/>
      </c>
      <c r="I514" s="16">
        <f>IFERROR(H514/G514,NA())</f>
        <v/>
      </c>
      <c r="J514" s="16">
        <f>IF(ISNUMBER(I514),IF(I514&gt;=Settings!$B$7,"VOL SPIKE",""),"")</f>
        <v/>
      </c>
    </row>
    <row r="515">
      <c r="A515" s="16">
        <f>'Rest Universe'!A516</f>
        <v/>
      </c>
      <c r="B515" s="22">
        <f>IFERROR(_xll.BDP(A515,"NAME"),"")</f>
        <v/>
      </c>
      <c r="C515" s="22">
        <f>IFERROR(_xll.BDP(A515,"EQY_SH_OUT"),NA())</f>
        <v/>
      </c>
      <c r="D515" s="22">
        <f>IFERROR(_xll.BDH(A515,"EQY_SH_OUT","-"&amp;Settings!$B$4&amp;"AW","-"&amp;Settings!$B$4&amp;"AW","days=a","fill=p"),NA())</f>
        <v/>
      </c>
      <c r="E515" s="23">
        <f>IFERROR((C515-D515)/D515,NA())</f>
        <v/>
      </c>
      <c r="F515" s="16">
        <f>IF(ISNUMBER(E515),IF(E515&lt;=Settings!$B$6,"BUYBACK ACTIVITY",""),"")</f>
        <v/>
      </c>
      <c r="G515" s="22">
        <f>IFERROR(_xll.BDP(A515,"VOLUME_AVG_30D"),NA())</f>
        <v/>
      </c>
      <c r="H515" s="22">
        <f>IFERROR(_xll.BDP(A515,"PX_VOLUME"),NA())</f>
        <v/>
      </c>
      <c r="I515" s="16">
        <f>IFERROR(H515/G515,NA())</f>
        <v/>
      </c>
      <c r="J515" s="16">
        <f>IF(ISNUMBER(I515),IF(I515&gt;=Settings!$B$7,"VOL SPIKE",""),"")</f>
        <v/>
      </c>
    </row>
    <row r="516">
      <c r="A516" s="16">
        <f>'Rest Universe'!A517</f>
        <v/>
      </c>
      <c r="B516" s="22">
        <f>IFERROR(_xll.BDP(A516,"NAME"),"")</f>
        <v/>
      </c>
      <c r="C516" s="22">
        <f>IFERROR(_xll.BDP(A516,"EQY_SH_OUT"),NA())</f>
        <v/>
      </c>
      <c r="D516" s="22">
        <f>IFERROR(_xll.BDH(A516,"EQY_SH_OUT","-"&amp;Settings!$B$4&amp;"AW","-"&amp;Settings!$B$4&amp;"AW","days=a","fill=p"),NA())</f>
        <v/>
      </c>
      <c r="E516" s="23">
        <f>IFERROR((C516-D516)/D516,NA())</f>
        <v/>
      </c>
      <c r="F516" s="16">
        <f>IF(ISNUMBER(E516),IF(E516&lt;=Settings!$B$6,"BUYBACK ACTIVITY",""),"")</f>
        <v/>
      </c>
      <c r="G516" s="22">
        <f>IFERROR(_xll.BDP(A516,"VOLUME_AVG_30D"),NA())</f>
        <v/>
      </c>
      <c r="H516" s="22">
        <f>IFERROR(_xll.BDP(A516,"PX_VOLUME"),NA())</f>
        <v/>
      </c>
      <c r="I516" s="16">
        <f>IFERROR(H516/G516,NA())</f>
        <v/>
      </c>
      <c r="J516" s="16">
        <f>IF(ISNUMBER(I516),IF(I516&gt;=Settings!$B$7,"VOL SPIKE",""),"")</f>
        <v/>
      </c>
    </row>
    <row r="517">
      <c r="A517" s="16">
        <f>'Rest Universe'!A518</f>
        <v/>
      </c>
      <c r="B517" s="22">
        <f>IFERROR(_xll.BDP(A517,"NAME"),"")</f>
        <v/>
      </c>
      <c r="C517" s="22">
        <f>IFERROR(_xll.BDP(A517,"EQY_SH_OUT"),NA())</f>
        <v/>
      </c>
      <c r="D517" s="22">
        <f>IFERROR(_xll.BDH(A517,"EQY_SH_OUT","-"&amp;Settings!$B$4&amp;"AW","-"&amp;Settings!$B$4&amp;"AW","days=a","fill=p"),NA())</f>
        <v/>
      </c>
      <c r="E517" s="23">
        <f>IFERROR((C517-D517)/D517,NA())</f>
        <v/>
      </c>
      <c r="F517" s="16">
        <f>IF(ISNUMBER(E517),IF(E517&lt;=Settings!$B$6,"BUYBACK ACTIVITY",""),"")</f>
        <v/>
      </c>
      <c r="G517" s="22">
        <f>IFERROR(_xll.BDP(A517,"VOLUME_AVG_30D"),NA())</f>
        <v/>
      </c>
      <c r="H517" s="22">
        <f>IFERROR(_xll.BDP(A517,"PX_VOLUME"),NA())</f>
        <v/>
      </c>
      <c r="I517" s="16">
        <f>IFERROR(H517/G517,NA())</f>
        <v/>
      </c>
      <c r="J517" s="16">
        <f>IF(ISNUMBER(I517),IF(I517&gt;=Settings!$B$7,"VOL SPIKE",""),"")</f>
        <v/>
      </c>
    </row>
    <row r="518">
      <c r="A518" s="16">
        <f>'Rest Universe'!A519</f>
        <v/>
      </c>
      <c r="B518" s="22">
        <f>IFERROR(_xll.BDP(A518,"NAME"),"")</f>
        <v/>
      </c>
      <c r="C518" s="22">
        <f>IFERROR(_xll.BDP(A518,"EQY_SH_OUT"),NA())</f>
        <v/>
      </c>
      <c r="D518" s="22">
        <f>IFERROR(_xll.BDH(A518,"EQY_SH_OUT","-"&amp;Settings!$B$4&amp;"AW","-"&amp;Settings!$B$4&amp;"AW","days=a","fill=p"),NA())</f>
        <v/>
      </c>
      <c r="E518" s="23">
        <f>IFERROR((C518-D518)/D518,NA())</f>
        <v/>
      </c>
      <c r="F518" s="16">
        <f>IF(ISNUMBER(E518),IF(E518&lt;=Settings!$B$6,"BUYBACK ACTIVITY",""),"")</f>
        <v/>
      </c>
      <c r="G518" s="22">
        <f>IFERROR(_xll.BDP(A518,"VOLUME_AVG_30D"),NA())</f>
        <v/>
      </c>
      <c r="H518" s="22">
        <f>IFERROR(_xll.BDP(A518,"PX_VOLUME"),NA())</f>
        <v/>
      </c>
      <c r="I518" s="16">
        <f>IFERROR(H518/G518,NA())</f>
        <v/>
      </c>
      <c r="J518" s="16">
        <f>IF(ISNUMBER(I518),IF(I518&gt;=Settings!$B$7,"VOL SPIKE",""),"")</f>
        <v/>
      </c>
    </row>
    <row r="519">
      <c r="A519" s="16">
        <f>'Rest Universe'!A520</f>
        <v/>
      </c>
      <c r="B519" s="22">
        <f>IFERROR(_xll.BDP(A519,"NAME"),"")</f>
        <v/>
      </c>
      <c r="C519" s="22">
        <f>IFERROR(_xll.BDP(A519,"EQY_SH_OUT"),NA())</f>
        <v/>
      </c>
      <c r="D519" s="22">
        <f>IFERROR(_xll.BDH(A519,"EQY_SH_OUT","-"&amp;Settings!$B$4&amp;"AW","-"&amp;Settings!$B$4&amp;"AW","days=a","fill=p"),NA())</f>
        <v/>
      </c>
      <c r="E519" s="23">
        <f>IFERROR((C519-D519)/D519,NA())</f>
        <v/>
      </c>
      <c r="F519" s="16">
        <f>IF(ISNUMBER(E519),IF(E519&lt;=Settings!$B$6,"BUYBACK ACTIVITY",""),"")</f>
        <v/>
      </c>
      <c r="G519" s="22">
        <f>IFERROR(_xll.BDP(A519,"VOLUME_AVG_30D"),NA())</f>
        <v/>
      </c>
      <c r="H519" s="22">
        <f>IFERROR(_xll.BDP(A519,"PX_VOLUME"),NA())</f>
        <v/>
      </c>
      <c r="I519" s="16">
        <f>IFERROR(H519/G519,NA())</f>
        <v/>
      </c>
      <c r="J519" s="16">
        <f>IF(ISNUMBER(I519),IF(I519&gt;=Settings!$B$7,"VOL SPIKE",""),"")</f>
        <v/>
      </c>
    </row>
    <row r="520">
      <c r="A520" s="16">
        <f>'Rest Universe'!A521</f>
        <v/>
      </c>
      <c r="B520" s="22">
        <f>IFERROR(_xll.BDP(A520,"NAME"),"")</f>
        <v/>
      </c>
      <c r="C520" s="22">
        <f>IFERROR(_xll.BDP(A520,"EQY_SH_OUT"),NA())</f>
        <v/>
      </c>
      <c r="D520" s="22">
        <f>IFERROR(_xll.BDH(A520,"EQY_SH_OUT","-"&amp;Settings!$B$4&amp;"AW","-"&amp;Settings!$B$4&amp;"AW","days=a","fill=p"),NA())</f>
        <v/>
      </c>
      <c r="E520" s="23">
        <f>IFERROR((C520-D520)/D520,NA())</f>
        <v/>
      </c>
      <c r="F520" s="16">
        <f>IF(ISNUMBER(E520),IF(E520&lt;=Settings!$B$6,"BUYBACK ACTIVITY",""),"")</f>
        <v/>
      </c>
      <c r="G520" s="22">
        <f>IFERROR(_xll.BDP(A520,"VOLUME_AVG_30D"),NA())</f>
        <v/>
      </c>
      <c r="H520" s="22">
        <f>IFERROR(_xll.BDP(A520,"PX_VOLUME"),NA())</f>
        <v/>
      </c>
      <c r="I520" s="16">
        <f>IFERROR(H520/G520,NA())</f>
        <v/>
      </c>
      <c r="J520" s="16">
        <f>IF(ISNUMBER(I520),IF(I520&gt;=Settings!$B$7,"VOL SPIKE",""),"")</f>
        <v/>
      </c>
    </row>
    <row r="521">
      <c r="A521" s="16">
        <f>'Rest Universe'!A522</f>
        <v/>
      </c>
      <c r="B521" s="22">
        <f>IFERROR(_xll.BDP(A521,"NAME"),"")</f>
        <v/>
      </c>
      <c r="C521" s="22">
        <f>IFERROR(_xll.BDP(A521,"EQY_SH_OUT"),NA())</f>
        <v/>
      </c>
      <c r="D521" s="22">
        <f>IFERROR(_xll.BDH(A521,"EQY_SH_OUT","-"&amp;Settings!$B$4&amp;"AW","-"&amp;Settings!$B$4&amp;"AW","days=a","fill=p"),NA())</f>
        <v/>
      </c>
      <c r="E521" s="23">
        <f>IFERROR((C521-D521)/D521,NA())</f>
        <v/>
      </c>
      <c r="F521" s="16">
        <f>IF(ISNUMBER(E521),IF(E521&lt;=Settings!$B$6,"BUYBACK ACTIVITY",""),"")</f>
        <v/>
      </c>
      <c r="G521" s="22">
        <f>IFERROR(_xll.BDP(A521,"VOLUME_AVG_30D"),NA())</f>
        <v/>
      </c>
      <c r="H521" s="22">
        <f>IFERROR(_xll.BDP(A521,"PX_VOLUME"),NA())</f>
        <v/>
      </c>
      <c r="I521" s="16">
        <f>IFERROR(H521/G521,NA())</f>
        <v/>
      </c>
      <c r="J521" s="16">
        <f>IF(ISNUMBER(I521),IF(I521&gt;=Settings!$B$7,"VOL SPIKE",""),"")</f>
        <v/>
      </c>
    </row>
    <row r="522">
      <c r="A522" s="16">
        <f>'Rest Universe'!A523</f>
        <v/>
      </c>
      <c r="B522" s="22">
        <f>IFERROR(_xll.BDP(A522,"NAME"),"")</f>
        <v/>
      </c>
      <c r="C522" s="22">
        <f>IFERROR(_xll.BDP(A522,"EQY_SH_OUT"),NA())</f>
        <v/>
      </c>
      <c r="D522" s="22">
        <f>IFERROR(_xll.BDH(A522,"EQY_SH_OUT","-"&amp;Settings!$B$4&amp;"AW","-"&amp;Settings!$B$4&amp;"AW","days=a","fill=p"),NA())</f>
        <v/>
      </c>
      <c r="E522" s="23">
        <f>IFERROR((C522-D522)/D522,NA())</f>
        <v/>
      </c>
      <c r="F522" s="16">
        <f>IF(ISNUMBER(E522),IF(E522&lt;=Settings!$B$6,"BUYBACK ACTIVITY",""),"")</f>
        <v/>
      </c>
      <c r="G522" s="22">
        <f>IFERROR(_xll.BDP(A522,"VOLUME_AVG_30D"),NA())</f>
        <v/>
      </c>
      <c r="H522" s="22">
        <f>IFERROR(_xll.BDP(A522,"PX_VOLUME"),NA())</f>
        <v/>
      </c>
      <c r="I522" s="16">
        <f>IFERROR(H522/G522,NA())</f>
        <v/>
      </c>
      <c r="J522" s="16">
        <f>IF(ISNUMBER(I522),IF(I522&gt;=Settings!$B$7,"VOL SPIKE",""),"")</f>
        <v/>
      </c>
    </row>
    <row r="523">
      <c r="A523" s="16">
        <f>'Rest Universe'!A524</f>
        <v/>
      </c>
      <c r="B523" s="22">
        <f>IFERROR(_xll.BDP(A523,"NAME"),"")</f>
        <v/>
      </c>
      <c r="C523" s="22">
        <f>IFERROR(_xll.BDP(A523,"EQY_SH_OUT"),NA())</f>
        <v/>
      </c>
      <c r="D523" s="22">
        <f>IFERROR(_xll.BDH(A523,"EQY_SH_OUT","-"&amp;Settings!$B$4&amp;"AW","-"&amp;Settings!$B$4&amp;"AW","days=a","fill=p"),NA())</f>
        <v/>
      </c>
      <c r="E523" s="23">
        <f>IFERROR((C523-D523)/D523,NA())</f>
        <v/>
      </c>
      <c r="F523" s="16">
        <f>IF(ISNUMBER(E523),IF(E523&lt;=Settings!$B$6,"BUYBACK ACTIVITY",""),"")</f>
        <v/>
      </c>
      <c r="G523" s="22">
        <f>IFERROR(_xll.BDP(A523,"VOLUME_AVG_30D"),NA())</f>
        <v/>
      </c>
      <c r="H523" s="22">
        <f>IFERROR(_xll.BDP(A523,"PX_VOLUME"),NA())</f>
        <v/>
      </c>
      <c r="I523" s="16">
        <f>IFERROR(H523/G523,NA())</f>
        <v/>
      </c>
      <c r="J523" s="16">
        <f>IF(ISNUMBER(I523),IF(I523&gt;=Settings!$B$7,"VOL SPIKE",""),"")</f>
        <v/>
      </c>
    </row>
    <row r="524">
      <c r="A524" s="16">
        <f>'Rest Universe'!A525</f>
        <v/>
      </c>
      <c r="B524" s="22">
        <f>IFERROR(_xll.BDP(A524,"NAME"),"")</f>
        <v/>
      </c>
      <c r="C524" s="22">
        <f>IFERROR(_xll.BDP(A524,"EQY_SH_OUT"),NA())</f>
        <v/>
      </c>
      <c r="D524" s="22">
        <f>IFERROR(_xll.BDH(A524,"EQY_SH_OUT","-"&amp;Settings!$B$4&amp;"AW","-"&amp;Settings!$B$4&amp;"AW","days=a","fill=p"),NA())</f>
        <v/>
      </c>
      <c r="E524" s="23">
        <f>IFERROR((C524-D524)/D524,NA())</f>
        <v/>
      </c>
      <c r="F524" s="16">
        <f>IF(ISNUMBER(E524),IF(E524&lt;=Settings!$B$6,"BUYBACK ACTIVITY",""),"")</f>
        <v/>
      </c>
      <c r="G524" s="22">
        <f>IFERROR(_xll.BDP(A524,"VOLUME_AVG_30D"),NA())</f>
        <v/>
      </c>
      <c r="H524" s="22">
        <f>IFERROR(_xll.BDP(A524,"PX_VOLUME"),NA())</f>
        <v/>
      </c>
      <c r="I524" s="16">
        <f>IFERROR(H524/G524,NA())</f>
        <v/>
      </c>
      <c r="J524" s="16">
        <f>IF(ISNUMBER(I524),IF(I524&gt;=Settings!$B$7,"VOL SPIKE",""),"")</f>
        <v/>
      </c>
    </row>
    <row r="525">
      <c r="A525" s="16">
        <f>'Rest Universe'!A526</f>
        <v/>
      </c>
      <c r="B525" s="22">
        <f>IFERROR(_xll.BDP(A525,"NAME"),"")</f>
        <v/>
      </c>
      <c r="C525" s="22">
        <f>IFERROR(_xll.BDP(A525,"EQY_SH_OUT"),NA())</f>
        <v/>
      </c>
      <c r="D525" s="22">
        <f>IFERROR(_xll.BDH(A525,"EQY_SH_OUT","-"&amp;Settings!$B$4&amp;"AW","-"&amp;Settings!$B$4&amp;"AW","days=a","fill=p"),NA())</f>
        <v/>
      </c>
      <c r="E525" s="23">
        <f>IFERROR((C525-D525)/D525,NA())</f>
        <v/>
      </c>
      <c r="F525" s="16">
        <f>IF(ISNUMBER(E525),IF(E525&lt;=Settings!$B$6,"BUYBACK ACTIVITY",""),"")</f>
        <v/>
      </c>
      <c r="G525" s="22">
        <f>IFERROR(_xll.BDP(A525,"VOLUME_AVG_30D"),NA())</f>
        <v/>
      </c>
      <c r="H525" s="22">
        <f>IFERROR(_xll.BDP(A525,"PX_VOLUME"),NA())</f>
        <v/>
      </c>
      <c r="I525" s="16">
        <f>IFERROR(H525/G525,NA())</f>
        <v/>
      </c>
      <c r="J525" s="16">
        <f>IF(ISNUMBER(I525),IF(I525&gt;=Settings!$B$7,"VOL SPIKE",""),"")</f>
        <v/>
      </c>
    </row>
    <row r="526">
      <c r="A526" s="16">
        <f>'Rest Universe'!A527</f>
        <v/>
      </c>
      <c r="B526" s="22">
        <f>IFERROR(_xll.BDP(A526,"NAME"),"")</f>
        <v/>
      </c>
      <c r="C526" s="22">
        <f>IFERROR(_xll.BDP(A526,"EQY_SH_OUT"),NA())</f>
        <v/>
      </c>
      <c r="D526" s="22">
        <f>IFERROR(_xll.BDH(A526,"EQY_SH_OUT","-"&amp;Settings!$B$4&amp;"AW","-"&amp;Settings!$B$4&amp;"AW","days=a","fill=p"),NA())</f>
        <v/>
      </c>
      <c r="E526" s="23">
        <f>IFERROR((C526-D526)/D526,NA())</f>
        <v/>
      </c>
      <c r="F526" s="16">
        <f>IF(ISNUMBER(E526),IF(E526&lt;=Settings!$B$6,"BUYBACK ACTIVITY",""),"")</f>
        <v/>
      </c>
      <c r="G526" s="22">
        <f>IFERROR(_xll.BDP(A526,"VOLUME_AVG_30D"),NA())</f>
        <v/>
      </c>
      <c r="H526" s="22">
        <f>IFERROR(_xll.BDP(A526,"PX_VOLUME"),NA())</f>
        <v/>
      </c>
      <c r="I526" s="16">
        <f>IFERROR(H526/G526,NA())</f>
        <v/>
      </c>
      <c r="J526" s="16">
        <f>IF(ISNUMBER(I526),IF(I526&gt;=Settings!$B$7,"VOL SPIKE",""),"")</f>
        <v/>
      </c>
    </row>
    <row r="527">
      <c r="A527" s="16">
        <f>'Rest Universe'!A528</f>
        <v/>
      </c>
      <c r="B527" s="22">
        <f>IFERROR(_xll.BDP(A527,"NAME"),"")</f>
        <v/>
      </c>
      <c r="C527" s="22">
        <f>IFERROR(_xll.BDP(A527,"EQY_SH_OUT"),NA())</f>
        <v/>
      </c>
      <c r="D527" s="22">
        <f>IFERROR(_xll.BDH(A527,"EQY_SH_OUT","-"&amp;Settings!$B$4&amp;"AW","-"&amp;Settings!$B$4&amp;"AW","days=a","fill=p"),NA())</f>
        <v/>
      </c>
      <c r="E527" s="23">
        <f>IFERROR((C527-D527)/D527,NA())</f>
        <v/>
      </c>
      <c r="F527" s="16">
        <f>IF(ISNUMBER(E527),IF(E527&lt;=Settings!$B$6,"BUYBACK ACTIVITY",""),"")</f>
        <v/>
      </c>
      <c r="G527" s="22">
        <f>IFERROR(_xll.BDP(A527,"VOLUME_AVG_30D"),NA())</f>
        <v/>
      </c>
      <c r="H527" s="22">
        <f>IFERROR(_xll.BDP(A527,"PX_VOLUME"),NA())</f>
        <v/>
      </c>
      <c r="I527" s="16">
        <f>IFERROR(H527/G527,NA())</f>
        <v/>
      </c>
      <c r="J527" s="16">
        <f>IF(ISNUMBER(I527),IF(I527&gt;=Settings!$B$7,"VOL SPIKE",""),"")</f>
        <v/>
      </c>
    </row>
    <row r="528">
      <c r="A528" s="16">
        <f>'Rest Universe'!A529</f>
        <v/>
      </c>
      <c r="B528" s="22">
        <f>IFERROR(_xll.BDP(A528,"NAME"),"")</f>
        <v/>
      </c>
      <c r="C528" s="22">
        <f>IFERROR(_xll.BDP(A528,"EQY_SH_OUT"),NA())</f>
        <v/>
      </c>
      <c r="D528" s="22">
        <f>IFERROR(_xll.BDH(A528,"EQY_SH_OUT","-"&amp;Settings!$B$4&amp;"AW","-"&amp;Settings!$B$4&amp;"AW","days=a","fill=p"),NA())</f>
        <v/>
      </c>
      <c r="E528" s="23">
        <f>IFERROR((C528-D528)/D528,NA())</f>
        <v/>
      </c>
      <c r="F528" s="16">
        <f>IF(ISNUMBER(E528),IF(E528&lt;=Settings!$B$6,"BUYBACK ACTIVITY",""),"")</f>
        <v/>
      </c>
      <c r="G528" s="22">
        <f>IFERROR(_xll.BDP(A528,"VOLUME_AVG_30D"),NA())</f>
        <v/>
      </c>
      <c r="H528" s="22">
        <f>IFERROR(_xll.BDP(A528,"PX_VOLUME"),NA())</f>
        <v/>
      </c>
      <c r="I528" s="16">
        <f>IFERROR(H528/G528,NA())</f>
        <v/>
      </c>
      <c r="J528" s="16">
        <f>IF(ISNUMBER(I528),IF(I528&gt;=Settings!$B$7,"VOL SPIKE",""),"")</f>
        <v/>
      </c>
    </row>
    <row r="529">
      <c r="A529" s="16">
        <f>'Rest Universe'!A530</f>
        <v/>
      </c>
      <c r="B529" s="22">
        <f>IFERROR(_xll.BDP(A529,"NAME"),"")</f>
        <v/>
      </c>
      <c r="C529" s="22">
        <f>IFERROR(_xll.BDP(A529,"EQY_SH_OUT"),NA())</f>
        <v/>
      </c>
      <c r="D529" s="22">
        <f>IFERROR(_xll.BDH(A529,"EQY_SH_OUT","-"&amp;Settings!$B$4&amp;"AW","-"&amp;Settings!$B$4&amp;"AW","days=a","fill=p"),NA())</f>
        <v/>
      </c>
      <c r="E529" s="23">
        <f>IFERROR((C529-D529)/D529,NA())</f>
        <v/>
      </c>
      <c r="F529" s="16">
        <f>IF(ISNUMBER(E529),IF(E529&lt;=Settings!$B$6,"BUYBACK ACTIVITY",""),"")</f>
        <v/>
      </c>
      <c r="G529" s="22">
        <f>IFERROR(_xll.BDP(A529,"VOLUME_AVG_30D"),NA())</f>
        <v/>
      </c>
      <c r="H529" s="22">
        <f>IFERROR(_xll.BDP(A529,"PX_VOLUME"),NA())</f>
        <v/>
      </c>
      <c r="I529" s="16">
        <f>IFERROR(H529/G529,NA())</f>
        <v/>
      </c>
      <c r="J529" s="16">
        <f>IF(ISNUMBER(I529),IF(I529&gt;=Settings!$B$7,"VOL SPIKE",""),"")</f>
        <v/>
      </c>
    </row>
    <row r="530">
      <c r="A530" s="16">
        <f>'Rest Universe'!A531</f>
        <v/>
      </c>
      <c r="B530" s="22">
        <f>IFERROR(_xll.BDP(A530,"NAME"),"")</f>
        <v/>
      </c>
      <c r="C530" s="22">
        <f>IFERROR(_xll.BDP(A530,"EQY_SH_OUT"),NA())</f>
        <v/>
      </c>
      <c r="D530" s="22">
        <f>IFERROR(_xll.BDH(A530,"EQY_SH_OUT","-"&amp;Settings!$B$4&amp;"AW","-"&amp;Settings!$B$4&amp;"AW","days=a","fill=p"),NA())</f>
        <v/>
      </c>
      <c r="E530" s="23">
        <f>IFERROR((C530-D530)/D530,NA())</f>
        <v/>
      </c>
      <c r="F530" s="16">
        <f>IF(ISNUMBER(E530),IF(E530&lt;=Settings!$B$6,"BUYBACK ACTIVITY",""),"")</f>
        <v/>
      </c>
      <c r="G530" s="22">
        <f>IFERROR(_xll.BDP(A530,"VOLUME_AVG_30D"),NA())</f>
        <v/>
      </c>
      <c r="H530" s="22">
        <f>IFERROR(_xll.BDP(A530,"PX_VOLUME"),NA())</f>
        <v/>
      </c>
      <c r="I530" s="16">
        <f>IFERROR(H530/G530,NA())</f>
        <v/>
      </c>
      <c r="J530" s="16">
        <f>IF(ISNUMBER(I530),IF(I530&gt;=Settings!$B$7,"VOL SPIKE",""),"")</f>
        <v/>
      </c>
    </row>
    <row r="531">
      <c r="A531" s="16">
        <f>'Rest Universe'!A532</f>
        <v/>
      </c>
      <c r="B531" s="22">
        <f>IFERROR(_xll.BDP(A531,"NAME"),"")</f>
        <v/>
      </c>
      <c r="C531" s="22">
        <f>IFERROR(_xll.BDP(A531,"EQY_SH_OUT"),NA())</f>
        <v/>
      </c>
      <c r="D531" s="22">
        <f>IFERROR(_xll.BDH(A531,"EQY_SH_OUT","-"&amp;Settings!$B$4&amp;"AW","-"&amp;Settings!$B$4&amp;"AW","days=a","fill=p"),NA())</f>
        <v/>
      </c>
      <c r="E531" s="23">
        <f>IFERROR((C531-D531)/D531,NA())</f>
        <v/>
      </c>
      <c r="F531" s="16">
        <f>IF(ISNUMBER(E531),IF(E531&lt;=Settings!$B$6,"BUYBACK ACTIVITY",""),"")</f>
        <v/>
      </c>
      <c r="G531" s="22">
        <f>IFERROR(_xll.BDP(A531,"VOLUME_AVG_30D"),NA())</f>
        <v/>
      </c>
      <c r="H531" s="22">
        <f>IFERROR(_xll.BDP(A531,"PX_VOLUME"),NA())</f>
        <v/>
      </c>
      <c r="I531" s="16">
        <f>IFERROR(H531/G531,NA())</f>
        <v/>
      </c>
      <c r="J531" s="16">
        <f>IF(ISNUMBER(I531),IF(I531&gt;=Settings!$B$7,"VOL SPIKE",""),"")</f>
        <v/>
      </c>
    </row>
    <row r="532">
      <c r="A532" s="16">
        <f>'Rest Universe'!A533</f>
        <v/>
      </c>
      <c r="B532" s="22">
        <f>IFERROR(_xll.BDP(A532,"NAME"),"")</f>
        <v/>
      </c>
      <c r="C532" s="22">
        <f>IFERROR(_xll.BDP(A532,"EQY_SH_OUT"),NA())</f>
        <v/>
      </c>
      <c r="D532" s="22">
        <f>IFERROR(_xll.BDH(A532,"EQY_SH_OUT","-"&amp;Settings!$B$4&amp;"AW","-"&amp;Settings!$B$4&amp;"AW","days=a","fill=p"),NA())</f>
        <v/>
      </c>
      <c r="E532" s="23">
        <f>IFERROR((C532-D532)/D532,NA())</f>
        <v/>
      </c>
      <c r="F532" s="16">
        <f>IF(ISNUMBER(E532),IF(E532&lt;=Settings!$B$6,"BUYBACK ACTIVITY",""),"")</f>
        <v/>
      </c>
      <c r="G532" s="22">
        <f>IFERROR(_xll.BDP(A532,"VOLUME_AVG_30D"),NA())</f>
        <v/>
      </c>
      <c r="H532" s="22">
        <f>IFERROR(_xll.BDP(A532,"PX_VOLUME"),NA())</f>
        <v/>
      </c>
      <c r="I532" s="16">
        <f>IFERROR(H532/G532,NA())</f>
        <v/>
      </c>
      <c r="J532" s="16">
        <f>IF(ISNUMBER(I532),IF(I532&gt;=Settings!$B$7,"VOL SPIKE",""),"")</f>
        <v/>
      </c>
    </row>
    <row r="533">
      <c r="A533" s="16">
        <f>'Rest Universe'!A534</f>
        <v/>
      </c>
      <c r="B533" s="22">
        <f>IFERROR(_xll.BDP(A533,"NAME"),"")</f>
        <v/>
      </c>
      <c r="C533" s="22">
        <f>IFERROR(_xll.BDP(A533,"EQY_SH_OUT"),NA())</f>
        <v/>
      </c>
      <c r="D533" s="22">
        <f>IFERROR(_xll.BDH(A533,"EQY_SH_OUT","-"&amp;Settings!$B$4&amp;"AW","-"&amp;Settings!$B$4&amp;"AW","days=a","fill=p"),NA())</f>
        <v/>
      </c>
      <c r="E533" s="23">
        <f>IFERROR((C533-D533)/D533,NA())</f>
        <v/>
      </c>
      <c r="F533" s="16">
        <f>IF(ISNUMBER(E533),IF(E533&lt;=Settings!$B$6,"BUYBACK ACTIVITY",""),"")</f>
        <v/>
      </c>
      <c r="G533" s="22">
        <f>IFERROR(_xll.BDP(A533,"VOLUME_AVG_30D"),NA())</f>
        <v/>
      </c>
      <c r="H533" s="22">
        <f>IFERROR(_xll.BDP(A533,"PX_VOLUME"),NA())</f>
        <v/>
      </c>
      <c r="I533" s="16">
        <f>IFERROR(H533/G533,NA())</f>
        <v/>
      </c>
      <c r="J533" s="16">
        <f>IF(ISNUMBER(I533),IF(I533&gt;=Settings!$B$7,"VOL SPIKE",""),"")</f>
        <v/>
      </c>
    </row>
    <row r="534">
      <c r="A534" s="16">
        <f>'Rest Universe'!A535</f>
        <v/>
      </c>
      <c r="B534" s="22">
        <f>IFERROR(_xll.BDP(A534,"NAME"),"")</f>
        <v/>
      </c>
      <c r="C534" s="22">
        <f>IFERROR(_xll.BDP(A534,"EQY_SH_OUT"),NA())</f>
        <v/>
      </c>
      <c r="D534" s="22">
        <f>IFERROR(_xll.BDH(A534,"EQY_SH_OUT","-"&amp;Settings!$B$4&amp;"AW","-"&amp;Settings!$B$4&amp;"AW","days=a","fill=p"),NA())</f>
        <v/>
      </c>
      <c r="E534" s="23">
        <f>IFERROR((C534-D534)/D534,NA())</f>
        <v/>
      </c>
      <c r="F534" s="16">
        <f>IF(ISNUMBER(E534),IF(E534&lt;=Settings!$B$6,"BUYBACK ACTIVITY",""),"")</f>
        <v/>
      </c>
      <c r="G534" s="22">
        <f>IFERROR(_xll.BDP(A534,"VOLUME_AVG_30D"),NA())</f>
        <v/>
      </c>
      <c r="H534" s="22">
        <f>IFERROR(_xll.BDP(A534,"PX_VOLUME"),NA())</f>
        <v/>
      </c>
      <c r="I534" s="16">
        <f>IFERROR(H534/G534,NA())</f>
        <v/>
      </c>
      <c r="J534" s="16">
        <f>IF(ISNUMBER(I534),IF(I534&gt;=Settings!$B$7,"VOL SPIKE",""),"")</f>
        <v/>
      </c>
    </row>
    <row r="535">
      <c r="A535" s="16">
        <f>'Rest Universe'!A536</f>
        <v/>
      </c>
      <c r="B535" s="22">
        <f>IFERROR(_xll.BDP(A535,"NAME"),"")</f>
        <v/>
      </c>
      <c r="C535" s="22">
        <f>IFERROR(_xll.BDP(A535,"EQY_SH_OUT"),NA())</f>
        <v/>
      </c>
      <c r="D535" s="22">
        <f>IFERROR(_xll.BDH(A535,"EQY_SH_OUT","-"&amp;Settings!$B$4&amp;"AW","-"&amp;Settings!$B$4&amp;"AW","days=a","fill=p"),NA())</f>
        <v/>
      </c>
      <c r="E535" s="23">
        <f>IFERROR((C535-D535)/D535,NA())</f>
        <v/>
      </c>
      <c r="F535" s="16">
        <f>IF(ISNUMBER(E535),IF(E535&lt;=Settings!$B$6,"BUYBACK ACTIVITY",""),"")</f>
        <v/>
      </c>
      <c r="G535" s="22">
        <f>IFERROR(_xll.BDP(A535,"VOLUME_AVG_30D"),NA())</f>
        <v/>
      </c>
      <c r="H535" s="22">
        <f>IFERROR(_xll.BDP(A535,"PX_VOLUME"),NA())</f>
        <v/>
      </c>
      <c r="I535" s="16">
        <f>IFERROR(H535/G535,NA())</f>
        <v/>
      </c>
      <c r="J535" s="16">
        <f>IF(ISNUMBER(I535),IF(I535&gt;=Settings!$B$7,"VOL SPIKE",""),"")</f>
        <v/>
      </c>
    </row>
    <row r="536">
      <c r="A536" s="16">
        <f>'Rest Universe'!A537</f>
        <v/>
      </c>
      <c r="B536" s="22">
        <f>IFERROR(_xll.BDP(A536,"NAME"),"")</f>
        <v/>
      </c>
      <c r="C536" s="22">
        <f>IFERROR(_xll.BDP(A536,"EQY_SH_OUT"),NA())</f>
        <v/>
      </c>
      <c r="D536" s="22">
        <f>IFERROR(_xll.BDH(A536,"EQY_SH_OUT","-"&amp;Settings!$B$4&amp;"AW","-"&amp;Settings!$B$4&amp;"AW","days=a","fill=p"),NA())</f>
        <v/>
      </c>
      <c r="E536" s="23">
        <f>IFERROR((C536-D536)/D536,NA())</f>
        <v/>
      </c>
      <c r="F536" s="16">
        <f>IF(ISNUMBER(E536),IF(E536&lt;=Settings!$B$6,"BUYBACK ACTIVITY",""),"")</f>
        <v/>
      </c>
      <c r="G536" s="22">
        <f>IFERROR(_xll.BDP(A536,"VOLUME_AVG_30D"),NA())</f>
        <v/>
      </c>
      <c r="H536" s="22">
        <f>IFERROR(_xll.BDP(A536,"PX_VOLUME"),NA())</f>
        <v/>
      </c>
      <c r="I536" s="16">
        <f>IFERROR(H536/G536,NA())</f>
        <v/>
      </c>
      <c r="J536" s="16">
        <f>IF(ISNUMBER(I536),IF(I536&gt;=Settings!$B$7,"VOL SPIKE",""),"")</f>
        <v/>
      </c>
    </row>
    <row r="537">
      <c r="A537" s="16">
        <f>'Rest Universe'!A538</f>
        <v/>
      </c>
      <c r="B537" s="22">
        <f>IFERROR(_xll.BDP(A537,"NAME"),"")</f>
        <v/>
      </c>
      <c r="C537" s="22">
        <f>IFERROR(_xll.BDP(A537,"EQY_SH_OUT"),NA())</f>
        <v/>
      </c>
      <c r="D537" s="22">
        <f>IFERROR(_xll.BDH(A537,"EQY_SH_OUT","-"&amp;Settings!$B$4&amp;"AW","-"&amp;Settings!$B$4&amp;"AW","days=a","fill=p"),NA())</f>
        <v/>
      </c>
      <c r="E537" s="23">
        <f>IFERROR((C537-D537)/D537,NA())</f>
        <v/>
      </c>
      <c r="F537" s="16">
        <f>IF(ISNUMBER(E537),IF(E537&lt;=Settings!$B$6,"BUYBACK ACTIVITY",""),"")</f>
        <v/>
      </c>
      <c r="G537" s="22">
        <f>IFERROR(_xll.BDP(A537,"VOLUME_AVG_30D"),NA())</f>
        <v/>
      </c>
      <c r="H537" s="22">
        <f>IFERROR(_xll.BDP(A537,"PX_VOLUME"),NA())</f>
        <v/>
      </c>
      <c r="I537" s="16">
        <f>IFERROR(H537/G537,NA())</f>
        <v/>
      </c>
      <c r="J537" s="16">
        <f>IF(ISNUMBER(I537),IF(I537&gt;=Settings!$B$7,"VOL SPIKE",""),"")</f>
        <v/>
      </c>
    </row>
    <row r="538">
      <c r="A538" s="16">
        <f>'Rest Universe'!A539</f>
        <v/>
      </c>
      <c r="B538" s="22">
        <f>IFERROR(_xll.BDP(A538,"NAME"),"")</f>
        <v/>
      </c>
      <c r="C538" s="22">
        <f>IFERROR(_xll.BDP(A538,"EQY_SH_OUT"),NA())</f>
        <v/>
      </c>
      <c r="D538" s="22">
        <f>IFERROR(_xll.BDH(A538,"EQY_SH_OUT","-"&amp;Settings!$B$4&amp;"AW","-"&amp;Settings!$B$4&amp;"AW","days=a","fill=p"),NA())</f>
        <v/>
      </c>
      <c r="E538" s="23">
        <f>IFERROR((C538-D538)/D538,NA())</f>
        <v/>
      </c>
      <c r="F538" s="16">
        <f>IF(ISNUMBER(E538),IF(E538&lt;=Settings!$B$6,"BUYBACK ACTIVITY",""),"")</f>
        <v/>
      </c>
      <c r="G538" s="22">
        <f>IFERROR(_xll.BDP(A538,"VOLUME_AVG_30D"),NA())</f>
        <v/>
      </c>
      <c r="H538" s="22">
        <f>IFERROR(_xll.BDP(A538,"PX_VOLUME"),NA())</f>
        <v/>
      </c>
      <c r="I538" s="16">
        <f>IFERROR(H538/G538,NA())</f>
        <v/>
      </c>
      <c r="J538" s="16">
        <f>IF(ISNUMBER(I538),IF(I538&gt;=Settings!$B$7,"VOL SPIKE",""),"")</f>
        <v/>
      </c>
    </row>
    <row r="539">
      <c r="A539" s="16">
        <f>'Rest Universe'!A540</f>
        <v/>
      </c>
      <c r="B539" s="22">
        <f>IFERROR(_xll.BDP(A539,"NAME"),"")</f>
        <v/>
      </c>
      <c r="C539" s="22">
        <f>IFERROR(_xll.BDP(A539,"EQY_SH_OUT"),NA())</f>
        <v/>
      </c>
      <c r="D539" s="22">
        <f>IFERROR(_xll.BDH(A539,"EQY_SH_OUT","-"&amp;Settings!$B$4&amp;"AW","-"&amp;Settings!$B$4&amp;"AW","days=a","fill=p"),NA())</f>
        <v/>
      </c>
      <c r="E539" s="23">
        <f>IFERROR((C539-D539)/D539,NA())</f>
        <v/>
      </c>
      <c r="F539" s="16">
        <f>IF(ISNUMBER(E539),IF(E539&lt;=Settings!$B$6,"BUYBACK ACTIVITY",""),"")</f>
        <v/>
      </c>
      <c r="G539" s="22">
        <f>IFERROR(_xll.BDP(A539,"VOLUME_AVG_30D"),NA())</f>
        <v/>
      </c>
      <c r="H539" s="22">
        <f>IFERROR(_xll.BDP(A539,"PX_VOLUME"),NA())</f>
        <v/>
      </c>
      <c r="I539" s="16">
        <f>IFERROR(H539/G539,NA())</f>
        <v/>
      </c>
      <c r="J539" s="16">
        <f>IF(ISNUMBER(I539),IF(I539&gt;=Settings!$B$7,"VOL SPIKE",""),"")</f>
        <v/>
      </c>
    </row>
    <row r="540">
      <c r="A540" s="16">
        <f>'Rest Universe'!A541</f>
        <v/>
      </c>
      <c r="B540" s="22">
        <f>IFERROR(_xll.BDP(A540,"NAME"),"")</f>
        <v/>
      </c>
      <c r="C540" s="22">
        <f>IFERROR(_xll.BDP(A540,"EQY_SH_OUT"),NA())</f>
        <v/>
      </c>
      <c r="D540" s="22">
        <f>IFERROR(_xll.BDH(A540,"EQY_SH_OUT","-"&amp;Settings!$B$4&amp;"AW","-"&amp;Settings!$B$4&amp;"AW","days=a","fill=p"),NA())</f>
        <v/>
      </c>
      <c r="E540" s="23">
        <f>IFERROR((C540-D540)/D540,NA())</f>
        <v/>
      </c>
      <c r="F540" s="16">
        <f>IF(ISNUMBER(E540),IF(E540&lt;=Settings!$B$6,"BUYBACK ACTIVITY",""),"")</f>
        <v/>
      </c>
      <c r="G540" s="22">
        <f>IFERROR(_xll.BDP(A540,"VOLUME_AVG_30D"),NA())</f>
        <v/>
      </c>
      <c r="H540" s="22">
        <f>IFERROR(_xll.BDP(A540,"PX_VOLUME"),NA())</f>
        <v/>
      </c>
      <c r="I540" s="16">
        <f>IFERROR(H540/G540,NA())</f>
        <v/>
      </c>
      <c r="J540" s="16">
        <f>IF(ISNUMBER(I540),IF(I540&gt;=Settings!$B$7,"VOL SPIKE",""),"")</f>
        <v/>
      </c>
    </row>
    <row r="541">
      <c r="A541" s="16">
        <f>'Rest Universe'!A542</f>
        <v/>
      </c>
      <c r="B541" s="22">
        <f>IFERROR(_xll.BDP(A541,"NAME"),"")</f>
        <v/>
      </c>
      <c r="C541" s="22">
        <f>IFERROR(_xll.BDP(A541,"EQY_SH_OUT"),NA())</f>
        <v/>
      </c>
      <c r="D541" s="22">
        <f>IFERROR(_xll.BDH(A541,"EQY_SH_OUT","-"&amp;Settings!$B$4&amp;"AW","-"&amp;Settings!$B$4&amp;"AW","days=a","fill=p"),NA())</f>
        <v/>
      </c>
      <c r="E541" s="23">
        <f>IFERROR((C541-D541)/D541,NA())</f>
        <v/>
      </c>
      <c r="F541" s="16">
        <f>IF(ISNUMBER(E541),IF(E541&lt;=Settings!$B$6,"BUYBACK ACTIVITY",""),"")</f>
        <v/>
      </c>
      <c r="G541" s="22">
        <f>IFERROR(_xll.BDP(A541,"VOLUME_AVG_30D"),NA())</f>
        <v/>
      </c>
      <c r="H541" s="22">
        <f>IFERROR(_xll.BDP(A541,"PX_VOLUME"),NA())</f>
        <v/>
      </c>
      <c r="I541" s="16">
        <f>IFERROR(H541/G541,NA())</f>
        <v/>
      </c>
      <c r="J541" s="16">
        <f>IF(ISNUMBER(I541),IF(I541&gt;=Settings!$B$7,"VOL SPIKE",""),"")</f>
        <v/>
      </c>
    </row>
    <row r="542">
      <c r="A542" s="16">
        <f>'Rest Universe'!A543</f>
        <v/>
      </c>
      <c r="B542" s="22">
        <f>IFERROR(_xll.BDP(A542,"NAME"),"")</f>
        <v/>
      </c>
      <c r="C542" s="22">
        <f>IFERROR(_xll.BDP(A542,"EQY_SH_OUT"),NA())</f>
        <v/>
      </c>
      <c r="D542" s="22">
        <f>IFERROR(_xll.BDH(A542,"EQY_SH_OUT","-"&amp;Settings!$B$4&amp;"AW","-"&amp;Settings!$B$4&amp;"AW","days=a","fill=p"),NA())</f>
        <v/>
      </c>
      <c r="E542" s="23">
        <f>IFERROR((C542-D542)/D542,NA())</f>
        <v/>
      </c>
      <c r="F542" s="16">
        <f>IF(ISNUMBER(E542),IF(E542&lt;=Settings!$B$6,"BUYBACK ACTIVITY",""),"")</f>
        <v/>
      </c>
      <c r="G542" s="22">
        <f>IFERROR(_xll.BDP(A542,"VOLUME_AVG_30D"),NA())</f>
        <v/>
      </c>
      <c r="H542" s="22">
        <f>IFERROR(_xll.BDP(A542,"PX_VOLUME"),NA())</f>
        <v/>
      </c>
      <c r="I542" s="16">
        <f>IFERROR(H542/G542,NA())</f>
        <v/>
      </c>
      <c r="J542" s="16">
        <f>IF(ISNUMBER(I542),IF(I542&gt;=Settings!$B$7,"VOL SPIKE",""),"")</f>
        <v/>
      </c>
    </row>
    <row r="543">
      <c r="A543" s="16">
        <f>'Rest Universe'!A544</f>
        <v/>
      </c>
      <c r="B543" s="22">
        <f>IFERROR(_xll.BDP(A543,"NAME"),"")</f>
        <v/>
      </c>
      <c r="C543" s="22">
        <f>IFERROR(_xll.BDP(A543,"EQY_SH_OUT"),NA())</f>
        <v/>
      </c>
      <c r="D543" s="22">
        <f>IFERROR(_xll.BDH(A543,"EQY_SH_OUT","-"&amp;Settings!$B$4&amp;"AW","-"&amp;Settings!$B$4&amp;"AW","days=a","fill=p"),NA())</f>
        <v/>
      </c>
      <c r="E543" s="23">
        <f>IFERROR((C543-D543)/D543,NA())</f>
        <v/>
      </c>
      <c r="F543" s="16">
        <f>IF(ISNUMBER(E543),IF(E543&lt;=Settings!$B$6,"BUYBACK ACTIVITY",""),"")</f>
        <v/>
      </c>
      <c r="G543" s="22">
        <f>IFERROR(_xll.BDP(A543,"VOLUME_AVG_30D"),NA())</f>
        <v/>
      </c>
      <c r="H543" s="22">
        <f>IFERROR(_xll.BDP(A543,"PX_VOLUME"),NA())</f>
        <v/>
      </c>
      <c r="I543" s="16">
        <f>IFERROR(H543/G543,NA())</f>
        <v/>
      </c>
      <c r="J543" s="16">
        <f>IF(ISNUMBER(I543),IF(I543&gt;=Settings!$B$7,"VOL SPIKE",""),"")</f>
        <v/>
      </c>
    </row>
    <row r="544">
      <c r="A544" s="16">
        <f>'Rest Universe'!A545</f>
        <v/>
      </c>
      <c r="B544" s="22">
        <f>IFERROR(_xll.BDP(A544,"NAME"),"")</f>
        <v/>
      </c>
      <c r="C544" s="22">
        <f>IFERROR(_xll.BDP(A544,"EQY_SH_OUT"),NA())</f>
        <v/>
      </c>
      <c r="D544" s="22">
        <f>IFERROR(_xll.BDH(A544,"EQY_SH_OUT","-"&amp;Settings!$B$4&amp;"AW","-"&amp;Settings!$B$4&amp;"AW","days=a","fill=p"),NA())</f>
        <v/>
      </c>
      <c r="E544" s="23">
        <f>IFERROR((C544-D544)/D544,NA())</f>
        <v/>
      </c>
      <c r="F544" s="16">
        <f>IF(ISNUMBER(E544),IF(E544&lt;=Settings!$B$6,"BUYBACK ACTIVITY",""),"")</f>
        <v/>
      </c>
      <c r="G544" s="22">
        <f>IFERROR(_xll.BDP(A544,"VOLUME_AVG_30D"),NA())</f>
        <v/>
      </c>
      <c r="H544" s="22">
        <f>IFERROR(_xll.BDP(A544,"PX_VOLUME"),NA())</f>
        <v/>
      </c>
      <c r="I544" s="16">
        <f>IFERROR(H544/G544,NA())</f>
        <v/>
      </c>
      <c r="J544" s="16">
        <f>IF(ISNUMBER(I544),IF(I544&gt;=Settings!$B$7,"VOL SPIKE",""),"")</f>
        <v/>
      </c>
    </row>
    <row r="545">
      <c r="A545" s="16">
        <f>'Rest Universe'!A546</f>
        <v/>
      </c>
      <c r="B545" s="22">
        <f>IFERROR(_xll.BDP(A545,"NAME"),"")</f>
        <v/>
      </c>
      <c r="C545" s="22">
        <f>IFERROR(_xll.BDP(A545,"EQY_SH_OUT"),NA())</f>
        <v/>
      </c>
      <c r="D545" s="22">
        <f>IFERROR(_xll.BDH(A545,"EQY_SH_OUT","-"&amp;Settings!$B$4&amp;"AW","-"&amp;Settings!$B$4&amp;"AW","days=a","fill=p"),NA())</f>
        <v/>
      </c>
      <c r="E545" s="23">
        <f>IFERROR((C545-D545)/D545,NA())</f>
        <v/>
      </c>
      <c r="F545" s="16">
        <f>IF(ISNUMBER(E545),IF(E545&lt;=Settings!$B$6,"BUYBACK ACTIVITY",""),"")</f>
        <v/>
      </c>
      <c r="G545" s="22">
        <f>IFERROR(_xll.BDP(A545,"VOLUME_AVG_30D"),NA())</f>
        <v/>
      </c>
      <c r="H545" s="22">
        <f>IFERROR(_xll.BDP(A545,"PX_VOLUME"),NA())</f>
        <v/>
      </c>
      <c r="I545" s="16">
        <f>IFERROR(H545/G545,NA())</f>
        <v/>
      </c>
      <c r="J545" s="16">
        <f>IF(ISNUMBER(I545),IF(I545&gt;=Settings!$B$7,"VOL SPIKE",""),"")</f>
        <v/>
      </c>
    </row>
    <row r="546">
      <c r="A546" s="16">
        <f>'Rest Universe'!A547</f>
        <v/>
      </c>
      <c r="B546" s="22">
        <f>IFERROR(_xll.BDP(A546,"NAME"),"")</f>
        <v/>
      </c>
      <c r="C546" s="22">
        <f>IFERROR(_xll.BDP(A546,"EQY_SH_OUT"),NA())</f>
        <v/>
      </c>
      <c r="D546" s="22">
        <f>IFERROR(_xll.BDH(A546,"EQY_SH_OUT","-"&amp;Settings!$B$4&amp;"AW","-"&amp;Settings!$B$4&amp;"AW","days=a","fill=p"),NA())</f>
        <v/>
      </c>
      <c r="E546" s="23">
        <f>IFERROR((C546-D546)/D546,NA())</f>
        <v/>
      </c>
      <c r="F546" s="16">
        <f>IF(ISNUMBER(E546),IF(E546&lt;=Settings!$B$6,"BUYBACK ACTIVITY",""),"")</f>
        <v/>
      </c>
      <c r="G546" s="22">
        <f>IFERROR(_xll.BDP(A546,"VOLUME_AVG_30D"),NA())</f>
        <v/>
      </c>
      <c r="H546" s="22">
        <f>IFERROR(_xll.BDP(A546,"PX_VOLUME"),NA())</f>
        <v/>
      </c>
      <c r="I546" s="16">
        <f>IFERROR(H546/G546,NA())</f>
        <v/>
      </c>
      <c r="J546" s="16">
        <f>IF(ISNUMBER(I546),IF(I546&gt;=Settings!$B$7,"VOL SPIKE",""),"")</f>
        <v/>
      </c>
    </row>
    <row r="547">
      <c r="A547" s="16">
        <f>'Rest Universe'!A548</f>
        <v/>
      </c>
      <c r="B547" s="22">
        <f>IFERROR(_xll.BDP(A547,"NAME"),"")</f>
        <v/>
      </c>
      <c r="C547" s="22">
        <f>IFERROR(_xll.BDP(A547,"EQY_SH_OUT"),NA())</f>
        <v/>
      </c>
      <c r="D547" s="22">
        <f>IFERROR(_xll.BDH(A547,"EQY_SH_OUT","-"&amp;Settings!$B$4&amp;"AW","-"&amp;Settings!$B$4&amp;"AW","days=a","fill=p"),NA())</f>
        <v/>
      </c>
      <c r="E547" s="23">
        <f>IFERROR((C547-D547)/D547,NA())</f>
        <v/>
      </c>
      <c r="F547" s="16">
        <f>IF(ISNUMBER(E547),IF(E547&lt;=Settings!$B$6,"BUYBACK ACTIVITY",""),"")</f>
        <v/>
      </c>
      <c r="G547" s="22">
        <f>IFERROR(_xll.BDP(A547,"VOLUME_AVG_30D"),NA())</f>
        <v/>
      </c>
      <c r="H547" s="22">
        <f>IFERROR(_xll.BDP(A547,"PX_VOLUME"),NA())</f>
        <v/>
      </c>
      <c r="I547" s="16">
        <f>IFERROR(H547/G547,NA())</f>
        <v/>
      </c>
      <c r="J547" s="16">
        <f>IF(ISNUMBER(I547),IF(I547&gt;=Settings!$B$7,"VOL SPIKE",""),"")</f>
        <v/>
      </c>
    </row>
    <row r="548">
      <c r="A548" s="16">
        <f>'Rest Universe'!A549</f>
        <v/>
      </c>
      <c r="B548" s="22">
        <f>IFERROR(_xll.BDP(A548,"NAME"),"")</f>
        <v/>
      </c>
      <c r="C548" s="22">
        <f>IFERROR(_xll.BDP(A548,"EQY_SH_OUT"),NA())</f>
        <v/>
      </c>
      <c r="D548" s="22">
        <f>IFERROR(_xll.BDH(A548,"EQY_SH_OUT","-"&amp;Settings!$B$4&amp;"AW","-"&amp;Settings!$B$4&amp;"AW","days=a","fill=p"),NA())</f>
        <v/>
      </c>
      <c r="E548" s="23">
        <f>IFERROR((C548-D548)/D548,NA())</f>
        <v/>
      </c>
      <c r="F548" s="16">
        <f>IF(ISNUMBER(E548),IF(E548&lt;=Settings!$B$6,"BUYBACK ACTIVITY",""),"")</f>
        <v/>
      </c>
      <c r="G548" s="22">
        <f>IFERROR(_xll.BDP(A548,"VOLUME_AVG_30D"),NA())</f>
        <v/>
      </c>
      <c r="H548" s="22">
        <f>IFERROR(_xll.BDP(A548,"PX_VOLUME"),NA())</f>
        <v/>
      </c>
      <c r="I548" s="16">
        <f>IFERROR(H548/G548,NA())</f>
        <v/>
      </c>
      <c r="J548" s="16">
        <f>IF(ISNUMBER(I548),IF(I548&gt;=Settings!$B$7,"VOL SPIKE",""),"")</f>
        <v/>
      </c>
    </row>
    <row r="549">
      <c r="A549" s="16">
        <f>'Rest Universe'!A550</f>
        <v/>
      </c>
      <c r="B549" s="22">
        <f>IFERROR(_xll.BDP(A549,"NAME"),"")</f>
        <v/>
      </c>
      <c r="C549" s="22">
        <f>IFERROR(_xll.BDP(A549,"EQY_SH_OUT"),NA())</f>
        <v/>
      </c>
      <c r="D549" s="22">
        <f>IFERROR(_xll.BDH(A549,"EQY_SH_OUT","-"&amp;Settings!$B$4&amp;"AW","-"&amp;Settings!$B$4&amp;"AW","days=a","fill=p"),NA())</f>
        <v/>
      </c>
      <c r="E549" s="23">
        <f>IFERROR((C549-D549)/D549,NA())</f>
        <v/>
      </c>
      <c r="F549" s="16">
        <f>IF(ISNUMBER(E549),IF(E549&lt;=Settings!$B$6,"BUYBACK ACTIVITY",""),"")</f>
        <v/>
      </c>
      <c r="G549" s="22">
        <f>IFERROR(_xll.BDP(A549,"VOLUME_AVG_30D"),NA())</f>
        <v/>
      </c>
      <c r="H549" s="22">
        <f>IFERROR(_xll.BDP(A549,"PX_VOLUME"),NA())</f>
        <v/>
      </c>
      <c r="I549" s="16">
        <f>IFERROR(H549/G549,NA())</f>
        <v/>
      </c>
      <c r="J549" s="16">
        <f>IF(ISNUMBER(I549),IF(I549&gt;=Settings!$B$7,"VOL SPIKE",""),"")</f>
        <v/>
      </c>
    </row>
    <row r="550">
      <c r="A550" s="16">
        <f>'Rest Universe'!A551</f>
        <v/>
      </c>
      <c r="B550" s="22">
        <f>IFERROR(_xll.BDP(A550,"NAME"),"")</f>
        <v/>
      </c>
      <c r="C550" s="22">
        <f>IFERROR(_xll.BDP(A550,"EQY_SH_OUT"),NA())</f>
        <v/>
      </c>
      <c r="D550" s="22">
        <f>IFERROR(_xll.BDH(A550,"EQY_SH_OUT","-"&amp;Settings!$B$4&amp;"AW","-"&amp;Settings!$B$4&amp;"AW","days=a","fill=p"),NA())</f>
        <v/>
      </c>
      <c r="E550" s="23">
        <f>IFERROR((C550-D550)/D550,NA())</f>
        <v/>
      </c>
      <c r="F550" s="16">
        <f>IF(ISNUMBER(E550),IF(E550&lt;=Settings!$B$6,"BUYBACK ACTIVITY",""),"")</f>
        <v/>
      </c>
      <c r="G550" s="22">
        <f>IFERROR(_xll.BDP(A550,"VOLUME_AVG_30D"),NA())</f>
        <v/>
      </c>
      <c r="H550" s="22">
        <f>IFERROR(_xll.BDP(A550,"PX_VOLUME"),NA())</f>
        <v/>
      </c>
      <c r="I550" s="16">
        <f>IFERROR(H550/G550,NA())</f>
        <v/>
      </c>
      <c r="J550" s="16">
        <f>IF(ISNUMBER(I550),IF(I550&gt;=Settings!$B$7,"VOL SPIKE",""),"")</f>
        <v/>
      </c>
    </row>
    <row r="551">
      <c r="A551" s="16">
        <f>'Rest Universe'!A552</f>
        <v/>
      </c>
      <c r="B551" s="22">
        <f>IFERROR(_xll.BDP(A551,"NAME"),"")</f>
        <v/>
      </c>
      <c r="C551" s="22">
        <f>IFERROR(_xll.BDP(A551,"EQY_SH_OUT"),NA())</f>
        <v/>
      </c>
      <c r="D551" s="22">
        <f>IFERROR(_xll.BDH(A551,"EQY_SH_OUT","-"&amp;Settings!$B$4&amp;"AW","-"&amp;Settings!$B$4&amp;"AW","days=a","fill=p"),NA())</f>
        <v/>
      </c>
      <c r="E551" s="23">
        <f>IFERROR((C551-D551)/D551,NA())</f>
        <v/>
      </c>
      <c r="F551" s="16">
        <f>IF(ISNUMBER(E551),IF(E551&lt;=Settings!$B$6,"BUYBACK ACTIVITY",""),"")</f>
        <v/>
      </c>
      <c r="G551" s="22">
        <f>IFERROR(_xll.BDP(A551,"VOLUME_AVG_30D"),NA())</f>
        <v/>
      </c>
      <c r="H551" s="22">
        <f>IFERROR(_xll.BDP(A551,"PX_VOLUME"),NA())</f>
        <v/>
      </c>
      <c r="I551" s="16">
        <f>IFERROR(H551/G551,NA())</f>
        <v/>
      </c>
      <c r="J551" s="16">
        <f>IF(ISNUMBER(I551),IF(I551&gt;=Settings!$B$7,"VOL SPIKE",""),"")</f>
        <v/>
      </c>
    </row>
    <row r="552">
      <c r="A552" s="16">
        <f>'Rest Universe'!A553</f>
        <v/>
      </c>
      <c r="B552" s="22">
        <f>IFERROR(_xll.BDP(A552,"NAME"),"")</f>
        <v/>
      </c>
      <c r="C552" s="22">
        <f>IFERROR(_xll.BDP(A552,"EQY_SH_OUT"),NA())</f>
        <v/>
      </c>
      <c r="D552" s="22">
        <f>IFERROR(_xll.BDH(A552,"EQY_SH_OUT","-"&amp;Settings!$B$4&amp;"AW","-"&amp;Settings!$B$4&amp;"AW","days=a","fill=p"),NA())</f>
        <v/>
      </c>
      <c r="E552" s="23">
        <f>IFERROR((C552-D552)/D552,NA())</f>
        <v/>
      </c>
      <c r="F552" s="16">
        <f>IF(ISNUMBER(E552),IF(E552&lt;=Settings!$B$6,"BUYBACK ACTIVITY",""),"")</f>
        <v/>
      </c>
      <c r="G552" s="22">
        <f>IFERROR(_xll.BDP(A552,"VOLUME_AVG_30D"),NA())</f>
        <v/>
      </c>
      <c r="H552" s="22">
        <f>IFERROR(_xll.BDP(A552,"PX_VOLUME"),NA())</f>
        <v/>
      </c>
      <c r="I552" s="16">
        <f>IFERROR(H552/G552,NA())</f>
        <v/>
      </c>
      <c r="J552" s="16">
        <f>IF(ISNUMBER(I552),IF(I552&gt;=Settings!$B$7,"VOL SPIKE",""),"")</f>
        <v/>
      </c>
    </row>
    <row r="553">
      <c r="A553" s="16">
        <f>'Rest Universe'!A554</f>
        <v/>
      </c>
      <c r="B553" s="22">
        <f>IFERROR(_xll.BDP(A553,"NAME"),"")</f>
        <v/>
      </c>
      <c r="C553" s="22">
        <f>IFERROR(_xll.BDP(A553,"EQY_SH_OUT"),NA())</f>
        <v/>
      </c>
      <c r="D553" s="22">
        <f>IFERROR(_xll.BDH(A553,"EQY_SH_OUT","-"&amp;Settings!$B$4&amp;"AW","-"&amp;Settings!$B$4&amp;"AW","days=a","fill=p"),NA())</f>
        <v/>
      </c>
      <c r="E553" s="23">
        <f>IFERROR((C553-D553)/D553,NA())</f>
        <v/>
      </c>
      <c r="F553" s="16">
        <f>IF(ISNUMBER(E553),IF(E553&lt;=Settings!$B$6,"BUYBACK ACTIVITY",""),"")</f>
        <v/>
      </c>
      <c r="G553" s="22">
        <f>IFERROR(_xll.BDP(A553,"VOLUME_AVG_30D"),NA())</f>
        <v/>
      </c>
      <c r="H553" s="22">
        <f>IFERROR(_xll.BDP(A553,"PX_VOLUME"),NA())</f>
        <v/>
      </c>
      <c r="I553" s="16">
        <f>IFERROR(H553/G553,NA())</f>
        <v/>
      </c>
      <c r="J553" s="16">
        <f>IF(ISNUMBER(I553),IF(I553&gt;=Settings!$B$7,"VOL SPIKE",""),"")</f>
        <v/>
      </c>
    </row>
    <row r="554">
      <c r="A554" s="16">
        <f>'Rest Universe'!A555</f>
        <v/>
      </c>
      <c r="B554" s="22">
        <f>IFERROR(_xll.BDP(A554,"NAME"),"")</f>
        <v/>
      </c>
      <c r="C554" s="22">
        <f>IFERROR(_xll.BDP(A554,"EQY_SH_OUT"),NA())</f>
        <v/>
      </c>
      <c r="D554" s="22">
        <f>IFERROR(_xll.BDH(A554,"EQY_SH_OUT","-"&amp;Settings!$B$4&amp;"AW","-"&amp;Settings!$B$4&amp;"AW","days=a","fill=p"),NA())</f>
        <v/>
      </c>
      <c r="E554" s="23">
        <f>IFERROR((C554-D554)/D554,NA())</f>
        <v/>
      </c>
      <c r="F554" s="16">
        <f>IF(ISNUMBER(E554),IF(E554&lt;=Settings!$B$6,"BUYBACK ACTIVITY",""),"")</f>
        <v/>
      </c>
      <c r="G554" s="22">
        <f>IFERROR(_xll.BDP(A554,"VOLUME_AVG_30D"),NA())</f>
        <v/>
      </c>
      <c r="H554" s="22">
        <f>IFERROR(_xll.BDP(A554,"PX_VOLUME"),NA())</f>
        <v/>
      </c>
      <c r="I554" s="16">
        <f>IFERROR(H554/G554,NA())</f>
        <v/>
      </c>
      <c r="J554" s="16">
        <f>IF(ISNUMBER(I554),IF(I554&gt;=Settings!$B$7,"VOL SPIKE",""),"")</f>
        <v/>
      </c>
    </row>
    <row r="555">
      <c r="A555" s="16">
        <f>'Rest Universe'!A556</f>
        <v/>
      </c>
      <c r="B555" s="22">
        <f>IFERROR(_xll.BDP(A555,"NAME"),"")</f>
        <v/>
      </c>
      <c r="C555" s="22">
        <f>IFERROR(_xll.BDP(A555,"EQY_SH_OUT"),NA())</f>
        <v/>
      </c>
      <c r="D555" s="22">
        <f>IFERROR(_xll.BDH(A555,"EQY_SH_OUT","-"&amp;Settings!$B$4&amp;"AW","-"&amp;Settings!$B$4&amp;"AW","days=a","fill=p"),NA())</f>
        <v/>
      </c>
      <c r="E555" s="23">
        <f>IFERROR((C555-D555)/D555,NA())</f>
        <v/>
      </c>
      <c r="F555" s="16">
        <f>IF(ISNUMBER(E555),IF(E555&lt;=Settings!$B$6,"BUYBACK ACTIVITY",""),"")</f>
        <v/>
      </c>
      <c r="G555" s="22">
        <f>IFERROR(_xll.BDP(A555,"VOLUME_AVG_30D"),NA())</f>
        <v/>
      </c>
      <c r="H555" s="22">
        <f>IFERROR(_xll.BDP(A555,"PX_VOLUME"),NA())</f>
        <v/>
      </c>
      <c r="I555" s="16">
        <f>IFERROR(H555/G555,NA())</f>
        <v/>
      </c>
      <c r="J555" s="16">
        <f>IF(ISNUMBER(I555),IF(I555&gt;=Settings!$B$7,"VOL SPIKE",""),"")</f>
        <v/>
      </c>
    </row>
    <row r="556">
      <c r="A556" s="16">
        <f>'Rest Universe'!A557</f>
        <v/>
      </c>
      <c r="B556" s="22">
        <f>IFERROR(_xll.BDP(A556,"NAME"),"")</f>
        <v/>
      </c>
      <c r="C556" s="22">
        <f>IFERROR(_xll.BDP(A556,"EQY_SH_OUT"),NA())</f>
        <v/>
      </c>
      <c r="D556" s="22">
        <f>IFERROR(_xll.BDH(A556,"EQY_SH_OUT","-"&amp;Settings!$B$4&amp;"AW","-"&amp;Settings!$B$4&amp;"AW","days=a","fill=p"),NA())</f>
        <v/>
      </c>
      <c r="E556" s="23">
        <f>IFERROR((C556-D556)/D556,NA())</f>
        <v/>
      </c>
      <c r="F556" s="16">
        <f>IF(ISNUMBER(E556),IF(E556&lt;=Settings!$B$6,"BUYBACK ACTIVITY",""),"")</f>
        <v/>
      </c>
      <c r="G556" s="22">
        <f>IFERROR(_xll.BDP(A556,"VOLUME_AVG_30D"),NA())</f>
        <v/>
      </c>
      <c r="H556" s="22">
        <f>IFERROR(_xll.BDP(A556,"PX_VOLUME"),NA())</f>
        <v/>
      </c>
      <c r="I556" s="16">
        <f>IFERROR(H556/G556,NA())</f>
        <v/>
      </c>
      <c r="J556" s="16">
        <f>IF(ISNUMBER(I556),IF(I556&gt;=Settings!$B$7,"VOL SPIKE",""),"")</f>
        <v/>
      </c>
    </row>
    <row r="557">
      <c r="A557" s="16">
        <f>'Rest Universe'!A558</f>
        <v/>
      </c>
      <c r="B557" s="22">
        <f>IFERROR(_xll.BDP(A557,"NAME"),"")</f>
        <v/>
      </c>
      <c r="C557" s="22">
        <f>IFERROR(_xll.BDP(A557,"EQY_SH_OUT"),NA())</f>
        <v/>
      </c>
      <c r="D557" s="22">
        <f>IFERROR(_xll.BDH(A557,"EQY_SH_OUT","-"&amp;Settings!$B$4&amp;"AW","-"&amp;Settings!$B$4&amp;"AW","days=a","fill=p"),NA())</f>
        <v/>
      </c>
      <c r="E557" s="23">
        <f>IFERROR((C557-D557)/D557,NA())</f>
        <v/>
      </c>
      <c r="F557" s="16">
        <f>IF(ISNUMBER(E557),IF(E557&lt;=Settings!$B$6,"BUYBACK ACTIVITY",""),"")</f>
        <v/>
      </c>
      <c r="G557" s="22">
        <f>IFERROR(_xll.BDP(A557,"VOLUME_AVG_30D"),NA())</f>
        <v/>
      </c>
      <c r="H557" s="22">
        <f>IFERROR(_xll.BDP(A557,"PX_VOLUME"),NA())</f>
        <v/>
      </c>
      <c r="I557" s="16">
        <f>IFERROR(H557/G557,NA())</f>
        <v/>
      </c>
      <c r="J557" s="16">
        <f>IF(ISNUMBER(I557),IF(I557&gt;=Settings!$B$7,"VOL SPIKE",""),"")</f>
        <v/>
      </c>
    </row>
    <row r="558">
      <c r="A558" s="16">
        <f>'Rest Universe'!A559</f>
        <v/>
      </c>
      <c r="B558" s="22">
        <f>IFERROR(_xll.BDP(A558,"NAME"),"")</f>
        <v/>
      </c>
      <c r="C558" s="22">
        <f>IFERROR(_xll.BDP(A558,"EQY_SH_OUT"),NA())</f>
        <v/>
      </c>
      <c r="D558" s="22">
        <f>IFERROR(_xll.BDH(A558,"EQY_SH_OUT","-"&amp;Settings!$B$4&amp;"AW","-"&amp;Settings!$B$4&amp;"AW","days=a","fill=p"),NA())</f>
        <v/>
      </c>
      <c r="E558" s="23">
        <f>IFERROR((C558-D558)/D558,NA())</f>
        <v/>
      </c>
      <c r="F558" s="16">
        <f>IF(ISNUMBER(E558),IF(E558&lt;=Settings!$B$6,"BUYBACK ACTIVITY",""),"")</f>
        <v/>
      </c>
      <c r="G558" s="22">
        <f>IFERROR(_xll.BDP(A558,"VOLUME_AVG_30D"),NA())</f>
        <v/>
      </c>
      <c r="H558" s="22">
        <f>IFERROR(_xll.BDP(A558,"PX_VOLUME"),NA())</f>
        <v/>
      </c>
      <c r="I558" s="16">
        <f>IFERROR(H558/G558,NA())</f>
        <v/>
      </c>
      <c r="J558" s="16">
        <f>IF(ISNUMBER(I558),IF(I558&gt;=Settings!$B$7,"VOL SPIKE",""),"")</f>
        <v/>
      </c>
    </row>
    <row r="559">
      <c r="A559" s="16">
        <f>'Rest Universe'!A560</f>
        <v/>
      </c>
      <c r="B559" s="22">
        <f>IFERROR(_xll.BDP(A559,"NAME"),"")</f>
        <v/>
      </c>
      <c r="C559" s="22">
        <f>IFERROR(_xll.BDP(A559,"EQY_SH_OUT"),NA())</f>
        <v/>
      </c>
      <c r="D559" s="22">
        <f>IFERROR(_xll.BDH(A559,"EQY_SH_OUT","-"&amp;Settings!$B$4&amp;"AW","-"&amp;Settings!$B$4&amp;"AW","days=a","fill=p"),NA())</f>
        <v/>
      </c>
      <c r="E559" s="23">
        <f>IFERROR((C559-D559)/D559,NA())</f>
        <v/>
      </c>
      <c r="F559" s="16">
        <f>IF(ISNUMBER(E559),IF(E559&lt;=Settings!$B$6,"BUYBACK ACTIVITY",""),"")</f>
        <v/>
      </c>
      <c r="G559" s="22">
        <f>IFERROR(_xll.BDP(A559,"VOLUME_AVG_30D"),NA())</f>
        <v/>
      </c>
      <c r="H559" s="22">
        <f>IFERROR(_xll.BDP(A559,"PX_VOLUME"),NA())</f>
        <v/>
      </c>
      <c r="I559" s="16">
        <f>IFERROR(H559/G559,NA())</f>
        <v/>
      </c>
      <c r="J559" s="16">
        <f>IF(ISNUMBER(I559),IF(I559&gt;=Settings!$B$7,"VOL SPIKE",""),"")</f>
        <v/>
      </c>
    </row>
    <row r="560">
      <c r="A560" s="16">
        <f>'Rest Universe'!A561</f>
        <v/>
      </c>
      <c r="B560" s="22">
        <f>IFERROR(_xll.BDP(A560,"NAME"),"")</f>
        <v/>
      </c>
      <c r="C560" s="22">
        <f>IFERROR(_xll.BDP(A560,"EQY_SH_OUT"),NA())</f>
        <v/>
      </c>
      <c r="D560" s="22">
        <f>IFERROR(_xll.BDH(A560,"EQY_SH_OUT","-"&amp;Settings!$B$4&amp;"AW","-"&amp;Settings!$B$4&amp;"AW","days=a","fill=p"),NA())</f>
        <v/>
      </c>
      <c r="E560" s="23">
        <f>IFERROR((C560-D560)/D560,NA())</f>
        <v/>
      </c>
      <c r="F560" s="16">
        <f>IF(ISNUMBER(E560),IF(E560&lt;=Settings!$B$6,"BUYBACK ACTIVITY",""),"")</f>
        <v/>
      </c>
      <c r="G560" s="22">
        <f>IFERROR(_xll.BDP(A560,"VOLUME_AVG_30D"),NA())</f>
        <v/>
      </c>
      <c r="H560" s="22">
        <f>IFERROR(_xll.BDP(A560,"PX_VOLUME"),NA())</f>
        <v/>
      </c>
      <c r="I560" s="16">
        <f>IFERROR(H560/G560,NA())</f>
        <v/>
      </c>
      <c r="J560" s="16">
        <f>IF(ISNUMBER(I560),IF(I560&gt;=Settings!$B$7,"VOL SPIKE",""),"")</f>
        <v/>
      </c>
    </row>
    <row r="561">
      <c r="A561" s="16">
        <f>'Rest Universe'!A562</f>
        <v/>
      </c>
      <c r="B561" s="22">
        <f>IFERROR(_xll.BDP(A561,"NAME"),"")</f>
        <v/>
      </c>
      <c r="C561" s="22">
        <f>IFERROR(_xll.BDP(A561,"EQY_SH_OUT"),NA())</f>
        <v/>
      </c>
      <c r="D561" s="22">
        <f>IFERROR(_xll.BDH(A561,"EQY_SH_OUT","-"&amp;Settings!$B$4&amp;"AW","-"&amp;Settings!$B$4&amp;"AW","days=a","fill=p"),NA())</f>
        <v/>
      </c>
      <c r="E561" s="23">
        <f>IFERROR((C561-D561)/D561,NA())</f>
        <v/>
      </c>
      <c r="F561" s="16">
        <f>IF(ISNUMBER(E561),IF(E561&lt;=Settings!$B$6,"BUYBACK ACTIVITY",""),"")</f>
        <v/>
      </c>
      <c r="G561" s="22">
        <f>IFERROR(_xll.BDP(A561,"VOLUME_AVG_30D"),NA())</f>
        <v/>
      </c>
      <c r="H561" s="22">
        <f>IFERROR(_xll.BDP(A561,"PX_VOLUME"),NA())</f>
        <v/>
      </c>
      <c r="I561" s="16">
        <f>IFERROR(H561/G561,NA())</f>
        <v/>
      </c>
      <c r="J561" s="16">
        <f>IF(ISNUMBER(I561),IF(I561&gt;=Settings!$B$7,"VOL SPIKE",""),"")</f>
        <v/>
      </c>
    </row>
    <row r="562">
      <c r="A562" s="16">
        <f>'Rest Universe'!A563</f>
        <v/>
      </c>
      <c r="B562" s="22">
        <f>IFERROR(_xll.BDP(A562,"NAME"),"")</f>
        <v/>
      </c>
      <c r="C562" s="22">
        <f>IFERROR(_xll.BDP(A562,"EQY_SH_OUT"),NA())</f>
        <v/>
      </c>
      <c r="D562" s="22">
        <f>IFERROR(_xll.BDH(A562,"EQY_SH_OUT","-"&amp;Settings!$B$4&amp;"AW","-"&amp;Settings!$B$4&amp;"AW","days=a","fill=p"),NA())</f>
        <v/>
      </c>
      <c r="E562" s="23">
        <f>IFERROR((C562-D562)/D562,NA())</f>
        <v/>
      </c>
      <c r="F562" s="16">
        <f>IF(ISNUMBER(E562),IF(E562&lt;=Settings!$B$6,"BUYBACK ACTIVITY",""),"")</f>
        <v/>
      </c>
      <c r="G562" s="22">
        <f>IFERROR(_xll.BDP(A562,"VOLUME_AVG_30D"),NA())</f>
        <v/>
      </c>
      <c r="H562" s="22">
        <f>IFERROR(_xll.BDP(A562,"PX_VOLUME"),NA())</f>
        <v/>
      </c>
      <c r="I562" s="16">
        <f>IFERROR(H562/G562,NA())</f>
        <v/>
      </c>
      <c r="J562" s="16">
        <f>IF(ISNUMBER(I562),IF(I562&gt;=Settings!$B$7,"VOL SPIKE",""),"")</f>
        <v/>
      </c>
    </row>
    <row r="563">
      <c r="A563" s="16">
        <f>'Rest Universe'!A564</f>
        <v/>
      </c>
      <c r="B563" s="22">
        <f>IFERROR(_xll.BDP(A563,"NAME"),"")</f>
        <v/>
      </c>
      <c r="C563" s="22">
        <f>IFERROR(_xll.BDP(A563,"EQY_SH_OUT"),NA())</f>
        <v/>
      </c>
      <c r="D563" s="22">
        <f>IFERROR(_xll.BDH(A563,"EQY_SH_OUT","-"&amp;Settings!$B$4&amp;"AW","-"&amp;Settings!$B$4&amp;"AW","days=a","fill=p"),NA())</f>
        <v/>
      </c>
      <c r="E563" s="23">
        <f>IFERROR((C563-D563)/D563,NA())</f>
        <v/>
      </c>
      <c r="F563" s="16">
        <f>IF(ISNUMBER(E563),IF(E563&lt;=Settings!$B$6,"BUYBACK ACTIVITY",""),"")</f>
        <v/>
      </c>
      <c r="G563" s="22">
        <f>IFERROR(_xll.BDP(A563,"VOLUME_AVG_30D"),NA())</f>
        <v/>
      </c>
      <c r="H563" s="22">
        <f>IFERROR(_xll.BDP(A563,"PX_VOLUME"),NA())</f>
        <v/>
      </c>
      <c r="I563" s="16">
        <f>IFERROR(H563/G563,NA())</f>
        <v/>
      </c>
      <c r="J563" s="16">
        <f>IF(ISNUMBER(I563),IF(I563&gt;=Settings!$B$7,"VOL SPIKE",""),"")</f>
        <v/>
      </c>
    </row>
    <row r="564">
      <c r="A564" s="16">
        <f>'Rest Universe'!A565</f>
        <v/>
      </c>
      <c r="B564" s="22">
        <f>IFERROR(_xll.BDP(A564,"NAME"),"")</f>
        <v/>
      </c>
      <c r="C564" s="22">
        <f>IFERROR(_xll.BDP(A564,"EQY_SH_OUT"),NA())</f>
        <v/>
      </c>
      <c r="D564" s="22">
        <f>IFERROR(_xll.BDH(A564,"EQY_SH_OUT","-"&amp;Settings!$B$4&amp;"AW","-"&amp;Settings!$B$4&amp;"AW","days=a","fill=p"),NA())</f>
        <v/>
      </c>
      <c r="E564" s="23">
        <f>IFERROR((C564-D564)/D564,NA())</f>
        <v/>
      </c>
      <c r="F564" s="16">
        <f>IF(ISNUMBER(E564),IF(E564&lt;=Settings!$B$6,"BUYBACK ACTIVITY",""),"")</f>
        <v/>
      </c>
      <c r="G564" s="22">
        <f>IFERROR(_xll.BDP(A564,"VOLUME_AVG_30D"),NA())</f>
        <v/>
      </c>
      <c r="H564" s="22">
        <f>IFERROR(_xll.BDP(A564,"PX_VOLUME"),NA())</f>
        <v/>
      </c>
      <c r="I564" s="16">
        <f>IFERROR(H564/G564,NA())</f>
        <v/>
      </c>
      <c r="J564" s="16">
        <f>IF(ISNUMBER(I564),IF(I564&gt;=Settings!$B$7,"VOL SPIKE",""),"")</f>
        <v/>
      </c>
    </row>
    <row r="565">
      <c r="A565" s="16">
        <f>'Rest Universe'!A566</f>
        <v/>
      </c>
      <c r="B565" s="22">
        <f>IFERROR(_xll.BDP(A565,"NAME"),"")</f>
        <v/>
      </c>
      <c r="C565" s="22">
        <f>IFERROR(_xll.BDP(A565,"EQY_SH_OUT"),NA())</f>
        <v/>
      </c>
      <c r="D565" s="22">
        <f>IFERROR(_xll.BDH(A565,"EQY_SH_OUT","-"&amp;Settings!$B$4&amp;"AW","-"&amp;Settings!$B$4&amp;"AW","days=a","fill=p"),NA())</f>
        <v/>
      </c>
      <c r="E565" s="23">
        <f>IFERROR((C565-D565)/D565,NA())</f>
        <v/>
      </c>
      <c r="F565" s="16">
        <f>IF(ISNUMBER(E565),IF(E565&lt;=Settings!$B$6,"BUYBACK ACTIVITY",""),"")</f>
        <v/>
      </c>
      <c r="G565" s="22">
        <f>IFERROR(_xll.BDP(A565,"VOLUME_AVG_30D"),NA())</f>
        <v/>
      </c>
      <c r="H565" s="22">
        <f>IFERROR(_xll.BDP(A565,"PX_VOLUME"),NA())</f>
        <v/>
      </c>
      <c r="I565" s="16">
        <f>IFERROR(H565/G565,NA())</f>
        <v/>
      </c>
      <c r="J565" s="16">
        <f>IF(ISNUMBER(I565),IF(I565&gt;=Settings!$B$7,"VOL SPIKE",""),"")</f>
        <v/>
      </c>
    </row>
    <row r="566">
      <c r="A566" s="16">
        <f>'Rest Universe'!A567</f>
        <v/>
      </c>
      <c r="B566" s="22">
        <f>IFERROR(_xll.BDP(A566,"NAME"),"")</f>
        <v/>
      </c>
      <c r="C566" s="22">
        <f>IFERROR(_xll.BDP(A566,"EQY_SH_OUT"),NA())</f>
        <v/>
      </c>
      <c r="D566" s="22">
        <f>IFERROR(_xll.BDH(A566,"EQY_SH_OUT","-"&amp;Settings!$B$4&amp;"AW","-"&amp;Settings!$B$4&amp;"AW","days=a","fill=p"),NA())</f>
        <v/>
      </c>
      <c r="E566" s="23">
        <f>IFERROR((C566-D566)/D566,NA())</f>
        <v/>
      </c>
      <c r="F566" s="16">
        <f>IF(ISNUMBER(E566),IF(E566&lt;=Settings!$B$6,"BUYBACK ACTIVITY",""),"")</f>
        <v/>
      </c>
      <c r="G566" s="22">
        <f>IFERROR(_xll.BDP(A566,"VOLUME_AVG_30D"),NA())</f>
        <v/>
      </c>
      <c r="H566" s="22">
        <f>IFERROR(_xll.BDP(A566,"PX_VOLUME"),NA())</f>
        <v/>
      </c>
      <c r="I566" s="16">
        <f>IFERROR(H566/G566,NA())</f>
        <v/>
      </c>
      <c r="J566" s="16">
        <f>IF(ISNUMBER(I566),IF(I566&gt;=Settings!$B$7,"VOL SPIKE",""),"")</f>
        <v/>
      </c>
    </row>
    <row r="567">
      <c r="A567" s="16">
        <f>'Rest Universe'!A568</f>
        <v/>
      </c>
      <c r="B567" s="22">
        <f>IFERROR(_xll.BDP(A567,"NAME"),"")</f>
        <v/>
      </c>
      <c r="C567" s="22">
        <f>IFERROR(_xll.BDP(A567,"EQY_SH_OUT"),NA())</f>
        <v/>
      </c>
      <c r="D567" s="22">
        <f>IFERROR(_xll.BDH(A567,"EQY_SH_OUT","-"&amp;Settings!$B$4&amp;"AW","-"&amp;Settings!$B$4&amp;"AW","days=a","fill=p"),NA())</f>
        <v/>
      </c>
      <c r="E567" s="23">
        <f>IFERROR((C567-D567)/D567,NA())</f>
        <v/>
      </c>
      <c r="F567" s="16">
        <f>IF(ISNUMBER(E567),IF(E567&lt;=Settings!$B$6,"BUYBACK ACTIVITY",""),"")</f>
        <v/>
      </c>
      <c r="G567" s="22">
        <f>IFERROR(_xll.BDP(A567,"VOLUME_AVG_30D"),NA())</f>
        <v/>
      </c>
      <c r="H567" s="22">
        <f>IFERROR(_xll.BDP(A567,"PX_VOLUME"),NA())</f>
        <v/>
      </c>
      <c r="I567" s="16">
        <f>IFERROR(H567/G567,NA())</f>
        <v/>
      </c>
      <c r="J567" s="16">
        <f>IF(ISNUMBER(I567),IF(I567&gt;=Settings!$B$7,"VOL SPIKE",""),"")</f>
        <v/>
      </c>
    </row>
    <row r="568">
      <c r="A568" s="16">
        <f>'Rest Universe'!A569</f>
        <v/>
      </c>
      <c r="B568" s="22">
        <f>IFERROR(_xll.BDP(A568,"NAME"),"")</f>
        <v/>
      </c>
      <c r="C568" s="22">
        <f>IFERROR(_xll.BDP(A568,"EQY_SH_OUT"),NA())</f>
        <v/>
      </c>
      <c r="D568" s="22">
        <f>IFERROR(_xll.BDH(A568,"EQY_SH_OUT","-"&amp;Settings!$B$4&amp;"AW","-"&amp;Settings!$B$4&amp;"AW","days=a","fill=p"),NA())</f>
        <v/>
      </c>
      <c r="E568" s="23">
        <f>IFERROR((C568-D568)/D568,NA())</f>
        <v/>
      </c>
      <c r="F568" s="16">
        <f>IF(ISNUMBER(E568),IF(E568&lt;=Settings!$B$6,"BUYBACK ACTIVITY",""),"")</f>
        <v/>
      </c>
      <c r="G568" s="22">
        <f>IFERROR(_xll.BDP(A568,"VOLUME_AVG_30D"),NA())</f>
        <v/>
      </c>
      <c r="H568" s="22">
        <f>IFERROR(_xll.BDP(A568,"PX_VOLUME"),NA())</f>
        <v/>
      </c>
      <c r="I568" s="16">
        <f>IFERROR(H568/G568,NA())</f>
        <v/>
      </c>
      <c r="J568" s="16">
        <f>IF(ISNUMBER(I568),IF(I568&gt;=Settings!$B$7,"VOL SPIKE",""),"")</f>
        <v/>
      </c>
    </row>
    <row r="569">
      <c r="A569" s="16">
        <f>'Rest Universe'!A570</f>
        <v/>
      </c>
      <c r="B569" s="22">
        <f>IFERROR(_xll.BDP(A569,"NAME"),"")</f>
        <v/>
      </c>
      <c r="C569" s="22">
        <f>IFERROR(_xll.BDP(A569,"EQY_SH_OUT"),NA())</f>
        <v/>
      </c>
      <c r="D569" s="22">
        <f>IFERROR(_xll.BDH(A569,"EQY_SH_OUT","-"&amp;Settings!$B$4&amp;"AW","-"&amp;Settings!$B$4&amp;"AW","days=a","fill=p"),NA())</f>
        <v/>
      </c>
      <c r="E569" s="23">
        <f>IFERROR((C569-D569)/D569,NA())</f>
        <v/>
      </c>
      <c r="F569" s="16">
        <f>IF(ISNUMBER(E569),IF(E569&lt;=Settings!$B$6,"BUYBACK ACTIVITY",""),"")</f>
        <v/>
      </c>
      <c r="G569" s="22">
        <f>IFERROR(_xll.BDP(A569,"VOLUME_AVG_30D"),NA())</f>
        <v/>
      </c>
      <c r="H569" s="22">
        <f>IFERROR(_xll.BDP(A569,"PX_VOLUME"),NA())</f>
        <v/>
      </c>
      <c r="I569" s="16">
        <f>IFERROR(H569/G569,NA())</f>
        <v/>
      </c>
      <c r="J569" s="16">
        <f>IF(ISNUMBER(I569),IF(I569&gt;=Settings!$B$7,"VOL SPIKE",""),"")</f>
        <v/>
      </c>
    </row>
    <row r="570">
      <c r="A570" s="16">
        <f>'Rest Universe'!A571</f>
        <v/>
      </c>
      <c r="B570" s="22">
        <f>IFERROR(_xll.BDP(A570,"NAME"),"")</f>
        <v/>
      </c>
      <c r="C570" s="22">
        <f>IFERROR(_xll.BDP(A570,"EQY_SH_OUT"),NA())</f>
        <v/>
      </c>
      <c r="D570" s="22">
        <f>IFERROR(_xll.BDH(A570,"EQY_SH_OUT","-"&amp;Settings!$B$4&amp;"AW","-"&amp;Settings!$B$4&amp;"AW","days=a","fill=p"),NA())</f>
        <v/>
      </c>
      <c r="E570" s="23">
        <f>IFERROR((C570-D570)/D570,NA())</f>
        <v/>
      </c>
      <c r="F570" s="16">
        <f>IF(ISNUMBER(E570),IF(E570&lt;=Settings!$B$6,"BUYBACK ACTIVITY",""),"")</f>
        <v/>
      </c>
      <c r="G570" s="22">
        <f>IFERROR(_xll.BDP(A570,"VOLUME_AVG_30D"),NA())</f>
        <v/>
      </c>
      <c r="H570" s="22">
        <f>IFERROR(_xll.BDP(A570,"PX_VOLUME"),NA())</f>
        <v/>
      </c>
      <c r="I570" s="16">
        <f>IFERROR(H570/G570,NA())</f>
        <v/>
      </c>
      <c r="J570" s="16">
        <f>IF(ISNUMBER(I570),IF(I570&gt;=Settings!$B$7,"VOL SPIKE",""),"")</f>
        <v/>
      </c>
    </row>
    <row r="571">
      <c r="A571" s="16">
        <f>'Rest Universe'!A572</f>
        <v/>
      </c>
      <c r="B571" s="22">
        <f>IFERROR(_xll.BDP(A571,"NAME"),"")</f>
        <v/>
      </c>
      <c r="C571" s="22">
        <f>IFERROR(_xll.BDP(A571,"EQY_SH_OUT"),NA())</f>
        <v/>
      </c>
      <c r="D571" s="22">
        <f>IFERROR(_xll.BDH(A571,"EQY_SH_OUT","-"&amp;Settings!$B$4&amp;"AW","-"&amp;Settings!$B$4&amp;"AW","days=a","fill=p"),NA())</f>
        <v/>
      </c>
      <c r="E571" s="23">
        <f>IFERROR((C571-D571)/D571,NA())</f>
        <v/>
      </c>
      <c r="F571" s="16">
        <f>IF(ISNUMBER(E571),IF(E571&lt;=Settings!$B$6,"BUYBACK ACTIVITY",""),"")</f>
        <v/>
      </c>
      <c r="G571" s="22">
        <f>IFERROR(_xll.BDP(A571,"VOLUME_AVG_30D"),NA())</f>
        <v/>
      </c>
      <c r="H571" s="22">
        <f>IFERROR(_xll.BDP(A571,"PX_VOLUME"),NA())</f>
        <v/>
      </c>
      <c r="I571" s="16">
        <f>IFERROR(H571/G571,NA())</f>
        <v/>
      </c>
      <c r="J571" s="16">
        <f>IF(ISNUMBER(I571),IF(I571&gt;=Settings!$B$7,"VOL SPIKE",""),"")</f>
        <v/>
      </c>
    </row>
    <row r="572">
      <c r="A572" s="16">
        <f>'Rest Universe'!A573</f>
        <v/>
      </c>
      <c r="B572" s="22">
        <f>IFERROR(_xll.BDP(A572,"NAME"),"")</f>
        <v/>
      </c>
      <c r="C572" s="22">
        <f>IFERROR(_xll.BDP(A572,"EQY_SH_OUT"),NA())</f>
        <v/>
      </c>
      <c r="D572" s="22">
        <f>IFERROR(_xll.BDH(A572,"EQY_SH_OUT","-"&amp;Settings!$B$4&amp;"AW","-"&amp;Settings!$B$4&amp;"AW","days=a","fill=p"),NA())</f>
        <v/>
      </c>
      <c r="E572" s="23">
        <f>IFERROR((C572-D572)/D572,NA())</f>
        <v/>
      </c>
      <c r="F572" s="16">
        <f>IF(ISNUMBER(E572),IF(E572&lt;=Settings!$B$6,"BUYBACK ACTIVITY",""),"")</f>
        <v/>
      </c>
      <c r="G572" s="22">
        <f>IFERROR(_xll.BDP(A572,"VOLUME_AVG_30D"),NA())</f>
        <v/>
      </c>
      <c r="H572" s="22">
        <f>IFERROR(_xll.BDP(A572,"PX_VOLUME"),NA())</f>
        <v/>
      </c>
      <c r="I572" s="16">
        <f>IFERROR(H572/G572,NA())</f>
        <v/>
      </c>
      <c r="J572" s="16">
        <f>IF(ISNUMBER(I572),IF(I572&gt;=Settings!$B$7,"VOL SPIKE",""),"")</f>
        <v/>
      </c>
    </row>
    <row r="573">
      <c r="A573" s="16">
        <f>'Rest Universe'!A574</f>
        <v/>
      </c>
      <c r="B573" s="22">
        <f>IFERROR(_xll.BDP(A573,"NAME"),"")</f>
        <v/>
      </c>
      <c r="C573" s="22">
        <f>IFERROR(_xll.BDP(A573,"EQY_SH_OUT"),NA())</f>
        <v/>
      </c>
      <c r="D573" s="22">
        <f>IFERROR(_xll.BDH(A573,"EQY_SH_OUT","-"&amp;Settings!$B$4&amp;"AW","-"&amp;Settings!$B$4&amp;"AW","days=a","fill=p"),NA())</f>
        <v/>
      </c>
      <c r="E573" s="23">
        <f>IFERROR((C573-D573)/D573,NA())</f>
        <v/>
      </c>
      <c r="F573" s="16">
        <f>IF(ISNUMBER(E573),IF(E573&lt;=Settings!$B$6,"BUYBACK ACTIVITY",""),"")</f>
        <v/>
      </c>
      <c r="G573" s="22">
        <f>IFERROR(_xll.BDP(A573,"VOLUME_AVG_30D"),NA())</f>
        <v/>
      </c>
      <c r="H573" s="22">
        <f>IFERROR(_xll.BDP(A573,"PX_VOLUME"),NA())</f>
        <v/>
      </c>
      <c r="I573" s="16">
        <f>IFERROR(H573/G573,NA())</f>
        <v/>
      </c>
      <c r="J573" s="16">
        <f>IF(ISNUMBER(I573),IF(I573&gt;=Settings!$B$7,"VOL SPIKE",""),"")</f>
        <v/>
      </c>
    </row>
    <row r="574">
      <c r="A574" s="16">
        <f>'Rest Universe'!A575</f>
        <v/>
      </c>
      <c r="B574" s="22">
        <f>IFERROR(_xll.BDP(A574,"NAME"),"")</f>
        <v/>
      </c>
      <c r="C574" s="22">
        <f>IFERROR(_xll.BDP(A574,"EQY_SH_OUT"),NA())</f>
        <v/>
      </c>
      <c r="D574" s="22">
        <f>IFERROR(_xll.BDH(A574,"EQY_SH_OUT","-"&amp;Settings!$B$4&amp;"AW","-"&amp;Settings!$B$4&amp;"AW","days=a","fill=p"),NA())</f>
        <v/>
      </c>
      <c r="E574" s="23">
        <f>IFERROR((C574-D574)/D574,NA())</f>
        <v/>
      </c>
      <c r="F574" s="16">
        <f>IF(ISNUMBER(E574),IF(E574&lt;=Settings!$B$6,"BUYBACK ACTIVITY",""),"")</f>
        <v/>
      </c>
      <c r="G574" s="22">
        <f>IFERROR(_xll.BDP(A574,"VOLUME_AVG_30D"),NA())</f>
        <v/>
      </c>
      <c r="H574" s="22">
        <f>IFERROR(_xll.BDP(A574,"PX_VOLUME"),NA())</f>
        <v/>
      </c>
      <c r="I574" s="16">
        <f>IFERROR(H574/G574,NA())</f>
        <v/>
      </c>
      <c r="J574" s="16">
        <f>IF(ISNUMBER(I574),IF(I574&gt;=Settings!$B$7,"VOL SPIKE",""),"")</f>
        <v/>
      </c>
    </row>
    <row r="575">
      <c r="A575" s="16">
        <f>'Rest Universe'!A576</f>
        <v/>
      </c>
      <c r="B575" s="22">
        <f>IFERROR(_xll.BDP(A575,"NAME"),"")</f>
        <v/>
      </c>
      <c r="C575" s="22">
        <f>IFERROR(_xll.BDP(A575,"EQY_SH_OUT"),NA())</f>
        <v/>
      </c>
      <c r="D575" s="22">
        <f>IFERROR(_xll.BDH(A575,"EQY_SH_OUT","-"&amp;Settings!$B$4&amp;"AW","-"&amp;Settings!$B$4&amp;"AW","days=a","fill=p"),NA())</f>
        <v/>
      </c>
      <c r="E575" s="23">
        <f>IFERROR((C575-D575)/D575,NA())</f>
        <v/>
      </c>
      <c r="F575" s="16">
        <f>IF(ISNUMBER(E575),IF(E575&lt;=Settings!$B$6,"BUYBACK ACTIVITY",""),"")</f>
        <v/>
      </c>
      <c r="G575" s="22">
        <f>IFERROR(_xll.BDP(A575,"VOLUME_AVG_30D"),NA())</f>
        <v/>
      </c>
      <c r="H575" s="22">
        <f>IFERROR(_xll.BDP(A575,"PX_VOLUME"),NA())</f>
        <v/>
      </c>
      <c r="I575" s="16">
        <f>IFERROR(H575/G575,NA())</f>
        <v/>
      </c>
      <c r="J575" s="16">
        <f>IF(ISNUMBER(I575),IF(I575&gt;=Settings!$B$7,"VOL SPIKE",""),"")</f>
        <v/>
      </c>
    </row>
    <row r="576">
      <c r="A576" s="16">
        <f>'Rest Universe'!A577</f>
        <v/>
      </c>
      <c r="B576" s="22">
        <f>IFERROR(_xll.BDP(A576,"NAME"),"")</f>
        <v/>
      </c>
      <c r="C576" s="22">
        <f>IFERROR(_xll.BDP(A576,"EQY_SH_OUT"),NA())</f>
        <v/>
      </c>
      <c r="D576" s="22">
        <f>IFERROR(_xll.BDH(A576,"EQY_SH_OUT","-"&amp;Settings!$B$4&amp;"AW","-"&amp;Settings!$B$4&amp;"AW","days=a","fill=p"),NA())</f>
        <v/>
      </c>
      <c r="E576" s="23">
        <f>IFERROR((C576-D576)/D576,NA())</f>
        <v/>
      </c>
      <c r="F576" s="16">
        <f>IF(ISNUMBER(E576),IF(E576&lt;=Settings!$B$6,"BUYBACK ACTIVITY",""),"")</f>
        <v/>
      </c>
      <c r="G576" s="22">
        <f>IFERROR(_xll.BDP(A576,"VOLUME_AVG_30D"),NA())</f>
        <v/>
      </c>
      <c r="H576" s="22">
        <f>IFERROR(_xll.BDP(A576,"PX_VOLUME"),NA())</f>
        <v/>
      </c>
      <c r="I576" s="16">
        <f>IFERROR(H576/G576,NA())</f>
        <v/>
      </c>
      <c r="J576" s="16">
        <f>IF(ISNUMBER(I576),IF(I576&gt;=Settings!$B$7,"VOL SPIKE",""),"")</f>
        <v/>
      </c>
    </row>
    <row r="577">
      <c r="A577" s="16">
        <f>'Rest Universe'!A578</f>
        <v/>
      </c>
      <c r="B577" s="22">
        <f>IFERROR(_xll.BDP(A577,"NAME"),"")</f>
        <v/>
      </c>
      <c r="C577" s="22">
        <f>IFERROR(_xll.BDP(A577,"EQY_SH_OUT"),NA())</f>
        <v/>
      </c>
      <c r="D577" s="22">
        <f>IFERROR(_xll.BDH(A577,"EQY_SH_OUT","-"&amp;Settings!$B$4&amp;"AW","-"&amp;Settings!$B$4&amp;"AW","days=a","fill=p"),NA())</f>
        <v/>
      </c>
      <c r="E577" s="23">
        <f>IFERROR((C577-D577)/D577,NA())</f>
        <v/>
      </c>
      <c r="F577" s="16">
        <f>IF(ISNUMBER(E577),IF(E577&lt;=Settings!$B$6,"BUYBACK ACTIVITY",""),"")</f>
        <v/>
      </c>
      <c r="G577" s="22">
        <f>IFERROR(_xll.BDP(A577,"VOLUME_AVG_30D"),NA())</f>
        <v/>
      </c>
      <c r="H577" s="22">
        <f>IFERROR(_xll.BDP(A577,"PX_VOLUME"),NA())</f>
        <v/>
      </c>
      <c r="I577" s="16">
        <f>IFERROR(H577/G577,NA())</f>
        <v/>
      </c>
      <c r="J577" s="16">
        <f>IF(ISNUMBER(I577),IF(I577&gt;=Settings!$B$7,"VOL SPIKE",""),"")</f>
        <v/>
      </c>
    </row>
    <row r="578">
      <c r="A578" s="16">
        <f>'Rest Universe'!A579</f>
        <v/>
      </c>
      <c r="B578" s="22">
        <f>IFERROR(_xll.BDP(A578,"NAME"),"")</f>
        <v/>
      </c>
      <c r="C578" s="22">
        <f>IFERROR(_xll.BDP(A578,"EQY_SH_OUT"),NA())</f>
        <v/>
      </c>
      <c r="D578" s="22">
        <f>IFERROR(_xll.BDH(A578,"EQY_SH_OUT","-"&amp;Settings!$B$4&amp;"AW","-"&amp;Settings!$B$4&amp;"AW","days=a","fill=p"),NA())</f>
        <v/>
      </c>
      <c r="E578" s="23">
        <f>IFERROR((C578-D578)/D578,NA())</f>
        <v/>
      </c>
      <c r="F578" s="16">
        <f>IF(ISNUMBER(E578),IF(E578&lt;=Settings!$B$6,"BUYBACK ACTIVITY",""),"")</f>
        <v/>
      </c>
      <c r="G578" s="22">
        <f>IFERROR(_xll.BDP(A578,"VOLUME_AVG_30D"),NA())</f>
        <v/>
      </c>
      <c r="H578" s="22">
        <f>IFERROR(_xll.BDP(A578,"PX_VOLUME"),NA())</f>
        <v/>
      </c>
      <c r="I578" s="16">
        <f>IFERROR(H578/G578,NA())</f>
        <v/>
      </c>
      <c r="J578" s="16">
        <f>IF(ISNUMBER(I578),IF(I578&gt;=Settings!$B$7,"VOL SPIKE",""),"")</f>
        <v/>
      </c>
    </row>
    <row r="579">
      <c r="A579" s="16">
        <f>'Rest Universe'!A580</f>
        <v/>
      </c>
      <c r="B579" s="22">
        <f>IFERROR(_xll.BDP(A579,"NAME"),"")</f>
        <v/>
      </c>
      <c r="C579" s="22">
        <f>IFERROR(_xll.BDP(A579,"EQY_SH_OUT"),NA())</f>
        <v/>
      </c>
      <c r="D579" s="22">
        <f>IFERROR(_xll.BDH(A579,"EQY_SH_OUT","-"&amp;Settings!$B$4&amp;"AW","-"&amp;Settings!$B$4&amp;"AW","days=a","fill=p"),NA())</f>
        <v/>
      </c>
      <c r="E579" s="23">
        <f>IFERROR((C579-D579)/D579,NA())</f>
        <v/>
      </c>
      <c r="F579" s="16">
        <f>IF(ISNUMBER(E579),IF(E579&lt;=Settings!$B$6,"BUYBACK ACTIVITY",""),"")</f>
        <v/>
      </c>
      <c r="G579" s="22">
        <f>IFERROR(_xll.BDP(A579,"VOLUME_AVG_30D"),NA())</f>
        <v/>
      </c>
      <c r="H579" s="22">
        <f>IFERROR(_xll.BDP(A579,"PX_VOLUME"),NA())</f>
        <v/>
      </c>
      <c r="I579" s="16">
        <f>IFERROR(H579/G579,NA())</f>
        <v/>
      </c>
      <c r="J579" s="16">
        <f>IF(ISNUMBER(I579),IF(I579&gt;=Settings!$B$7,"VOL SPIKE",""),"")</f>
        <v/>
      </c>
    </row>
    <row r="580">
      <c r="A580" s="16">
        <f>'Rest Universe'!A581</f>
        <v/>
      </c>
      <c r="B580" s="22">
        <f>IFERROR(_xll.BDP(A580,"NAME"),"")</f>
        <v/>
      </c>
      <c r="C580" s="22">
        <f>IFERROR(_xll.BDP(A580,"EQY_SH_OUT"),NA())</f>
        <v/>
      </c>
      <c r="D580" s="22">
        <f>IFERROR(_xll.BDH(A580,"EQY_SH_OUT","-"&amp;Settings!$B$4&amp;"AW","-"&amp;Settings!$B$4&amp;"AW","days=a","fill=p"),NA())</f>
        <v/>
      </c>
      <c r="E580" s="23">
        <f>IFERROR((C580-D580)/D580,NA())</f>
        <v/>
      </c>
      <c r="F580" s="16">
        <f>IF(ISNUMBER(E580),IF(E580&lt;=Settings!$B$6,"BUYBACK ACTIVITY",""),"")</f>
        <v/>
      </c>
      <c r="G580" s="22">
        <f>IFERROR(_xll.BDP(A580,"VOLUME_AVG_30D"),NA())</f>
        <v/>
      </c>
      <c r="H580" s="22">
        <f>IFERROR(_xll.BDP(A580,"PX_VOLUME"),NA())</f>
        <v/>
      </c>
      <c r="I580" s="16">
        <f>IFERROR(H580/G580,NA())</f>
        <v/>
      </c>
      <c r="J580" s="16">
        <f>IF(ISNUMBER(I580),IF(I580&gt;=Settings!$B$7,"VOL SPIKE",""),"")</f>
        <v/>
      </c>
    </row>
    <row r="581">
      <c r="A581" s="16">
        <f>'Rest Universe'!A582</f>
        <v/>
      </c>
      <c r="B581" s="22">
        <f>IFERROR(_xll.BDP(A581,"NAME"),"")</f>
        <v/>
      </c>
      <c r="C581" s="22">
        <f>IFERROR(_xll.BDP(A581,"EQY_SH_OUT"),NA())</f>
        <v/>
      </c>
      <c r="D581" s="22">
        <f>IFERROR(_xll.BDH(A581,"EQY_SH_OUT","-"&amp;Settings!$B$4&amp;"AW","-"&amp;Settings!$B$4&amp;"AW","days=a","fill=p"),NA())</f>
        <v/>
      </c>
      <c r="E581" s="23">
        <f>IFERROR((C581-D581)/D581,NA())</f>
        <v/>
      </c>
      <c r="F581" s="16">
        <f>IF(ISNUMBER(E581),IF(E581&lt;=Settings!$B$6,"BUYBACK ACTIVITY",""),"")</f>
        <v/>
      </c>
      <c r="G581" s="22">
        <f>IFERROR(_xll.BDP(A581,"VOLUME_AVG_30D"),NA())</f>
        <v/>
      </c>
      <c r="H581" s="22">
        <f>IFERROR(_xll.BDP(A581,"PX_VOLUME"),NA())</f>
        <v/>
      </c>
      <c r="I581" s="16">
        <f>IFERROR(H581/G581,NA())</f>
        <v/>
      </c>
      <c r="J581" s="16">
        <f>IF(ISNUMBER(I581),IF(I581&gt;=Settings!$B$7,"VOL SPIKE",""),"")</f>
        <v/>
      </c>
    </row>
    <row r="582">
      <c r="A582" s="16">
        <f>'Rest Universe'!A583</f>
        <v/>
      </c>
      <c r="B582" s="22">
        <f>IFERROR(_xll.BDP(A582,"NAME"),"")</f>
        <v/>
      </c>
      <c r="C582" s="22">
        <f>IFERROR(_xll.BDP(A582,"EQY_SH_OUT"),NA())</f>
        <v/>
      </c>
      <c r="D582" s="22">
        <f>IFERROR(_xll.BDH(A582,"EQY_SH_OUT","-"&amp;Settings!$B$4&amp;"AW","-"&amp;Settings!$B$4&amp;"AW","days=a","fill=p"),NA())</f>
        <v/>
      </c>
      <c r="E582" s="23">
        <f>IFERROR((C582-D582)/D582,NA())</f>
        <v/>
      </c>
      <c r="F582" s="16">
        <f>IF(ISNUMBER(E582),IF(E582&lt;=Settings!$B$6,"BUYBACK ACTIVITY",""),"")</f>
        <v/>
      </c>
      <c r="G582" s="22">
        <f>IFERROR(_xll.BDP(A582,"VOLUME_AVG_30D"),NA())</f>
        <v/>
      </c>
      <c r="H582" s="22">
        <f>IFERROR(_xll.BDP(A582,"PX_VOLUME"),NA())</f>
        <v/>
      </c>
      <c r="I582" s="16">
        <f>IFERROR(H582/G582,NA())</f>
        <v/>
      </c>
      <c r="J582" s="16">
        <f>IF(ISNUMBER(I582),IF(I582&gt;=Settings!$B$7,"VOL SPIKE",""),"")</f>
        <v/>
      </c>
    </row>
    <row r="583">
      <c r="A583" s="16">
        <f>'Rest Universe'!A584</f>
        <v/>
      </c>
      <c r="B583" s="22">
        <f>IFERROR(_xll.BDP(A583,"NAME"),"")</f>
        <v/>
      </c>
      <c r="C583" s="22">
        <f>IFERROR(_xll.BDP(A583,"EQY_SH_OUT"),NA())</f>
        <v/>
      </c>
      <c r="D583" s="22">
        <f>IFERROR(_xll.BDH(A583,"EQY_SH_OUT","-"&amp;Settings!$B$4&amp;"AW","-"&amp;Settings!$B$4&amp;"AW","days=a","fill=p"),NA())</f>
        <v/>
      </c>
      <c r="E583" s="23">
        <f>IFERROR((C583-D583)/D583,NA())</f>
        <v/>
      </c>
      <c r="F583" s="16">
        <f>IF(ISNUMBER(E583),IF(E583&lt;=Settings!$B$6,"BUYBACK ACTIVITY",""),"")</f>
        <v/>
      </c>
      <c r="G583" s="22">
        <f>IFERROR(_xll.BDP(A583,"VOLUME_AVG_30D"),NA())</f>
        <v/>
      </c>
      <c r="H583" s="22">
        <f>IFERROR(_xll.BDP(A583,"PX_VOLUME"),NA())</f>
        <v/>
      </c>
      <c r="I583" s="16">
        <f>IFERROR(H583/G583,NA())</f>
        <v/>
      </c>
      <c r="J583" s="16">
        <f>IF(ISNUMBER(I583),IF(I583&gt;=Settings!$B$7,"VOL SPIKE",""),"")</f>
        <v/>
      </c>
    </row>
    <row r="584">
      <c r="A584" s="16">
        <f>'Rest Universe'!A585</f>
        <v/>
      </c>
      <c r="B584" s="22">
        <f>IFERROR(_xll.BDP(A584,"NAME"),"")</f>
        <v/>
      </c>
      <c r="C584" s="22">
        <f>IFERROR(_xll.BDP(A584,"EQY_SH_OUT"),NA())</f>
        <v/>
      </c>
      <c r="D584" s="22">
        <f>IFERROR(_xll.BDH(A584,"EQY_SH_OUT","-"&amp;Settings!$B$4&amp;"AW","-"&amp;Settings!$B$4&amp;"AW","days=a","fill=p"),NA())</f>
        <v/>
      </c>
      <c r="E584" s="23">
        <f>IFERROR((C584-D584)/D584,NA())</f>
        <v/>
      </c>
      <c r="F584" s="16">
        <f>IF(ISNUMBER(E584),IF(E584&lt;=Settings!$B$6,"BUYBACK ACTIVITY",""),"")</f>
        <v/>
      </c>
      <c r="G584" s="22">
        <f>IFERROR(_xll.BDP(A584,"VOLUME_AVG_30D"),NA())</f>
        <v/>
      </c>
      <c r="H584" s="22">
        <f>IFERROR(_xll.BDP(A584,"PX_VOLUME"),NA())</f>
        <v/>
      </c>
      <c r="I584" s="16">
        <f>IFERROR(H584/G584,NA())</f>
        <v/>
      </c>
      <c r="J584" s="16">
        <f>IF(ISNUMBER(I584),IF(I584&gt;=Settings!$B$7,"VOL SPIKE",""),"")</f>
        <v/>
      </c>
    </row>
    <row r="585">
      <c r="A585" s="16">
        <f>'Rest Universe'!A586</f>
        <v/>
      </c>
      <c r="B585" s="22">
        <f>IFERROR(_xll.BDP(A585,"NAME"),"")</f>
        <v/>
      </c>
      <c r="C585" s="22">
        <f>IFERROR(_xll.BDP(A585,"EQY_SH_OUT"),NA())</f>
        <v/>
      </c>
      <c r="D585" s="22">
        <f>IFERROR(_xll.BDH(A585,"EQY_SH_OUT","-"&amp;Settings!$B$4&amp;"AW","-"&amp;Settings!$B$4&amp;"AW","days=a","fill=p"),NA())</f>
        <v/>
      </c>
      <c r="E585" s="23">
        <f>IFERROR((C585-D585)/D585,NA())</f>
        <v/>
      </c>
      <c r="F585" s="16">
        <f>IF(ISNUMBER(E585),IF(E585&lt;=Settings!$B$6,"BUYBACK ACTIVITY",""),"")</f>
        <v/>
      </c>
      <c r="G585" s="22">
        <f>IFERROR(_xll.BDP(A585,"VOLUME_AVG_30D"),NA())</f>
        <v/>
      </c>
      <c r="H585" s="22">
        <f>IFERROR(_xll.BDP(A585,"PX_VOLUME"),NA())</f>
        <v/>
      </c>
      <c r="I585" s="16">
        <f>IFERROR(H585/G585,NA())</f>
        <v/>
      </c>
      <c r="J585" s="16">
        <f>IF(ISNUMBER(I585),IF(I585&gt;=Settings!$B$7,"VOL SPIKE",""),"")</f>
        <v/>
      </c>
    </row>
    <row r="586">
      <c r="A586" s="16">
        <f>'Rest Universe'!A587</f>
        <v/>
      </c>
      <c r="B586" s="22">
        <f>IFERROR(_xll.BDP(A586,"NAME"),"")</f>
        <v/>
      </c>
      <c r="C586" s="22">
        <f>IFERROR(_xll.BDP(A586,"EQY_SH_OUT"),NA())</f>
        <v/>
      </c>
      <c r="D586" s="22">
        <f>IFERROR(_xll.BDH(A586,"EQY_SH_OUT","-"&amp;Settings!$B$4&amp;"AW","-"&amp;Settings!$B$4&amp;"AW","days=a","fill=p"),NA())</f>
        <v/>
      </c>
      <c r="E586" s="23">
        <f>IFERROR((C586-D586)/D586,NA())</f>
        <v/>
      </c>
      <c r="F586" s="16">
        <f>IF(ISNUMBER(E586),IF(E586&lt;=Settings!$B$6,"BUYBACK ACTIVITY",""),"")</f>
        <v/>
      </c>
      <c r="G586" s="22">
        <f>IFERROR(_xll.BDP(A586,"VOLUME_AVG_30D"),NA())</f>
        <v/>
      </c>
      <c r="H586" s="22">
        <f>IFERROR(_xll.BDP(A586,"PX_VOLUME"),NA())</f>
        <v/>
      </c>
      <c r="I586" s="16">
        <f>IFERROR(H586/G586,NA())</f>
        <v/>
      </c>
      <c r="J586" s="16">
        <f>IF(ISNUMBER(I586),IF(I586&gt;=Settings!$B$7,"VOL SPIKE",""),"")</f>
        <v/>
      </c>
    </row>
    <row r="587">
      <c r="A587" s="16">
        <f>'Rest Universe'!A588</f>
        <v/>
      </c>
      <c r="B587" s="22">
        <f>IFERROR(_xll.BDP(A587,"NAME"),"")</f>
        <v/>
      </c>
      <c r="C587" s="22">
        <f>IFERROR(_xll.BDP(A587,"EQY_SH_OUT"),NA())</f>
        <v/>
      </c>
      <c r="D587" s="22">
        <f>IFERROR(_xll.BDH(A587,"EQY_SH_OUT","-"&amp;Settings!$B$4&amp;"AW","-"&amp;Settings!$B$4&amp;"AW","days=a","fill=p"),NA())</f>
        <v/>
      </c>
      <c r="E587" s="23">
        <f>IFERROR((C587-D587)/D587,NA())</f>
        <v/>
      </c>
      <c r="F587" s="16">
        <f>IF(ISNUMBER(E587),IF(E587&lt;=Settings!$B$6,"BUYBACK ACTIVITY",""),"")</f>
        <v/>
      </c>
      <c r="G587" s="22">
        <f>IFERROR(_xll.BDP(A587,"VOLUME_AVG_30D"),NA())</f>
        <v/>
      </c>
      <c r="H587" s="22">
        <f>IFERROR(_xll.BDP(A587,"PX_VOLUME"),NA())</f>
        <v/>
      </c>
      <c r="I587" s="16">
        <f>IFERROR(H587/G587,NA())</f>
        <v/>
      </c>
      <c r="J587" s="16">
        <f>IF(ISNUMBER(I587),IF(I587&gt;=Settings!$B$7,"VOL SPIKE",""),"")</f>
        <v/>
      </c>
    </row>
    <row r="588">
      <c r="A588" s="16">
        <f>'Rest Universe'!A589</f>
        <v/>
      </c>
      <c r="B588" s="22">
        <f>IFERROR(_xll.BDP(A588,"NAME"),"")</f>
        <v/>
      </c>
      <c r="C588" s="22">
        <f>IFERROR(_xll.BDP(A588,"EQY_SH_OUT"),NA())</f>
        <v/>
      </c>
      <c r="D588" s="22">
        <f>IFERROR(_xll.BDH(A588,"EQY_SH_OUT","-"&amp;Settings!$B$4&amp;"AW","-"&amp;Settings!$B$4&amp;"AW","days=a","fill=p"),NA())</f>
        <v/>
      </c>
      <c r="E588" s="23">
        <f>IFERROR((C588-D588)/D588,NA())</f>
        <v/>
      </c>
      <c r="F588" s="16">
        <f>IF(ISNUMBER(E588),IF(E588&lt;=Settings!$B$6,"BUYBACK ACTIVITY",""),"")</f>
        <v/>
      </c>
      <c r="G588" s="22">
        <f>IFERROR(_xll.BDP(A588,"VOLUME_AVG_30D"),NA())</f>
        <v/>
      </c>
      <c r="H588" s="22">
        <f>IFERROR(_xll.BDP(A588,"PX_VOLUME"),NA())</f>
        <v/>
      </c>
      <c r="I588" s="16">
        <f>IFERROR(H588/G588,NA())</f>
        <v/>
      </c>
      <c r="J588" s="16">
        <f>IF(ISNUMBER(I588),IF(I588&gt;=Settings!$B$7,"VOL SPIKE",""),"")</f>
        <v/>
      </c>
    </row>
    <row r="589">
      <c r="A589" s="16">
        <f>'Rest Universe'!A590</f>
        <v/>
      </c>
      <c r="B589" s="22">
        <f>IFERROR(_xll.BDP(A589,"NAME"),"")</f>
        <v/>
      </c>
      <c r="C589" s="22">
        <f>IFERROR(_xll.BDP(A589,"EQY_SH_OUT"),NA())</f>
        <v/>
      </c>
      <c r="D589" s="22">
        <f>IFERROR(_xll.BDH(A589,"EQY_SH_OUT","-"&amp;Settings!$B$4&amp;"AW","-"&amp;Settings!$B$4&amp;"AW","days=a","fill=p"),NA())</f>
        <v/>
      </c>
      <c r="E589" s="23">
        <f>IFERROR((C589-D589)/D589,NA())</f>
        <v/>
      </c>
      <c r="F589" s="16">
        <f>IF(ISNUMBER(E589),IF(E589&lt;=Settings!$B$6,"BUYBACK ACTIVITY",""),"")</f>
        <v/>
      </c>
      <c r="G589" s="22">
        <f>IFERROR(_xll.BDP(A589,"VOLUME_AVG_30D"),NA())</f>
        <v/>
      </c>
      <c r="H589" s="22">
        <f>IFERROR(_xll.BDP(A589,"PX_VOLUME"),NA())</f>
        <v/>
      </c>
      <c r="I589" s="16">
        <f>IFERROR(H589/G589,NA())</f>
        <v/>
      </c>
      <c r="J589" s="16">
        <f>IF(ISNUMBER(I589),IF(I589&gt;=Settings!$B$7,"VOL SPIKE",""),"")</f>
        <v/>
      </c>
    </row>
    <row r="590">
      <c r="A590" s="16">
        <f>'Rest Universe'!A591</f>
        <v/>
      </c>
      <c r="B590" s="22">
        <f>IFERROR(_xll.BDP(A590,"NAME"),"")</f>
        <v/>
      </c>
      <c r="C590" s="22">
        <f>IFERROR(_xll.BDP(A590,"EQY_SH_OUT"),NA())</f>
        <v/>
      </c>
      <c r="D590" s="22">
        <f>IFERROR(_xll.BDH(A590,"EQY_SH_OUT","-"&amp;Settings!$B$4&amp;"AW","-"&amp;Settings!$B$4&amp;"AW","days=a","fill=p"),NA())</f>
        <v/>
      </c>
      <c r="E590" s="23">
        <f>IFERROR((C590-D590)/D590,NA())</f>
        <v/>
      </c>
      <c r="F590" s="16">
        <f>IF(ISNUMBER(E590),IF(E590&lt;=Settings!$B$6,"BUYBACK ACTIVITY",""),"")</f>
        <v/>
      </c>
      <c r="G590" s="22">
        <f>IFERROR(_xll.BDP(A590,"VOLUME_AVG_30D"),NA())</f>
        <v/>
      </c>
      <c r="H590" s="22">
        <f>IFERROR(_xll.BDP(A590,"PX_VOLUME"),NA())</f>
        <v/>
      </c>
      <c r="I590" s="16">
        <f>IFERROR(H590/G590,NA())</f>
        <v/>
      </c>
      <c r="J590" s="16">
        <f>IF(ISNUMBER(I590),IF(I590&gt;=Settings!$B$7,"VOL SPIKE",""),"")</f>
        <v/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4" customWidth="1" min="4" max="4"/>
    <col width="14" customWidth="1" min="5" max="5"/>
    <col width="18" customWidth="1" min="6" max="6"/>
    <col width="16" customWidth="1" min="7" max="7"/>
    <col width="20" customWidth="1" min="8" max="8"/>
  </cols>
  <sheetData>
    <row r="1" ht="22" customHeight="1">
      <c r="A1" s="13" t="inlineStr">
        <is>
          <t>Dividend &amp; Distribution Tracker — SGX Ex-STI30</t>
        </is>
      </c>
    </row>
    <row r="3">
      <c r="A3" s="14" t="inlineStr">
        <is>
          <t>Ticker</t>
        </is>
      </c>
      <c r="B3" s="14" t="inlineStr">
        <is>
          <t>Name</t>
        </is>
      </c>
      <c r="C3" s="14" t="inlineStr">
        <is>
          <t>Declared Date</t>
        </is>
      </c>
      <c r="D3" s="14" t="inlineStr">
        <is>
          <t>Ex-Date</t>
        </is>
      </c>
      <c r="E3" s="14" t="inlineStr">
        <is>
          <t>Div/Unit (SGD)</t>
        </is>
      </c>
      <c r="F3" s="14" t="inlineStr">
        <is>
          <t>Dividend Type</t>
        </is>
      </c>
      <c r="G3" s="14" t="inlineStr">
        <is>
          <t>In Lookback Window?</t>
        </is>
      </c>
      <c r="H3" s="14" t="inlineStr">
        <is>
          <t>Flag</t>
        </is>
      </c>
    </row>
    <row r="4">
      <c r="A4" s="16">
        <f>'Rest Universe'!A5</f>
        <v/>
      </c>
      <c r="B4" s="22">
        <f>IFERROR(_xll.BDP(A4,"NAME"),"")</f>
        <v/>
      </c>
      <c r="C4" s="22">
        <f>IF(LEFT((_xll.BDP(A4,"DVD_DECLARED_DT")),4)="#N/A",NA(),(_xll.BDP(A4,"DVD_DECLARED_DT")))</f>
        <v/>
      </c>
      <c r="D4" s="22">
        <f>IF(LEFT((_xll.BDP(A4,"DVD_EX_DT")),4)="#N/A",NA(),(_xll.BDP(A4,"DVD_EX_DT")))</f>
        <v/>
      </c>
      <c r="E4" s="22">
        <f>IF(LEFT((_xll.BDP(A4,"DVD_SH_LAST")), 4) = "#N/A", NA(), (_xll.BDP(A4,"DVD_SH_LAST")))</f>
        <v/>
      </c>
      <c r="F4" s="22">
        <f>IF(LEFT((_xll.BDP(A4,"DVD_TYP_LAST")), 4) = "#N/A", NA(), (_xll.BDP(A4,"DVD_TYP_LAST")))</f>
        <v/>
      </c>
      <c r="G4" s="16">
        <f>IF(ISNUMBER(C4),IF(C4&gt;=Settings!$B$5,"Y","N"),"")</f>
        <v/>
      </c>
      <c r="H4" s="16">
        <f>IF(G4="Y",IF(ISNUMBER(SEARCH("Special",F4)),"SPECIAL DIVIDEND","NEW DIVIDEND"),IF(ISNUMBER(SEARCH("Special",F4)),"SPECIAL DIVIDEND",""))</f>
        <v/>
      </c>
    </row>
    <row r="5">
      <c r="A5" s="16">
        <f>'Rest Universe'!A6</f>
        <v/>
      </c>
      <c r="B5" s="22">
        <f>IFERROR(_xll.BDP(A5,"NAME"),"")</f>
        <v/>
      </c>
      <c r="C5" s="22">
        <f>IF(LEFT((_xll.BDP(A5,"DVD_DECLARED_DT")),4)="#N/A",NA(),(_xll.BDP(A5,"DVD_DECLARED_DT")))</f>
        <v/>
      </c>
      <c r="D5" s="22">
        <f>IF(LEFT((_xll.BDP(A5,"DVD_EX_DT")),4)="#N/A",NA(),(_xll.BDP(A5,"DVD_EX_DT")))</f>
        <v/>
      </c>
      <c r="E5" s="22">
        <f>IF(LEFT((_xll.BDP(A5,"DVD_SH_LAST")), 4) = "#N/A", NA(), (_xll.BDP(A5,"DVD_SH_LAST")))</f>
        <v/>
      </c>
      <c r="F5" s="22">
        <f>IF(LEFT((_xll.BDP(A5,"DVD_TYP_LAST")), 4) = "#N/A", NA(), (_xll.BDP(A5,"DVD_TYP_LAST")))</f>
        <v/>
      </c>
      <c r="G5" s="16">
        <f>IF(ISNUMBER(C5),IF(C5&gt;=Settings!$B$5,"Y","N"),"")</f>
        <v/>
      </c>
      <c r="H5" s="16">
        <f>IF(G5="Y",IF(ISNUMBER(SEARCH("Special",F5)),"SPECIAL DIVIDEND","NEW DIVIDEND"),IF(ISNUMBER(SEARCH("Special",F5)),"SPECIAL DIVIDEND",""))</f>
        <v/>
      </c>
    </row>
    <row r="6">
      <c r="A6" s="16">
        <f>'Rest Universe'!A7</f>
        <v/>
      </c>
      <c r="B6" s="22">
        <f>IFERROR(_xll.BDP(A6,"NAME"),"")</f>
        <v/>
      </c>
      <c r="C6" s="22">
        <f>IF(LEFT((_xll.BDP(A6,"DVD_DECLARED_DT")),4)="#N/A",NA(),(_xll.BDP(A6,"DVD_DECLARED_DT")))</f>
        <v/>
      </c>
      <c r="D6" s="22">
        <f>IF(LEFT((_xll.BDP(A6,"DVD_EX_DT")),4)="#N/A",NA(),(_xll.BDP(A6,"DVD_EX_DT")))</f>
        <v/>
      </c>
      <c r="E6" s="22">
        <f>IF(LEFT((_xll.BDP(A6,"DVD_SH_LAST")), 4) = "#N/A", NA(), (_xll.BDP(A6,"DVD_SH_LAST")))</f>
        <v/>
      </c>
      <c r="F6" s="22">
        <f>IF(LEFT((_xll.BDP(A6,"DVD_TYP_LAST")), 4) = "#N/A", NA(), (_xll.BDP(A6,"DVD_TYP_LAST")))</f>
        <v/>
      </c>
      <c r="G6" s="16">
        <f>IF(ISNUMBER(C6),IF(C6&gt;=Settings!$B$5,"Y","N"),"")</f>
        <v/>
      </c>
      <c r="H6" s="16">
        <f>IF(G6="Y",IF(ISNUMBER(SEARCH("Special",F6)),"SPECIAL DIVIDEND","NEW DIVIDEND"),IF(ISNUMBER(SEARCH("Special",F6)),"SPECIAL DIVIDEND",""))</f>
        <v/>
      </c>
    </row>
    <row r="7">
      <c r="A7" s="16">
        <f>'Rest Universe'!A8</f>
        <v/>
      </c>
      <c r="B7" s="22">
        <f>IFERROR(_xll.BDP(A7,"NAME"),"")</f>
        <v/>
      </c>
      <c r="C7" s="22">
        <f>IF(LEFT((_xll.BDP(A7,"DVD_DECLARED_DT")),4)="#N/A",NA(),(_xll.BDP(A7,"DVD_DECLARED_DT")))</f>
        <v/>
      </c>
      <c r="D7" s="22">
        <f>IF(LEFT((_xll.BDP(A7,"DVD_EX_DT")),4)="#N/A",NA(),(_xll.BDP(A7,"DVD_EX_DT")))</f>
        <v/>
      </c>
      <c r="E7" s="22">
        <f>IF(LEFT((_xll.BDP(A7,"DVD_SH_LAST")), 4) = "#N/A", NA(), (_xll.BDP(A7,"DVD_SH_LAST")))</f>
        <v/>
      </c>
      <c r="F7" s="22">
        <f>IF(LEFT((_xll.BDP(A7,"DVD_TYP_LAST")), 4) = "#N/A", NA(), (_xll.BDP(A7,"DVD_TYP_LAST")))</f>
        <v/>
      </c>
      <c r="G7" s="16">
        <f>IF(ISNUMBER(C7),IF(C7&gt;=Settings!$B$5,"Y","N"),"")</f>
        <v/>
      </c>
      <c r="H7" s="16">
        <f>IF(G7="Y",IF(ISNUMBER(SEARCH("Special",F7)),"SPECIAL DIVIDEND","NEW DIVIDEND"),IF(ISNUMBER(SEARCH("Special",F7)),"SPECIAL DIVIDEND",""))</f>
        <v/>
      </c>
    </row>
    <row r="8">
      <c r="A8" s="16">
        <f>'Rest Universe'!A9</f>
        <v/>
      </c>
      <c r="B8" s="22">
        <f>IFERROR(_xll.BDP(A8,"NAME"),"")</f>
        <v/>
      </c>
      <c r="C8" s="22">
        <f>IF(LEFT((_xll.BDP(A8,"DVD_DECLARED_DT")),4)="#N/A",NA(),(_xll.BDP(A8,"DVD_DECLARED_DT")))</f>
        <v/>
      </c>
      <c r="D8" s="22">
        <f>IF(LEFT((_xll.BDP(A8,"DVD_EX_DT")),4)="#N/A",NA(),(_xll.BDP(A8,"DVD_EX_DT")))</f>
        <v/>
      </c>
      <c r="E8" s="22">
        <f>IF(LEFT((_xll.BDP(A8,"DVD_SH_LAST")), 4) = "#N/A", NA(), (_xll.BDP(A8,"DVD_SH_LAST")))</f>
        <v/>
      </c>
      <c r="F8" s="22">
        <f>IF(LEFT((_xll.BDP(A8,"DVD_TYP_LAST")), 4) = "#N/A", NA(), (_xll.BDP(A8,"DVD_TYP_LAST")))</f>
        <v/>
      </c>
      <c r="G8" s="16">
        <f>IF(ISNUMBER(C8),IF(C8&gt;=Settings!$B$5,"Y","N"),"")</f>
        <v/>
      </c>
      <c r="H8" s="16">
        <f>IF(G8="Y",IF(ISNUMBER(SEARCH("Special",F8)),"SPECIAL DIVIDEND","NEW DIVIDEND"),IF(ISNUMBER(SEARCH("Special",F8)),"SPECIAL DIVIDEND",""))</f>
        <v/>
      </c>
    </row>
    <row r="9">
      <c r="A9" s="16">
        <f>'Rest Universe'!A10</f>
        <v/>
      </c>
      <c r="B9" s="22">
        <f>IFERROR(_xll.BDP(A9,"NAME"),"")</f>
        <v/>
      </c>
      <c r="C9" s="22">
        <f>IF(LEFT((_xll.BDP(A9,"DVD_DECLARED_DT")),4)="#N/A",NA(),(_xll.BDP(A9,"DVD_DECLARED_DT")))</f>
        <v/>
      </c>
      <c r="D9" s="22">
        <f>IF(LEFT((_xll.BDP(A9,"DVD_EX_DT")),4)="#N/A",NA(),(_xll.BDP(A9,"DVD_EX_DT")))</f>
        <v/>
      </c>
      <c r="E9" s="22">
        <f>IF(LEFT((_xll.BDP(A9,"DVD_SH_LAST")), 4) = "#N/A", NA(), (_xll.BDP(A9,"DVD_SH_LAST")))</f>
        <v/>
      </c>
      <c r="F9" s="22">
        <f>IF(LEFT((_xll.BDP(A9,"DVD_TYP_LAST")), 4) = "#N/A", NA(), (_xll.BDP(A9,"DVD_TYP_LAST")))</f>
        <v/>
      </c>
      <c r="G9" s="16">
        <f>IF(ISNUMBER(C9),IF(C9&gt;=Settings!$B$5,"Y","N"),"")</f>
        <v/>
      </c>
      <c r="H9" s="16">
        <f>IF(G9="Y",IF(ISNUMBER(SEARCH("Special",F9)),"SPECIAL DIVIDEND","NEW DIVIDEND"),IF(ISNUMBER(SEARCH("Special",F9)),"SPECIAL DIVIDEND",""))</f>
        <v/>
      </c>
    </row>
    <row r="10">
      <c r="A10" s="16">
        <f>'Rest Universe'!A11</f>
        <v/>
      </c>
      <c r="B10" s="22">
        <f>IFERROR(_xll.BDP(A10,"NAME"),"")</f>
        <v/>
      </c>
      <c r="C10" s="22">
        <f>IF(LEFT((_xll.BDP(A10,"DVD_DECLARED_DT")),4)="#N/A",NA(),(_xll.BDP(A10,"DVD_DECLARED_DT")))</f>
        <v/>
      </c>
      <c r="D10" s="22">
        <f>IF(LEFT((_xll.BDP(A10,"DVD_EX_DT")),4)="#N/A",NA(),(_xll.BDP(A10,"DVD_EX_DT")))</f>
        <v/>
      </c>
      <c r="E10" s="22">
        <f>IF(LEFT((_xll.BDP(A10,"DVD_SH_LAST")), 4) = "#N/A", NA(), (_xll.BDP(A10,"DVD_SH_LAST")))</f>
        <v/>
      </c>
      <c r="F10" s="22">
        <f>IF(LEFT((_xll.BDP(A10,"DVD_TYP_LAST")), 4) = "#N/A", NA(), (_xll.BDP(A10,"DVD_TYP_LAST")))</f>
        <v/>
      </c>
      <c r="G10" s="16">
        <f>IF(ISNUMBER(C10),IF(C10&gt;=Settings!$B$5,"Y","N"),"")</f>
        <v/>
      </c>
      <c r="H10" s="16">
        <f>IF(G10="Y",IF(ISNUMBER(SEARCH("Special",F10)),"SPECIAL DIVIDEND","NEW DIVIDEND"),IF(ISNUMBER(SEARCH("Special",F10)),"SPECIAL DIVIDEND",""))</f>
        <v/>
      </c>
    </row>
    <row r="11">
      <c r="A11" s="16">
        <f>'Rest Universe'!A12</f>
        <v/>
      </c>
      <c r="B11" s="22">
        <f>IFERROR(_xll.BDP(A11,"NAME"),"")</f>
        <v/>
      </c>
      <c r="C11" s="22">
        <f>IF(LEFT((_xll.BDP(A11,"DVD_DECLARED_DT")),4)="#N/A",NA(),(_xll.BDP(A11,"DVD_DECLARED_DT")))</f>
        <v/>
      </c>
      <c r="D11" s="22">
        <f>IF(LEFT((_xll.BDP(A11,"DVD_EX_DT")),4)="#N/A",NA(),(_xll.BDP(A11,"DVD_EX_DT")))</f>
        <v/>
      </c>
      <c r="E11" s="22">
        <f>IF(LEFT((_xll.BDP(A11,"DVD_SH_LAST")), 4) = "#N/A", NA(), (_xll.BDP(A11,"DVD_SH_LAST")))</f>
        <v/>
      </c>
      <c r="F11" s="22">
        <f>IF(LEFT((_xll.BDP(A11,"DVD_TYP_LAST")), 4) = "#N/A", NA(), (_xll.BDP(A11,"DVD_TYP_LAST")))</f>
        <v/>
      </c>
      <c r="G11" s="16">
        <f>IF(ISNUMBER(C11),IF(C11&gt;=Settings!$B$5,"Y","N"),"")</f>
        <v/>
      </c>
      <c r="H11" s="16">
        <f>IF(G11="Y",IF(ISNUMBER(SEARCH("Special",F11)),"SPECIAL DIVIDEND","NEW DIVIDEND"),IF(ISNUMBER(SEARCH("Special",F11)),"SPECIAL DIVIDEND",""))</f>
        <v/>
      </c>
    </row>
    <row r="12">
      <c r="A12" s="16">
        <f>'Rest Universe'!A13</f>
        <v/>
      </c>
      <c r="B12" s="22">
        <f>IFERROR(_xll.BDP(A12,"NAME"),"")</f>
        <v/>
      </c>
      <c r="C12" s="22">
        <f>IF(LEFT((_xll.BDP(A12,"DVD_DECLARED_DT")),4)="#N/A",NA(),(_xll.BDP(A12,"DVD_DECLARED_DT")))</f>
        <v/>
      </c>
      <c r="D12" s="22">
        <f>IF(LEFT((_xll.BDP(A12,"DVD_EX_DT")),4)="#N/A",NA(),(_xll.BDP(A12,"DVD_EX_DT")))</f>
        <v/>
      </c>
      <c r="E12" s="22">
        <f>IF(LEFT((_xll.BDP(A12,"DVD_SH_LAST")), 4) = "#N/A", NA(), (_xll.BDP(A12,"DVD_SH_LAST")))</f>
        <v/>
      </c>
      <c r="F12" s="22">
        <f>IF(LEFT((_xll.BDP(A12,"DVD_TYP_LAST")), 4) = "#N/A", NA(), (_xll.BDP(A12,"DVD_TYP_LAST")))</f>
        <v/>
      </c>
      <c r="G12" s="16">
        <f>IF(ISNUMBER(C12),IF(C12&gt;=Settings!$B$5,"Y","N"),"")</f>
        <v/>
      </c>
      <c r="H12" s="16">
        <f>IF(G12="Y",IF(ISNUMBER(SEARCH("Special",F12)),"SPECIAL DIVIDEND","NEW DIVIDEND"),IF(ISNUMBER(SEARCH("Special",F12)),"SPECIAL DIVIDEND",""))</f>
        <v/>
      </c>
    </row>
    <row r="13">
      <c r="A13" s="16">
        <f>'Rest Universe'!A14</f>
        <v/>
      </c>
      <c r="B13" s="22">
        <f>IFERROR(_xll.BDP(A13,"NAME"),"")</f>
        <v/>
      </c>
      <c r="C13" s="22">
        <f>IF(LEFT((_xll.BDP(A13,"DVD_DECLARED_DT")),4)="#N/A",NA(),(_xll.BDP(A13,"DVD_DECLARED_DT")))</f>
        <v/>
      </c>
      <c r="D13" s="22">
        <f>IF(LEFT((_xll.BDP(A13,"DVD_EX_DT")),4)="#N/A",NA(),(_xll.BDP(A13,"DVD_EX_DT")))</f>
        <v/>
      </c>
      <c r="E13" s="22">
        <f>IF(LEFT((_xll.BDP(A13,"DVD_SH_LAST")), 4) = "#N/A", NA(), (_xll.BDP(A13,"DVD_SH_LAST")))</f>
        <v/>
      </c>
      <c r="F13" s="22">
        <f>IF(LEFT((_xll.BDP(A13,"DVD_TYP_LAST")), 4) = "#N/A", NA(), (_xll.BDP(A13,"DVD_TYP_LAST")))</f>
        <v/>
      </c>
      <c r="G13" s="16">
        <f>IF(ISNUMBER(C13),IF(C13&gt;=Settings!$B$5,"Y","N"),"")</f>
        <v/>
      </c>
      <c r="H13" s="16">
        <f>IF(G13="Y",IF(ISNUMBER(SEARCH("Special",F13)),"SPECIAL DIVIDEND","NEW DIVIDEND"),IF(ISNUMBER(SEARCH("Special",F13)),"SPECIAL DIVIDEND",""))</f>
        <v/>
      </c>
    </row>
    <row r="14">
      <c r="A14" s="16">
        <f>'Rest Universe'!A15</f>
        <v/>
      </c>
      <c r="B14" s="22">
        <f>IFERROR(_xll.BDP(A14,"NAME"),"")</f>
        <v/>
      </c>
      <c r="C14" s="22">
        <f>IF(LEFT((_xll.BDP(A14,"DVD_DECLARED_DT")),4)="#N/A",NA(),(_xll.BDP(A14,"DVD_DECLARED_DT")))</f>
        <v/>
      </c>
      <c r="D14" s="22">
        <f>IF(LEFT((_xll.BDP(A14,"DVD_EX_DT")),4)="#N/A",NA(),(_xll.BDP(A14,"DVD_EX_DT")))</f>
        <v/>
      </c>
      <c r="E14" s="22">
        <f>IF(LEFT((_xll.BDP(A14,"DVD_SH_LAST")), 4) = "#N/A", NA(), (_xll.BDP(A14,"DVD_SH_LAST")))</f>
        <v/>
      </c>
      <c r="F14" s="22">
        <f>IF(LEFT((_xll.BDP(A14,"DVD_TYP_LAST")), 4) = "#N/A", NA(), (_xll.BDP(A14,"DVD_TYP_LAST")))</f>
        <v/>
      </c>
      <c r="G14" s="16">
        <f>IF(ISNUMBER(C14),IF(C14&gt;=Settings!$B$5,"Y","N"),"")</f>
        <v/>
      </c>
      <c r="H14" s="16">
        <f>IF(G14="Y",IF(ISNUMBER(SEARCH("Special",F14)),"SPECIAL DIVIDEND","NEW DIVIDEND"),IF(ISNUMBER(SEARCH("Special",F14)),"SPECIAL DIVIDEND",""))</f>
        <v/>
      </c>
    </row>
    <row r="15">
      <c r="A15" s="16">
        <f>'Rest Universe'!A16</f>
        <v/>
      </c>
      <c r="B15" s="22">
        <f>IFERROR(_xll.BDP(A15,"NAME"),"")</f>
        <v/>
      </c>
      <c r="C15" s="22">
        <f>IF(LEFT((_xll.BDP(A15,"DVD_DECLARED_DT")),4)="#N/A",NA(),(_xll.BDP(A15,"DVD_DECLARED_DT")))</f>
        <v/>
      </c>
      <c r="D15" s="22">
        <f>IF(LEFT((_xll.BDP(A15,"DVD_EX_DT")),4)="#N/A",NA(),(_xll.BDP(A15,"DVD_EX_DT")))</f>
        <v/>
      </c>
      <c r="E15" s="22">
        <f>IF(LEFT((_xll.BDP(A15,"DVD_SH_LAST")), 4) = "#N/A", NA(), (_xll.BDP(A15,"DVD_SH_LAST")))</f>
        <v/>
      </c>
      <c r="F15" s="22">
        <f>IF(LEFT((_xll.BDP(A15,"DVD_TYP_LAST")), 4) = "#N/A", NA(), (_xll.BDP(A15,"DVD_TYP_LAST")))</f>
        <v/>
      </c>
      <c r="G15" s="16">
        <f>IF(ISNUMBER(C15),IF(C15&gt;=Settings!$B$5,"Y","N"),"")</f>
        <v/>
      </c>
      <c r="H15" s="16">
        <f>IF(G15="Y",IF(ISNUMBER(SEARCH("Special",F15)),"SPECIAL DIVIDEND","NEW DIVIDEND"),IF(ISNUMBER(SEARCH("Special",F15)),"SPECIAL DIVIDEND",""))</f>
        <v/>
      </c>
    </row>
    <row r="16">
      <c r="A16" s="16">
        <f>'Rest Universe'!A17</f>
        <v/>
      </c>
      <c r="B16" s="22">
        <f>IFERROR(_xll.BDP(A16,"NAME"),"")</f>
        <v/>
      </c>
      <c r="C16" s="22">
        <f>IF(LEFT((_xll.BDP(A16,"DVD_DECLARED_DT")),4)="#N/A",NA(),(_xll.BDP(A16,"DVD_DECLARED_DT")))</f>
        <v/>
      </c>
      <c r="D16" s="22">
        <f>IF(LEFT((_xll.BDP(A16,"DVD_EX_DT")),4)="#N/A",NA(),(_xll.BDP(A16,"DVD_EX_DT")))</f>
        <v/>
      </c>
      <c r="E16" s="22">
        <f>IF(LEFT((_xll.BDP(A16,"DVD_SH_LAST")), 4) = "#N/A", NA(), (_xll.BDP(A16,"DVD_SH_LAST")))</f>
        <v/>
      </c>
      <c r="F16" s="22">
        <f>IF(LEFT((_xll.BDP(A16,"DVD_TYP_LAST")), 4) = "#N/A", NA(), (_xll.BDP(A16,"DVD_TYP_LAST")))</f>
        <v/>
      </c>
      <c r="G16" s="16">
        <f>IF(ISNUMBER(C16),IF(C16&gt;=Settings!$B$5,"Y","N"),"")</f>
        <v/>
      </c>
      <c r="H16" s="16">
        <f>IF(G16="Y",IF(ISNUMBER(SEARCH("Special",F16)),"SPECIAL DIVIDEND","NEW DIVIDEND"),IF(ISNUMBER(SEARCH("Special",F16)),"SPECIAL DIVIDEND",""))</f>
        <v/>
      </c>
    </row>
    <row r="17">
      <c r="A17" s="16">
        <f>'Rest Universe'!A18</f>
        <v/>
      </c>
      <c r="B17" s="22">
        <f>IFERROR(_xll.BDP(A17,"NAME"),"")</f>
        <v/>
      </c>
      <c r="C17" s="22">
        <f>IF(LEFT((_xll.BDP(A17,"DVD_DECLARED_DT")),4)="#N/A",NA(),(_xll.BDP(A17,"DVD_DECLARED_DT")))</f>
        <v/>
      </c>
      <c r="D17" s="22">
        <f>IF(LEFT((_xll.BDP(A17,"DVD_EX_DT")),4)="#N/A",NA(),(_xll.BDP(A17,"DVD_EX_DT")))</f>
        <v/>
      </c>
      <c r="E17" s="22">
        <f>IF(LEFT((_xll.BDP(A17,"DVD_SH_LAST")), 4) = "#N/A", NA(), (_xll.BDP(A17,"DVD_SH_LAST")))</f>
        <v/>
      </c>
      <c r="F17" s="22">
        <f>IF(LEFT((_xll.BDP(A17,"DVD_TYP_LAST")), 4) = "#N/A", NA(), (_xll.BDP(A17,"DVD_TYP_LAST")))</f>
        <v/>
      </c>
      <c r="G17" s="16">
        <f>IF(ISNUMBER(C17),IF(C17&gt;=Settings!$B$5,"Y","N"),"")</f>
        <v/>
      </c>
      <c r="H17" s="16">
        <f>IF(G17="Y",IF(ISNUMBER(SEARCH("Special",F17)),"SPECIAL DIVIDEND","NEW DIVIDEND"),IF(ISNUMBER(SEARCH("Special",F17)),"SPECIAL DIVIDEND",""))</f>
        <v/>
      </c>
    </row>
    <row r="18">
      <c r="A18" s="16">
        <f>'Rest Universe'!A19</f>
        <v/>
      </c>
      <c r="B18" s="22">
        <f>IFERROR(_xll.BDP(A18,"NAME"),"")</f>
        <v/>
      </c>
      <c r="C18" s="22">
        <f>IF(LEFT((_xll.BDP(A18,"DVD_DECLARED_DT")),4)="#N/A",NA(),(_xll.BDP(A18,"DVD_DECLARED_DT")))</f>
        <v/>
      </c>
      <c r="D18" s="22">
        <f>IF(LEFT((_xll.BDP(A18,"DVD_EX_DT")),4)="#N/A",NA(),(_xll.BDP(A18,"DVD_EX_DT")))</f>
        <v/>
      </c>
      <c r="E18" s="22">
        <f>IF(LEFT((_xll.BDP(A18,"DVD_SH_LAST")), 4) = "#N/A", NA(), (_xll.BDP(A18,"DVD_SH_LAST")))</f>
        <v/>
      </c>
      <c r="F18" s="22">
        <f>IF(LEFT((_xll.BDP(A18,"DVD_TYP_LAST")), 4) = "#N/A", NA(), (_xll.BDP(A18,"DVD_TYP_LAST")))</f>
        <v/>
      </c>
      <c r="G18" s="16">
        <f>IF(ISNUMBER(C18),IF(C18&gt;=Settings!$B$5,"Y","N"),"")</f>
        <v/>
      </c>
      <c r="H18" s="16">
        <f>IF(G18="Y",IF(ISNUMBER(SEARCH("Special",F18)),"SPECIAL DIVIDEND","NEW DIVIDEND"),IF(ISNUMBER(SEARCH("Special",F18)),"SPECIAL DIVIDEND",""))</f>
        <v/>
      </c>
    </row>
    <row r="19">
      <c r="A19" s="16">
        <f>'Rest Universe'!A20</f>
        <v/>
      </c>
      <c r="B19" s="22">
        <f>IFERROR(_xll.BDP(A19,"NAME"),"")</f>
        <v/>
      </c>
      <c r="C19" s="22">
        <f>IF(LEFT((_xll.BDP(A19,"DVD_DECLARED_DT")),4)="#N/A",NA(),(_xll.BDP(A19,"DVD_DECLARED_DT")))</f>
        <v/>
      </c>
      <c r="D19" s="22">
        <f>IF(LEFT((_xll.BDP(A19,"DVD_EX_DT")),4)="#N/A",NA(),(_xll.BDP(A19,"DVD_EX_DT")))</f>
        <v/>
      </c>
      <c r="E19" s="22">
        <f>IF(LEFT((_xll.BDP(A19,"DVD_SH_LAST")), 4) = "#N/A", NA(), (_xll.BDP(A19,"DVD_SH_LAST")))</f>
        <v/>
      </c>
      <c r="F19" s="22">
        <f>IF(LEFT((_xll.BDP(A19,"DVD_TYP_LAST")), 4) = "#N/A", NA(), (_xll.BDP(A19,"DVD_TYP_LAST")))</f>
        <v/>
      </c>
      <c r="G19" s="16">
        <f>IF(ISNUMBER(C19),IF(C19&gt;=Settings!$B$5,"Y","N"),"")</f>
        <v/>
      </c>
      <c r="H19" s="16">
        <f>IF(G19="Y",IF(ISNUMBER(SEARCH("Special",F19)),"SPECIAL DIVIDEND","NEW DIVIDEND"),IF(ISNUMBER(SEARCH("Special",F19)),"SPECIAL DIVIDEND",""))</f>
        <v/>
      </c>
    </row>
    <row r="20">
      <c r="A20" s="16">
        <f>'Rest Universe'!A21</f>
        <v/>
      </c>
      <c r="B20" s="22">
        <f>IFERROR(_xll.BDP(A20,"NAME"),"")</f>
        <v/>
      </c>
      <c r="C20" s="22">
        <f>IF(LEFT((_xll.BDP(A20,"DVD_DECLARED_DT")),4)="#N/A",NA(),(_xll.BDP(A20,"DVD_DECLARED_DT")))</f>
        <v/>
      </c>
      <c r="D20" s="22">
        <f>IF(LEFT((_xll.BDP(A20,"DVD_EX_DT")),4)="#N/A",NA(),(_xll.BDP(A20,"DVD_EX_DT")))</f>
        <v/>
      </c>
      <c r="E20" s="22">
        <f>IF(LEFT((_xll.BDP(A20,"DVD_SH_LAST")), 4) = "#N/A", NA(), (_xll.BDP(A20,"DVD_SH_LAST")))</f>
        <v/>
      </c>
      <c r="F20" s="22">
        <f>IF(LEFT((_xll.BDP(A20,"DVD_TYP_LAST")), 4) = "#N/A", NA(), (_xll.BDP(A20,"DVD_TYP_LAST")))</f>
        <v/>
      </c>
      <c r="G20" s="16">
        <f>IF(ISNUMBER(C20),IF(C20&gt;=Settings!$B$5,"Y","N"),"")</f>
        <v/>
      </c>
      <c r="H20" s="16">
        <f>IF(G20="Y",IF(ISNUMBER(SEARCH("Special",F20)),"SPECIAL DIVIDEND","NEW DIVIDEND"),IF(ISNUMBER(SEARCH("Special",F20)),"SPECIAL DIVIDEND",""))</f>
        <v/>
      </c>
    </row>
    <row r="21">
      <c r="A21" s="16">
        <f>'Rest Universe'!A22</f>
        <v/>
      </c>
      <c r="B21" s="22">
        <f>IFERROR(_xll.BDP(A21,"NAME"),"")</f>
        <v/>
      </c>
      <c r="C21" s="22">
        <f>IF(LEFT((_xll.BDP(A21,"DVD_DECLARED_DT")),4)="#N/A",NA(),(_xll.BDP(A21,"DVD_DECLARED_DT")))</f>
        <v/>
      </c>
      <c r="D21" s="22">
        <f>IF(LEFT((_xll.BDP(A21,"DVD_EX_DT")),4)="#N/A",NA(),(_xll.BDP(A21,"DVD_EX_DT")))</f>
        <v/>
      </c>
      <c r="E21" s="22">
        <f>IF(LEFT((_xll.BDP(A21,"DVD_SH_LAST")), 4) = "#N/A", NA(), (_xll.BDP(A21,"DVD_SH_LAST")))</f>
        <v/>
      </c>
      <c r="F21" s="22">
        <f>IF(LEFT((_xll.BDP(A21,"DVD_TYP_LAST")), 4) = "#N/A", NA(), (_xll.BDP(A21,"DVD_TYP_LAST")))</f>
        <v/>
      </c>
      <c r="G21" s="16">
        <f>IF(ISNUMBER(C21),IF(C21&gt;=Settings!$B$5,"Y","N"),"")</f>
        <v/>
      </c>
      <c r="H21" s="16">
        <f>IF(G21="Y",IF(ISNUMBER(SEARCH("Special",F21)),"SPECIAL DIVIDEND","NEW DIVIDEND"),IF(ISNUMBER(SEARCH("Special",F21)),"SPECIAL DIVIDEND",""))</f>
        <v/>
      </c>
    </row>
    <row r="22">
      <c r="A22" s="16">
        <f>'Rest Universe'!A23</f>
        <v/>
      </c>
      <c r="B22" s="22">
        <f>IFERROR(_xll.BDP(A22,"NAME"),"")</f>
        <v/>
      </c>
      <c r="C22" s="22">
        <f>IF(LEFT((_xll.BDP(A22,"DVD_DECLARED_DT")),4)="#N/A",NA(),(_xll.BDP(A22,"DVD_DECLARED_DT")))</f>
        <v/>
      </c>
      <c r="D22" s="22">
        <f>IF(LEFT((_xll.BDP(A22,"DVD_EX_DT")),4)="#N/A",NA(),(_xll.BDP(A22,"DVD_EX_DT")))</f>
        <v/>
      </c>
      <c r="E22" s="22">
        <f>IF(LEFT((_xll.BDP(A22,"DVD_SH_LAST")), 4) = "#N/A", NA(), (_xll.BDP(A22,"DVD_SH_LAST")))</f>
        <v/>
      </c>
      <c r="F22" s="22">
        <f>IF(LEFT((_xll.BDP(A22,"DVD_TYP_LAST")), 4) = "#N/A", NA(), (_xll.BDP(A22,"DVD_TYP_LAST")))</f>
        <v/>
      </c>
      <c r="G22" s="16">
        <f>IF(ISNUMBER(C22),IF(C22&gt;=Settings!$B$5,"Y","N"),"")</f>
        <v/>
      </c>
      <c r="H22" s="16">
        <f>IF(G22="Y",IF(ISNUMBER(SEARCH("Special",F22)),"SPECIAL DIVIDEND","NEW DIVIDEND"),IF(ISNUMBER(SEARCH("Special",F22)),"SPECIAL DIVIDEND",""))</f>
        <v/>
      </c>
    </row>
    <row r="23">
      <c r="A23" s="16">
        <f>'Rest Universe'!A24</f>
        <v/>
      </c>
      <c r="B23" s="22">
        <f>IFERROR(_xll.BDP(A23,"NAME"),"")</f>
        <v/>
      </c>
      <c r="C23" s="22">
        <f>IF(LEFT((_xll.BDP(A23,"DVD_DECLARED_DT")),4)="#N/A",NA(),(_xll.BDP(A23,"DVD_DECLARED_DT")))</f>
        <v/>
      </c>
      <c r="D23" s="22">
        <f>IF(LEFT((_xll.BDP(A23,"DVD_EX_DT")),4)="#N/A",NA(),(_xll.BDP(A23,"DVD_EX_DT")))</f>
        <v/>
      </c>
      <c r="E23" s="22">
        <f>IF(LEFT((_xll.BDP(A23,"DVD_SH_LAST")), 4) = "#N/A", NA(), (_xll.BDP(A23,"DVD_SH_LAST")))</f>
        <v/>
      </c>
      <c r="F23" s="22">
        <f>IF(LEFT((_xll.BDP(A23,"DVD_TYP_LAST")), 4) = "#N/A", NA(), (_xll.BDP(A23,"DVD_TYP_LAST")))</f>
        <v/>
      </c>
      <c r="G23" s="16">
        <f>IF(ISNUMBER(C23),IF(C23&gt;=Settings!$B$5,"Y","N"),"")</f>
        <v/>
      </c>
      <c r="H23" s="16">
        <f>IF(G23="Y",IF(ISNUMBER(SEARCH("Special",F23)),"SPECIAL DIVIDEND","NEW DIVIDEND"),IF(ISNUMBER(SEARCH("Special",F23)),"SPECIAL DIVIDEND",""))</f>
        <v/>
      </c>
    </row>
    <row r="24">
      <c r="A24" s="16">
        <f>'Rest Universe'!A25</f>
        <v/>
      </c>
      <c r="B24" s="22">
        <f>IFERROR(_xll.BDP(A24,"NAME"),"")</f>
        <v/>
      </c>
      <c r="C24" s="22">
        <f>IF(LEFT((_xll.BDP(A24,"DVD_DECLARED_DT")),4)="#N/A",NA(),(_xll.BDP(A24,"DVD_DECLARED_DT")))</f>
        <v/>
      </c>
      <c r="D24" s="22">
        <f>IF(LEFT((_xll.BDP(A24,"DVD_EX_DT")),4)="#N/A",NA(),(_xll.BDP(A24,"DVD_EX_DT")))</f>
        <v/>
      </c>
      <c r="E24" s="22">
        <f>IF(LEFT((_xll.BDP(A24,"DVD_SH_LAST")), 4) = "#N/A", NA(), (_xll.BDP(A24,"DVD_SH_LAST")))</f>
        <v/>
      </c>
      <c r="F24" s="22">
        <f>IF(LEFT((_xll.BDP(A24,"DVD_TYP_LAST")), 4) = "#N/A", NA(), (_xll.BDP(A24,"DVD_TYP_LAST")))</f>
        <v/>
      </c>
      <c r="G24" s="16">
        <f>IF(ISNUMBER(C24),IF(C24&gt;=Settings!$B$5,"Y","N"),"")</f>
        <v/>
      </c>
      <c r="H24" s="16">
        <f>IF(G24="Y",IF(ISNUMBER(SEARCH("Special",F24)),"SPECIAL DIVIDEND","NEW DIVIDEND"),IF(ISNUMBER(SEARCH("Special",F24)),"SPECIAL DIVIDEND",""))</f>
        <v/>
      </c>
    </row>
    <row r="25">
      <c r="A25" s="16">
        <f>'Rest Universe'!A26</f>
        <v/>
      </c>
      <c r="B25" s="22">
        <f>IFERROR(_xll.BDP(A25,"NAME"),"")</f>
        <v/>
      </c>
      <c r="C25" s="22">
        <f>IF(LEFT((_xll.BDP(A25,"DVD_DECLARED_DT")),4)="#N/A",NA(),(_xll.BDP(A25,"DVD_DECLARED_DT")))</f>
        <v/>
      </c>
      <c r="D25" s="22">
        <f>IF(LEFT((_xll.BDP(A25,"DVD_EX_DT")),4)="#N/A",NA(),(_xll.BDP(A25,"DVD_EX_DT")))</f>
        <v/>
      </c>
      <c r="E25" s="22">
        <f>IF(LEFT((_xll.BDP(A25,"DVD_SH_LAST")), 4) = "#N/A", NA(), (_xll.BDP(A25,"DVD_SH_LAST")))</f>
        <v/>
      </c>
      <c r="F25" s="22">
        <f>IF(LEFT((_xll.BDP(A25,"DVD_TYP_LAST")), 4) = "#N/A", NA(), (_xll.BDP(A25,"DVD_TYP_LAST")))</f>
        <v/>
      </c>
      <c r="G25" s="16">
        <f>IF(ISNUMBER(C25),IF(C25&gt;=Settings!$B$5,"Y","N"),"")</f>
        <v/>
      </c>
      <c r="H25" s="16">
        <f>IF(G25="Y",IF(ISNUMBER(SEARCH("Special",F25)),"SPECIAL DIVIDEND","NEW DIVIDEND"),IF(ISNUMBER(SEARCH("Special",F25)),"SPECIAL DIVIDEND",""))</f>
        <v/>
      </c>
    </row>
    <row r="26">
      <c r="A26" s="16">
        <f>'Rest Universe'!A27</f>
        <v/>
      </c>
      <c r="B26" s="22">
        <f>IFERROR(_xll.BDP(A26,"NAME"),"")</f>
        <v/>
      </c>
      <c r="C26" s="22">
        <f>IF(LEFT((_xll.BDP(A26,"DVD_DECLARED_DT")),4)="#N/A",NA(),(_xll.BDP(A26,"DVD_DECLARED_DT")))</f>
        <v/>
      </c>
      <c r="D26" s="22">
        <f>IF(LEFT((_xll.BDP(A26,"DVD_EX_DT")),4)="#N/A",NA(),(_xll.BDP(A26,"DVD_EX_DT")))</f>
        <v/>
      </c>
      <c r="E26" s="22">
        <f>IF(LEFT((_xll.BDP(A26,"DVD_SH_LAST")), 4) = "#N/A", NA(), (_xll.BDP(A26,"DVD_SH_LAST")))</f>
        <v/>
      </c>
      <c r="F26" s="22">
        <f>IF(LEFT((_xll.BDP(A26,"DVD_TYP_LAST")), 4) = "#N/A", NA(), (_xll.BDP(A26,"DVD_TYP_LAST")))</f>
        <v/>
      </c>
      <c r="G26" s="16">
        <f>IF(ISNUMBER(C26),IF(C26&gt;=Settings!$B$5,"Y","N"),"")</f>
        <v/>
      </c>
      <c r="H26" s="16">
        <f>IF(G26="Y",IF(ISNUMBER(SEARCH("Special",F26)),"SPECIAL DIVIDEND","NEW DIVIDEND"),IF(ISNUMBER(SEARCH("Special",F26)),"SPECIAL DIVIDEND",""))</f>
        <v/>
      </c>
    </row>
    <row r="27">
      <c r="A27" s="16">
        <f>'Rest Universe'!A28</f>
        <v/>
      </c>
      <c r="B27" s="22">
        <f>IFERROR(_xll.BDP(A27,"NAME"),"")</f>
        <v/>
      </c>
      <c r="C27" s="22">
        <f>IF(LEFT((_xll.BDP(A27,"DVD_DECLARED_DT")),4)="#N/A",NA(),(_xll.BDP(A27,"DVD_DECLARED_DT")))</f>
        <v/>
      </c>
      <c r="D27" s="22">
        <f>IF(LEFT((_xll.BDP(A27,"DVD_EX_DT")),4)="#N/A",NA(),(_xll.BDP(A27,"DVD_EX_DT")))</f>
        <v/>
      </c>
      <c r="E27" s="22">
        <f>IF(LEFT((_xll.BDP(A27,"DVD_SH_LAST")), 4) = "#N/A", NA(), (_xll.BDP(A27,"DVD_SH_LAST")))</f>
        <v/>
      </c>
      <c r="F27" s="22">
        <f>IF(LEFT((_xll.BDP(A27,"DVD_TYP_LAST")), 4) = "#N/A", NA(), (_xll.BDP(A27,"DVD_TYP_LAST")))</f>
        <v/>
      </c>
      <c r="G27" s="16">
        <f>IF(ISNUMBER(C27),IF(C27&gt;=Settings!$B$5,"Y","N"),"")</f>
        <v/>
      </c>
      <c r="H27" s="16">
        <f>IF(G27="Y",IF(ISNUMBER(SEARCH("Special",F27)),"SPECIAL DIVIDEND","NEW DIVIDEND"),IF(ISNUMBER(SEARCH("Special",F27)),"SPECIAL DIVIDEND",""))</f>
        <v/>
      </c>
    </row>
    <row r="28">
      <c r="A28" s="16">
        <f>'Rest Universe'!A29</f>
        <v/>
      </c>
      <c r="B28" s="22">
        <f>IFERROR(_xll.BDP(A28,"NAME"),"")</f>
        <v/>
      </c>
      <c r="C28" s="22">
        <f>IF(LEFT((_xll.BDP(A28,"DVD_DECLARED_DT")),4)="#N/A",NA(),(_xll.BDP(A28,"DVD_DECLARED_DT")))</f>
        <v/>
      </c>
      <c r="D28" s="22">
        <f>IF(LEFT((_xll.BDP(A28,"DVD_EX_DT")),4)="#N/A",NA(),(_xll.BDP(A28,"DVD_EX_DT")))</f>
        <v/>
      </c>
      <c r="E28" s="22">
        <f>IF(LEFT((_xll.BDP(A28,"DVD_SH_LAST")), 4) = "#N/A", NA(), (_xll.BDP(A28,"DVD_SH_LAST")))</f>
        <v/>
      </c>
      <c r="F28" s="22">
        <f>IF(LEFT((_xll.BDP(A28,"DVD_TYP_LAST")), 4) = "#N/A", NA(), (_xll.BDP(A28,"DVD_TYP_LAST")))</f>
        <v/>
      </c>
      <c r="G28" s="16">
        <f>IF(ISNUMBER(C28),IF(C28&gt;=Settings!$B$5,"Y","N"),"")</f>
        <v/>
      </c>
      <c r="H28" s="16">
        <f>IF(G28="Y",IF(ISNUMBER(SEARCH("Special",F28)),"SPECIAL DIVIDEND","NEW DIVIDEND"),IF(ISNUMBER(SEARCH("Special",F28)),"SPECIAL DIVIDEND",""))</f>
        <v/>
      </c>
    </row>
    <row r="29">
      <c r="A29" s="16">
        <f>'Rest Universe'!A30</f>
        <v/>
      </c>
      <c r="B29" s="22">
        <f>IFERROR(_xll.BDP(A29,"NAME"),"")</f>
        <v/>
      </c>
      <c r="C29" s="22">
        <f>IF(LEFT((_xll.BDP(A29,"DVD_DECLARED_DT")),4)="#N/A",NA(),(_xll.BDP(A29,"DVD_DECLARED_DT")))</f>
        <v/>
      </c>
      <c r="D29" s="22">
        <f>IF(LEFT((_xll.BDP(A29,"DVD_EX_DT")),4)="#N/A",NA(),(_xll.BDP(A29,"DVD_EX_DT")))</f>
        <v/>
      </c>
      <c r="E29" s="22">
        <f>IF(LEFT((_xll.BDP(A29,"DVD_SH_LAST")), 4) = "#N/A", NA(), (_xll.BDP(A29,"DVD_SH_LAST")))</f>
        <v/>
      </c>
      <c r="F29" s="22">
        <f>IF(LEFT((_xll.BDP(A29,"DVD_TYP_LAST")), 4) = "#N/A", NA(), (_xll.BDP(A29,"DVD_TYP_LAST")))</f>
        <v/>
      </c>
      <c r="G29" s="16">
        <f>IF(ISNUMBER(C29),IF(C29&gt;=Settings!$B$5,"Y","N"),"")</f>
        <v/>
      </c>
      <c r="H29" s="16">
        <f>IF(G29="Y",IF(ISNUMBER(SEARCH("Special",F29)),"SPECIAL DIVIDEND","NEW DIVIDEND"),IF(ISNUMBER(SEARCH("Special",F29)),"SPECIAL DIVIDEND",""))</f>
        <v/>
      </c>
    </row>
    <row r="30">
      <c r="A30" s="16">
        <f>'Rest Universe'!A31</f>
        <v/>
      </c>
      <c r="B30" s="22">
        <f>IFERROR(_xll.BDP(A30,"NAME"),"")</f>
        <v/>
      </c>
      <c r="C30" s="22">
        <f>IF(LEFT((_xll.BDP(A30,"DVD_DECLARED_DT")),4)="#N/A",NA(),(_xll.BDP(A30,"DVD_DECLARED_DT")))</f>
        <v/>
      </c>
      <c r="D30" s="22">
        <f>IF(LEFT((_xll.BDP(A30,"DVD_EX_DT")),4)="#N/A",NA(),(_xll.BDP(A30,"DVD_EX_DT")))</f>
        <v/>
      </c>
      <c r="E30" s="22">
        <f>IF(LEFT((_xll.BDP(A30,"DVD_SH_LAST")), 4) = "#N/A", NA(), (_xll.BDP(A30,"DVD_SH_LAST")))</f>
        <v/>
      </c>
      <c r="F30" s="22">
        <f>IF(LEFT((_xll.BDP(A30,"DVD_TYP_LAST")), 4) = "#N/A", NA(), (_xll.BDP(A30,"DVD_TYP_LAST")))</f>
        <v/>
      </c>
      <c r="G30" s="16">
        <f>IF(ISNUMBER(C30),IF(C30&gt;=Settings!$B$5,"Y","N"),"")</f>
        <v/>
      </c>
      <c r="H30" s="16">
        <f>IF(G30="Y",IF(ISNUMBER(SEARCH("Special",F30)),"SPECIAL DIVIDEND","NEW DIVIDEND"),IF(ISNUMBER(SEARCH("Special",F30)),"SPECIAL DIVIDEND",""))</f>
        <v/>
      </c>
    </row>
    <row r="31">
      <c r="A31" s="16">
        <f>'Rest Universe'!A32</f>
        <v/>
      </c>
      <c r="B31" s="22">
        <f>IFERROR(_xll.BDP(A31,"NAME"),"")</f>
        <v/>
      </c>
      <c r="C31" s="22">
        <f>IF(LEFT((_xll.BDP(A31,"DVD_DECLARED_DT")),4)="#N/A",NA(),(_xll.BDP(A31,"DVD_DECLARED_DT")))</f>
        <v/>
      </c>
      <c r="D31" s="22">
        <f>IF(LEFT((_xll.BDP(A31,"DVD_EX_DT")),4)="#N/A",NA(),(_xll.BDP(A31,"DVD_EX_DT")))</f>
        <v/>
      </c>
      <c r="E31" s="22">
        <f>IF(LEFT((_xll.BDP(A31,"DVD_SH_LAST")), 4) = "#N/A", NA(), (_xll.BDP(A31,"DVD_SH_LAST")))</f>
        <v/>
      </c>
      <c r="F31" s="22">
        <f>IF(LEFT((_xll.BDP(A31,"DVD_TYP_LAST")), 4) = "#N/A", NA(), (_xll.BDP(A31,"DVD_TYP_LAST")))</f>
        <v/>
      </c>
      <c r="G31" s="16">
        <f>IF(ISNUMBER(C31),IF(C31&gt;=Settings!$B$5,"Y","N"),"")</f>
        <v/>
      </c>
      <c r="H31" s="16">
        <f>IF(G31="Y",IF(ISNUMBER(SEARCH("Special",F31)),"SPECIAL DIVIDEND","NEW DIVIDEND"),IF(ISNUMBER(SEARCH("Special",F31)),"SPECIAL DIVIDEND",""))</f>
        <v/>
      </c>
    </row>
    <row r="32">
      <c r="A32" s="16">
        <f>'Rest Universe'!A33</f>
        <v/>
      </c>
      <c r="B32" s="22">
        <f>IFERROR(_xll.BDP(A32,"NAME"),"")</f>
        <v/>
      </c>
      <c r="C32" s="22">
        <f>IF(LEFT((_xll.BDP(A32,"DVD_DECLARED_DT")),4)="#N/A",NA(),(_xll.BDP(A32,"DVD_DECLARED_DT")))</f>
        <v/>
      </c>
      <c r="D32" s="22">
        <f>IF(LEFT((_xll.BDP(A32,"DVD_EX_DT")),4)="#N/A",NA(),(_xll.BDP(A32,"DVD_EX_DT")))</f>
        <v/>
      </c>
      <c r="E32" s="22">
        <f>IF(LEFT((_xll.BDP(A32,"DVD_SH_LAST")), 4) = "#N/A", NA(), (_xll.BDP(A32,"DVD_SH_LAST")))</f>
        <v/>
      </c>
      <c r="F32" s="22">
        <f>IF(LEFT((_xll.BDP(A32,"DVD_TYP_LAST")), 4) = "#N/A", NA(), (_xll.BDP(A32,"DVD_TYP_LAST")))</f>
        <v/>
      </c>
      <c r="G32" s="16">
        <f>IF(ISNUMBER(C32),IF(C32&gt;=Settings!$B$5,"Y","N"),"")</f>
        <v/>
      </c>
      <c r="H32" s="16">
        <f>IF(G32="Y",IF(ISNUMBER(SEARCH("Special",F32)),"SPECIAL DIVIDEND","NEW DIVIDEND"),IF(ISNUMBER(SEARCH("Special",F32)),"SPECIAL DIVIDEND",""))</f>
        <v/>
      </c>
    </row>
    <row r="33">
      <c r="A33" s="16">
        <f>'Rest Universe'!A34</f>
        <v/>
      </c>
      <c r="B33" s="22">
        <f>IFERROR(_xll.BDP(A33,"NAME"),"")</f>
        <v/>
      </c>
      <c r="C33" s="22">
        <f>IF(LEFT((_xll.BDP(A33,"DVD_DECLARED_DT")),4)="#N/A",NA(),(_xll.BDP(A33,"DVD_DECLARED_DT")))</f>
        <v/>
      </c>
      <c r="D33" s="22">
        <f>IF(LEFT((_xll.BDP(A33,"DVD_EX_DT")),4)="#N/A",NA(),(_xll.BDP(A33,"DVD_EX_DT")))</f>
        <v/>
      </c>
      <c r="E33" s="22">
        <f>IF(LEFT((_xll.BDP(A33,"DVD_SH_LAST")), 4) = "#N/A", NA(), (_xll.BDP(A33,"DVD_SH_LAST")))</f>
        <v/>
      </c>
      <c r="F33" s="22">
        <f>IF(LEFT((_xll.BDP(A33,"DVD_TYP_LAST")), 4) = "#N/A", NA(), (_xll.BDP(A33,"DVD_TYP_LAST")))</f>
        <v/>
      </c>
      <c r="G33" s="16">
        <f>IF(ISNUMBER(C33),IF(C33&gt;=Settings!$B$5,"Y","N"),"")</f>
        <v/>
      </c>
      <c r="H33" s="16">
        <f>IF(G33="Y",IF(ISNUMBER(SEARCH("Special",F33)),"SPECIAL DIVIDEND","NEW DIVIDEND"),IF(ISNUMBER(SEARCH("Special",F33)),"SPECIAL DIVIDEND",""))</f>
        <v/>
      </c>
    </row>
    <row r="34">
      <c r="A34" s="16">
        <f>'Rest Universe'!A35</f>
        <v/>
      </c>
      <c r="B34" s="22">
        <f>IFERROR(_xll.BDP(A34,"NAME"),"")</f>
        <v/>
      </c>
      <c r="C34" s="22">
        <f>IF(LEFT((_xll.BDP(A34,"DVD_DECLARED_DT")),4)="#N/A",NA(),(_xll.BDP(A34,"DVD_DECLARED_DT")))</f>
        <v/>
      </c>
      <c r="D34" s="22">
        <f>IF(LEFT((_xll.BDP(A34,"DVD_EX_DT")),4)="#N/A",NA(),(_xll.BDP(A34,"DVD_EX_DT")))</f>
        <v/>
      </c>
      <c r="E34" s="22">
        <f>IF(LEFT((_xll.BDP(A34,"DVD_SH_LAST")), 4) = "#N/A", NA(), (_xll.BDP(A34,"DVD_SH_LAST")))</f>
        <v/>
      </c>
      <c r="F34" s="22">
        <f>IF(LEFT((_xll.BDP(A34,"DVD_TYP_LAST")), 4) = "#N/A", NA(), (_xll.BDP(A34,"DVD_TYP_LAST")))</f>
        <v/>
      </c>
      <c r="G34" s="16">
        <f>IF(ISNUMBER(C34),IF(C34&gt;=Settings!$B$5,"Y","N"),"")</f>
        <v/>
      </c>
      <c r="H34" s="16">
        <f>IF(G34="Y",IF(ISNUMBER(SEARCH("Special",F34)),"SPECIAL DIVIDEND","NEW DIVIDEND"),IF(ISNUMBER(SEARCH("Special",F34)),"SPECIAL DIVIDEND",""))</f>
        <v/>
      </c>
    </row>
    <row r="35">
      <c r="A35" s="16">
        <f>'Rest Universe'!A36</f>
        <v/>
      </c>
      <c r="B35" s="22">
        <f>IFERROR(_xll.BDP(A35,"NAME"),"")</f>
        <v/>
      </c>
      <c r="C35" s="22">
        <f>IF(LEFT((_xll.BDP(A35,"DVD_DECLARED_DT")),4)="#N/A",NA(),(_xll.BDP(A35,"DVD_DECLARED_DT")))</f>
        <v/>
      </c>
      <c r="D35" s="22">
        <f>IF(LEFT((_xll.BDP(A35,"DVD_EX_DT")),4)="#N/A",NA(),(_xll.BDP(A35,"DVD_EX_DT")))</f>
        <v/>
      </c>
      <c r="E35" s="22">
        <f>IF(LEFT((_xll.BDP(A35,"DVD_SH_LAST")), 4) = "#N/A", NA(), (_xll.BDP(A35,"DVD_SH_LAST")))</f>
        <v/>
      </c>
      <c r="F35" s="22">
        <f>IF(LEFT((_xll.BDP(A35,"DVD_TYP_LAST")), 4) = "#N/A", NA(), (_xll.BDP(A35,"DVD_TYP_LAST")))</f>
        <v/>
      </c>
      <c r="G35" s="16">
        <f>IF(ISNUMBER(C35),IF(C35&gt;=Settings!$B$5,"Y","N"),"")</f>
        <v/>
      </c>
      <c r="H35" s="16">
        <f>IF(G35="Y",IF(ISNUMBER(SEARCH("Special",F35)),"SPECIAL DIVIDEND","NEW DIVIDEND"),IF(ISNUMBER(SEARCH("Special",F35)),"SPECIAL DIVIDEND",""))</f>
        <v/>
      </c>
    </row>
    <row r="36">
      <c r="A36" s="16">
        <f>'Rest Universe'!A37</f>
        <v/>
      </c>
      <c r="B36" s="22">
        <f>IFERROR(_xll.BDP(A36,"NAME"),"")</f>
        <v/>
      </c>
      <c r="C36" s="22">
        <f>IF(LEFT((_xll.BDP(A36,"DVD_DECLARED_DT")),4)="#N/A",NA(),(_xll.BDP(A36,"DVD_DECLARED_DT")))</f>
        <v/>
      </c>
      <c r="D36" s="22">
        <f>IF(LEFT((_xll.BDP(A36,"DVD_EX_DT")),4)="#N/A",NA(),(_xll.BDP(A36,"DVD_EX_DT")))</f>
        <v/>
      </c>
      <c r="E36" s="22">
        <f>IF(LEFT((_xll.BDP(A36,"DVD_SH_LAST")), 4) = "#N/A", NA(), (_xll.BDP(A36,"DVD_SH_LAST")))</f>
        <v/>
      </c>
      <c r="F36" s="22">
        <f>IF(LEFT((_xll.BDP(A36,"DVD_TYP_LAST")), 4) = "#N/A", NA(), (_xll.BDP(A36,"DVD_TYP_LAST")))</f>
        <v/>
      </c>
      <c r="G36" s="16">
        <f>IF(ISNUMBER(C36),IF(C36&gt;=Settings!$B$5,"Y","N"),"")</f>
        <v/>
      </c>
      <c r="H36" s="16">
        <f>IF(G36="Y",IF(ISNUMBER(SEARCH("Special",F36)),"SPECIAL DIVIDEND","NEW DIVIDEND"),IF(ISNUMBER(SEARCH("Special",F36)),"SPECIAL DIVIDEND",""))</f>
        <v/>
      </c>
    </row>
    <row r="37">
      <c r="A37" s="16">
        <f>'Rest Universe'!A38</f>
        <v/>
      </c>
      <c r="B37" s="22">
        <f>IFERROR(_xll.BDP(A37,"NAME"),"")</f>
        <v/>
      </c>
      <c r="C37" s="22">
        <f>IF(LEFT((_xll.BDP(A37,"DVD_DECLARED_DT")),4)="#N/A",NA(),(_xll.BDP(A37,"DVD_DECLARED_DT")))</f>
        <v/>
      </c>
      <c r="D37" s="22">
        <f>IF(LEFT((_xll.BDP(A37,"DVD_EX_DT")),4)="#N/A",NA(),(_xll.BDP(A37,"DVD_EX_DT")))</f>
        <v/>
      </c>
      <c r="E37" s="22">
        <f>IF(LEFT((_xll.BDP(A37,"DVD_SH_LAST")), 4) = "#N/A", NA(), (_xll.BDP(A37,"DVD_SH_LAST")))</f>
        <v/>
      </c>
      <c r="F37" s="22">
        <f>IF(LEFT((_xll.BDP(A37,"DVD_TYP_LAST")), 4) = "#N/A", NA(), (_xll.BDP(A37,"DVD_TYP_LAST")))</f>
        <v/>
      </c>
      <c r="G37" s="16">
        <f>IF(ISNUMBER(C37),IF(C37&gt;=Settings!$B$5,"Y","N"),"")</f>
        <v/>
      </c>
      <c r="H37" s="16">
        <f>IF(G37="Y",IF(ISNUMBER(SEARCH("Special",F37)),"SPECIAL DIVIDEND","NEW DIVIDEND"),IF(ISNUMBER(SEARCH("Special",F37)),"SPECIAL DIVIDEND",""))</f>
        <v/>
      </c>
    </row>
    <row r="38">
      <c r="A38" s="16">
        <f>'Rest Universe'!A39</f>
        <v/>
      </c>
      <c r="B38" s="22">
        <f>IFERROR(_xll.BDP(A38,"NAME"),"")</f>
        <v/>
      </c>
      <c r="C38" s="22">
        <f>IF(LEFT((_xll.BDP(A38,"DVD_DECLARED_DT")),4)="#N/A",NA(),(_xll.BDP(A38,"DVD_DECLARED_DT")))</f>
        <v/>
      </c>
      <c r="D38" s="22">
        <f>IF(LEFT((_xll.BDP(A38,"DVD_EX_DT")),4)="#N/A",NA(),(_xll.BDP(A38,"DVD_EX_DT")))</f>
        <v/>
      </c>
      <c r="E38" s="22">
        <f>IF(LEFT((_xll.BDP(A38,"DVD_SH_LAST")), 4) = "#N/A", NA(), (_xll.BDP(A38,"DVD_SH_LAST")))</f>
        <v/>
      </c>
      <c r="F38" s="22">
        <f>IF(LEFT((_xll.BDP(A38,"DVD_TYP_LAST")), 4) = "#N/A", NA(), (_xll.BDP(A38,"DVD_TYP_LAST")))</f>
        <v/>
      </c>
      <c r="G38" s="16">
        <f>IF(ISNUMBER(C38),IF(C38&gt;=Settings!$B$5,"Y","N"),"")</f>
        <v/>
      </c>
      <c r="H38" s="16">
        <f>IF(G38="Y",IF(ISNUMBER(SEARCH("Special",F38)),"SPECIAL DIVIDEND","NEW DIVIDEND"),IF(ISNUMBER(SEARCH("Special",F38)),"SPECIAL DIVIDEND",""))</f>
        <v/>
      </c>
    </row>
    <row r="39">
      <c r="A39" s="16">
        <f>'Rest Universe'!A40</f>
        <v/>
      </c>
      <c r="B39" s="22">
        <f>IFERROR(_xll.BDP(A39,"NAME"),"")</f>
        <v/>
      </c>
      <c r="C39" s="22">
        <f>IF(LEFT((_xll.BDP(A39,"DVD_DECLARED_DT")),4)="#N/A",NA(),(_xll.BDP(A39,"DVD_DECLARED_DT")))</f>
        <v/>
      </c>
      <c r="D39" s="22">
        <f>IF(LEFT((_xll.BDP(A39,"DVD_EX_DT")),4)="#N/A",NA(),(_xll.BDP(A39,"DVD_EX_DT")))</f>
        <v/>
      </c>
      <c r="E39" s="22">
        <f>IF(LEFT((_xll.BDP(A39,"DVD_SH_LAST")), 4) = "#N/A", NA(), (_xll.BDP(A39,"DVD_SH_LAST")))</f>
        <v/>
      </c>
      <c r="F39" s="22">
        <f>IF(LEFT((_xll.BDP(A39,"DVD_TYP_LAST")), 4) = "#N/A", NA(), (_xll.BDP(A39,"DVD_TYP_LAST")))</f>
        <v/>
      </c>
      <c r="G39" s="16">
        <f>IF(ISNUMBER(C39),IF(C39&gt;=Settings!$B$5,"Y","N"),"")</f>
        <v/>
      </c>
      <c r="H39" s="16">
        <f>IF(G39="Y",IF(ISNUMBER(SEARCH("Special",F39)),"SPECIAL DIVIDEND","NEW DIVIDEND"),IF(ISNUMBER(SEARCH("Special",F39)),"SPECIAL DIVIDEND",""))</f>
        <v/>
      </c>
    </row>
    <row r="40">
      <c r="A40" s="16">
        <f>'Rest Universe'!A41</f>
        <v/>
      </c>
      <c r="B40" s="22">
        <f>IFERROR(_xll.BDP(A40,"NAME"),"")</f>
        <v/>
      </c>
      <c r="C40" s="22">
        <f>IF(LEFT((_xll.BDP(A40,"DVD_DECLARED_DT")),4)="#N/A",NA(),(_xll.BDP(A40,"DVD_DECLARED_DT")))</f>
        <v/>
      </c>
      <c r="D40" s="22">
        <f>IF(LEFT((_xll.BDP(A40,"DVD_EX_DT")),4)="#N/A",NA(),(_xll.BDP(A40,"DVD_EX_DT")))</f>
        <v/>
      </c>
      <c r="E40" s="22">
        <f>IF(LEFT((_xll.BDP(A40,"DVD_SH_LAST")), 4) = "#N/A", NA(), (_xll.BDP(A40,"DVD_SH_LAST")))</f>
        <v/>
      </c>
      <c r="F40" s="22">
        <f>IF(LEFT((_xll.BDP(A40,"DVD_TYP_LAST")), 4) = "#N/A", NA(), (_xll.BDP(A40,"DVD_TYP_LAST")))</f>
        <v/>
      </c>
      <c r="G40" s="16">
        <f>IF(ISNUMBER(C40),IF(C40&gt;=Settings!$B$5,"Y","N"),"")</f>
        <v/>
      </c>
      <c r="H40" s="16">
        <f>IF(G40="Y",IF(ISNUMBER(SEARCH("Special",F40)),"SPECIAL DIVIDEND","NEW DIVIDEND"),IF(ISNUMBER(SEARCH("Special",F40)),"SPECIAL DIVIDEND",""))</f>
        <v/>
      </c>
    </row>
    <row r="41">
      <c r="A41" s="16">
        <f>'Rest Universe'!A42</f>
        <v/>
      </c>
      <c r="B41" s="22">
        <f>IFERROR(_xll.BDP(A41,"NAME"),"")</f>
        <v/>
      </c>
      <c r="C41" s="22">
        <f>IF(LEFT((_xll.BDP(A41,"DVD_DECLARED_DT")),4)="#N/A",NA(),(_xll.BDP(A41,"DVD_DECLARED_DT")))</f>
        <v/>
      </c>
      <c r="D41" s="22">
        <f>IF(LEFT((_xll.BDP(A41,"DVD_EX_DT")),4)="#N/A",NA(),(_xll.BDP(A41,"DVD_EX_DT")))</f>
        <v/>
      </c>
      <c r="E41" s="22">
        <f>IF(LEFT((_xll.BDP(A41,"DVD_SH_LAST")), 4) = "#N/A", NA(), (_xll.BDP(A41,"DVD_SH_LAST")))</f>
        <v/>
      </c>
      <c r="F41" s="22">
        <f>IF(LEFT((_xll.BDP(A41,"DVD_TYP_LAST")), 4) = "#N/A", NA(), (_xll.BDP(A41,"DVD_TYP_LAST")))</f>
        <v/>
      </c>
      <c r="G41" s="16">
        <f>IF(ISNUMBER(C41),IF(C41&gt;=Settings!$B$5,"Y","N"),"")</f>
        <v/>
      </c>
      <c r="H41" s="16">
        <f>IF(G41="Y",IF(ISNUMBER(SEARCH("Special",F41)),"SPECIAL DIVIDEND","NEW DIVIDEND"),IF(ISNUMBER(SEARCH("Special",F41)),"SPECIAL DIVIDEND",""))</f>
        <v/>
      </c>
    </row>
    <row r="42">
      <c r="A42" s="16">
        <f>'Rest Universe'!A43</f>
        <v/>
      </c>
      <c r="B42" s="22">
        <f>IFERROR(_xll.BDP(A42,"NAME"),"")</f>
        <v/>
      </c>
      <c r="C42" s="22">
        <f>IF(LEFT((_xll.BDP(A42,"DVD_DECLARED_DT")),4)="#N/A",NA(),(_xll.BDP(A42,"DVD_DECLARED_DT")))</f>
        <v/>
      </c>
      <c r="D42" s="22">
        <f>IF(LEFT((_xll.BDP(A42,"DVD_EX_DT")),4)="#N/A",NA(),(_xll.BDP(A42,"DVD_EX_DT")))</f>
        <v/>
      </c>
      <c r="E42" s="22">
        <f>IF(LEFT((_xll.BDP(A42,"DVD_SH_LAST")), 4) = "#N/A", NA(), (_xll.BDP(A42,"DVD_SH_LAST")))</f>
        <v/>
      </c>
      <c r="F42" s="22">
        <f>IF(LEFT((_xll.BDP(A42,"DVD_TYP_LAST")), 4) = "#N/A", NA(), (_xll.BDP(A42,"DVD_TYP_LAST")))</f>
        <v/>
      </c>
      <c r="G42" s="16">
        <f>IF(ISNUMBER(C42),IF(C42&gt;=Settings!$B$5,"Y","N"),"")</f>
        <v/>
      </c>
      <c r="H42" s="16">
        <f>IF(G42="Y",IF(ISNUMBER(SEARCH("Special",F42)),"SPECIAL DIVIDEND","NEW DIVIDEND"),IF(ISNUMBER(SEARCH("Special",F42)),"SPECIAL DIVIDEND",""))</f>
        <v/>
      </c>
    </row>
    <row r="43">
      <c r="A43" s="16">
        <f>'Rest Universe'!A44</f>
        <v/>
      </c>
      <c r="B43" s="22">
        <f>IFERROR(_xll.BDP(A43,"NAME"),"")</f>
        <v/>
      </c>
      <c r="C43" s="22">
        <f>IF(LEFT((_xll.BDP(A43,"DVD_DECLARED_DT")),4)="#N/A",NA(),(_xll.BDP(A43,"DVD_DECLARED_DT")))</f>
        <v/>
      </c>
      <c r="D43" s="22">
        <f>IF(LEFT((_xll.BDP(A43,"DVD_EX_DT")),4)="#N/A",NA(),(_xll.BDP(A43,"DVD_EX_DT")))</f>
        <v/>
      </c>
      <c r="E43" s="22">
        <f>IF(LEFT((_xll.BDP(A43,"DVD_SH_LAST")), 4) = "#N/A", NA(), (_xll.BDP(A43,"DVD_SH_LAST")))</f>
        <v/>
      </c>
      <c r="F43" s="22">
        <f>IF(LEFT((_xll.BDP(A43,"DVD_TYP_LAST")), 4) = "#N/A", NA(), (_xll.BDP(A43,"DVD_TYP_LAST")))</f>
        <v/>
      </c>
      <c r="G43" s="16">
        <f>IF(ISNUMBER(C43),IF(C43&gt;=Settings!$B$5,"Y","N"),"")</f>
        <v/>
      </c>
      <c r="H43" s="16">
        <f>IF(G43="Y",IF(ISNUMBER(SEARCH("Special",F43)),"SPECIAL DIVIDEND","NEW DIVIDEND"),IF(ISNUMBER(SEARCH("Special",F43)),"SPECIAL DIVIDEND",""))</f>
        <v/>
      </c>
    </row>
    <row r="44">
      <c r="A44" s="16">
        <f>'Rest Universe'!A45</f>
        <v/>
      </c>
      <c r="B44" s="22">
        <f>IFERROR(_xll.BDP(A44,"NAME"),"")</f>
        <v/>
      </c>
      <c r="C44" s="22">
        <f>IF(LEFT((_xll.BDP(A44,"DVD_DECLARED_DT")),4)="#N/A",NA(),(_xll.BDP(A44,"DVD_DECLARED_DT")))</f>
        <v/>
      </c>
      <c r="D44" s="22">
        <f>IF(LEFT((_xll.BDP(A44,"DVD_EX_DT")),4)="#N/A",NA(),(_xll.BDP(A44,"DVD_EX_DT")))</f>
        <v/>
      </c>
      <c r="E44" s="22">
        <f>IF(LEFT((_xll.BDP(A44,"DVD_SH_LAST")), 4) = "#N/A", NA(), (_xll.BDP(A44,"DVD_SH_LAST")))</f>
        <v/>
      </c>
      <c r="F44" s="22">
        <f>IF(LEFT((_xll.BDP(A44,"DVD_TYP_LAST")), 4) = "#N/A", NA(), (_xll.BDP(A44,"DVD_TYP_LAST")))</f>
        <v/>
      </c>
      <c r="G44" s="16">
        <f>IF(ISNUMBER(C44),IF(C44&gt;=Settings!$B$5,"Y","N"),"")</f>
        <v/>
      </c>
      <c r="H44" s="16">
        <f>IF(G44="Y",IF(ISNUMBER(SEARCH("Special",F44)),"SPECIAL DIVIDEND","NEW DIVIDEND"),IF(ISNUMBER(SEARCH("Special",F44)),"SPECIAL DIVIDEND",""))</f>
        <v/>
      </c>
    </row>
    <row r="45">
      <c r="A45" s="16">
        <f>'Rest Universe'!A46</f>
        <v/>
      </c>
      <c r="B45" s="22">
        <f>IFERROR(_xll.BDP(A45,"NAME"),"")</f>
        <v/>
      </c>
      <c r="C45" s="22">
        <f>IF(LEFT((_xll.BDP(A45,"DVD_DECLARED_DT")),4)="#N/A",NA(),(_xll.BDP(A45,"DVD_DECLARED_DT")))</f>
        <v/>
      </c>
      <c r="D45" s="22">
        <f>IF(LEFT((_xll.BDP(A45,"DVD_EX_DT")),4)="#N/A",NA(),(_xll.BDP(A45,"DVD_EX_DT")))</f>
        <v/>
      </c>
      <c r="E45" s="22">
        <f>IF(LEFT((_xll.BDP(A45,"DVD_SH_LAST")), 4) = "#N/A", NA(), (_xll.BDP(A45,"DVD_SH_LAST")))</f>
        <v/>
      </c>
      <c r="F45" s="22">
        <f>IF(LEFT((_xll.BDP(A45,"DVD_TYP_LAST")), 4) = "#N/A", NA(), (_xll.BDP(A45,"DVD_TYP_LAST")))</f>
        <v/>
      </c>
      <c r="G45" s="16">
        <f>IF(ISNUMBER(C45),IF(C45&gt;=Settings!$B$5,"Y","N"),"")</f>
        <v/>
      </c>
      <c r="H45" s="16">
        <f>IF(G45="Y",IF(ISNUMBER(SEARCH("Special",F45)),"SPECIAL DIVIDEND","NEW DIVIDEND"),IF(ISNUMBER(SEARCH("Special",F45)),"SPECIAL DIVIDEND",""))</f>
        <v/>
      </c>
    </row>
    <row r="46">
      <c r="A46" s="16">
        <f>'Rest Universe'!A47</f>
        <v/>
      </c>
      <c r="B46" s="22">
        <f>IFERROR(_xll.BDP(A46,"NAME"),"")</f>
        <v/>
      </c>
      <c r="C46" s="22">
        <f>IF(LEFT((_xll.BDP(A46,"DVD_DECLARED_DT")),4)="#N/A",NA(),(_xll.BDP(A46,"DVD_DECLARED_DT")))</f>
        <v/>
      </c>
      <c r="D46" s="22">
        <f>IF(LEFT((_xll.BDP(A46,"DVD_EX_DT")),4)="#N/A",NA(),(_xll.BDP(A46,"DVD_EX_DT")))</f>
        <v/>
      </c>
      <c r="E46" s="22">
        <f>IF(LEFT((_xll.BDP(A46,"DVD_SH_LAST")), 4) = "#N/A", NA(), (_xll.BDP(A46,"DVD_SH_LAST")))</f>
        <v/>
      </c>
      <c r="F46" s="22">
        <f>IF(LEFT((_xll.BDP(A46,"DVD_TYP_LAST")), 4) = "#N/A", NA(), (_xll.BDP(A46,"DVD_TYP_LAST")))</f>
        <v/>
      </c>
      <c r="G46" s="16">
        <f>IF(ISNUMBER(C46),IF(C46&gt;=Settings!$B$5,"Y","N"),"")</f>
        <v/>
      </c>
      <c r="H46" s="16">
        <f>IF(G46="Y",IF(ISNUMBER(SEARCH("Special",F46)),"SPECIAL DIVIDEND","NEW DIVIDEND"),IF(ISNUMBER(SEARCH("Special",F46)),"SPECIAL DIVIDEND",""))</f>
        <v/>
      </c>
    </row>
    <row r="47">
      <c r="A47" s="16">
        <f>'Rest Universe'!A48</f>
        <v/>
      </c>
      <c r="B47" s="22">
        <f>IFERROR(_xll.BDP(A47,"NAME"),"")</f>
        <v/>
      </c>
      <c r="C47" s="22">
        <f>IF(LEFT((_xll.BDP(A47,"DVD_DECLARED_DT")),4)="#N/A",NA(),(_xll.BDP(A47,"DVD_DECLARED_DT")))</f>
        <v/>
      </c>
      <c r="D47" s="22">
        <f>IF(LEFT((_xll.BDP(A47,"DVD_EX_DT")),4)="#N/A",NA(),(_xll.BDP(A47,"DVD_EX_DT")))</f>
        <v/>
      </c>
      <c r="E47" s="22">
        <f>IF(LEFT((_xll.BDP(A47,"DVD_SH_LAST")), 4) = "#N/A", NA(), (_xll.BDP(A47,"DVD_SH_LAST")))</f>
        <v/>
      </c>
      <c r="F47" s="22">
        <f>IF(LEFT((_xll.BDP(A47,"DVD_TYP_LAST")), 4) = "#N/A", NA(), (_xll.BDP(A47,"DVD_TYP_LAST")))</f>
        <v/>
      </c>
      <c r="G47" s="16">
        <f>IF(ISNUMBER(C47),IF(C47&gt;=Settings!$B$5,"Y","N"),"")</f>
        <v/>
      </c>
      <c r="H47" s="16">
        <f>IF(G47="Y",IF(ISNUMBER(SEARCH("Special",F47)),"SPECIAL DIVIDEND","NEW DIVIDEND"),IF(ISNUMBER(SEARCH("Special",F47)),"SPECIAL DIVIDEND",""))</f>
        <v/>
      </c>
    </row>
    <row r="48">
      <c r="A48" s="16">
        <f>'Rest Universe'!A49</f>
        <v/>
      </c>
      <c r="B48" s="22">
        <f>IFERROR(_xll.BDP(A48,"NAME"),"")</f>
        <v/>
      </c>
      <c r="C48" s="22">
        <f>IF(LEFT((_xll.BDP(A48,"DVD_DECLARED_DT")),4)="#N/A",NA(),(_xll.BDP(A48,"DVD_DECLARED_DT")))</f>
        <v/>
      </c>
      <c r="D48" s="22">
        <f>IF(LEFT((_xll.BDP(A48,"DVD_EX_DT")),4)="#N/A",NA(),(_xll.BDP(A48,"DVD_EX_DT")))</f>
        <v/>
      </c>
      <c r="E48" s="22">
        <f>IF(LEFT((_xll.BDP(A48,"DVD_SH_LAST")), 4) = "#N/A", NA(), (_xll.BDP(A48,"DVD_SH_LAST")))</f>
        <v/>
      </c>
      <c r="F48" s="22">
        <f>IF(LEFT((_xll.BDP(A48,"DVD_TYP_LAST")), 4) = "#N/A", NA(), (_xll.BDP(A48,"DVD_TYP_LAST")))</f>
        <v/>
      </c>
      <c r="G48" s="16">
        <f>IF(ISNUMBER(C48),IF(C48&gt;=Settings!$B$5,"Y","N"),"")</f>
        <v/>
      </c>
      <c r="H48" s="16">
        <f>IF(G48="Y",IF(ISNUMBER(SEARCH("Special",F48)),"SPECIAL DIVIDEND","NEW DIVIDEND"),IF(ISNUMBER(SEARCH("Special",F48)),"SPECIAL DIVIDEND",""))</f>
        <v/>
      </c>
    </row>
    <row r="49">
      <c r="A49" s="16">
        <f>'Rest Universe'!A50</f>
        <v/>
      </c>
      <c r="B49" s="22">
        <f>IFERROR(_xll.BDP(A49,"NAME"),"")</f>
        <v/>
      </c>
      <c r="C49" s="22">
        <f>IF(LEFT((_xll.BDP(A49,"DVD_DECLARED_DT")),4)="#N/A",NA(),(_xll.BDP(A49,"DVD_DECLARED_DT")))</f>
        <v/>
      </c>
      <c r="D49" s="22">
        <f>IF(LEFT((_xll.BDP(A49,"DVD_EX_DT")),4)="#N/A",NA(),(_xll.BDP(A49,"DVD_EX_DT")))</f>
        <v/>
      </c>
      <c r="E49" s="22">
        <f>IF(LEFT((_xll.BDP(A49,"DVD_SH_LAST")), 4) = "#N/A", NA(), (_xll.BDP(A49,"DVD_SH_LAST")))</f>
        <v/>
      </c>
      <c r="F49" s="22">
        <f>IF(LEFT((_xll.BDP(A49,"DVD_TYP_LAST")), 4) = "#N/A", NA(), (_xll.BDP(A49,"DVD_TYP_LAST")))</f>
        <v/>
      </c>
      <c r="G49" s="16">
        <f>IF(ISNUMBER(C49),IF(C49&gt;=Settings!$B$5,"Y","N"),"")</f>
        <v/>
      </c>
      <c r="H49" s="16">
        <f>IF(G49="Y",IF(ISNUMBER(SEARCH("Special",F49)),"SPECIAL DIVIDEND","NEW DIVIDEND"),IF(ISNUMBER(SEARCH("Special",F49)),"SPECIAL DIVIDEND",""))</f>
        <v/>
      </c>
    </row>
    <row r="50">
      <c r="A50" s="16">
        <f>'Rest Universe'!A51</f>
        <v/>
      </c>
      <c r="B50" s="22">
        <f>IFERROR(_xll.BDP(A50,"NAME"),"")</f>
        <v/>
      </c>
      <c r="C50" s="22">
        <f>IF(LEFT((_xll.BDP(A50,"DVD_DECLARED_DT")),4)="#N/A",NA(),(_xll.BDP(A50,"DVD_DECLARED_DT")))</f>
        <v/>
      </c>
      <c r="D50" s="22">
        <f>IF(LEFT((_xll.BDP(A50,"DVD_EX_DT")),4)="#N/A",NA(),(_xll.BDP(A50,"DVD_EX_DT")))</f>
        <v/>
      </c>
      <c r="E50" s="22">
        <f>IF(LEFT((_xll.BDP(A50,"DVD_SH_LAST")), 4) = "#N/A", NA(), (_xll.BDP(A50,"DVD_SH_LAST")))</f>
        <v/>
      </c>
      <c r="F50" s="22">
        <f>IF(LEFT((_xll.BDP(A50,"DVD_TYP_LAST")), 4) = "#N/A", NA(), (_xll.BDP(A50,"DVD_TYP_LAST")))</f>
        <v/>
      </c>
      <c r="G50" s="16">
        <f>IF(ISNUMBER(C50),IF(C50&gt;=Settings!$B$5,"Y","N"),"")</f>
        <v/>
      </c>
      <c r="H50" s="16">
        <f>IF(G50="Y",IF(ISNUMBER(SEARCH("Special",F50)),"SPECIAL DIVIDEND","NEW DIVIDEND"),IF(ISNUMBER(SEARCH("Special",F50)),"SPECIAL DIVIDEND",""))</f>
        <v/>
      </c>
    </row>
    <row r="51">
      <c r="A51" s="16">
        <f>'Rest Universe'!A52</f>
        <v/>
      </c>
      <c r="B51" s="22">
        <f>IFERROR(_xll.BDP(A51,"NAME"),"")</f>
        <v/>
      </c>
      <c r="C51" s="22">
        <f>IF(LEFT((_xll.BDP(A51,"DVD_DECLARED_DT")),4)="#N/A",NA(),(_xll.BDP(A51,"DVD_DECLARED_DT")))</f>
        <v/>
      </c>
      <c r="D51" s="22">
        <f>IF(LEFT((_xll.BDP(A51,"DVD_EX_DT")),4)="#N/A",NA(),(_xll.BDP(A51,"DVD_EX_DT")))</f>
        <v/>
      </c>
      <c r="E51" s="22">
        <f>IF(LEFT((_xll.BDP(A51,"DVD_SH_LAST")), 4) = "#N/A", NA(), (_xll.BDP(A51,"DVD_SH_LAST")))</f>
        <v/>
      </c>
      <c r="F51" s="22">
        <f>IF(LEFT((_xll.BDP(A51,"DVD_TYP_LAST")), 4) = "#N/A", NA(), (_xll.BDP(A51,"DVD_TYP_LAST")))</f>
        <v/>
      </c>
      <c r="G51" s="16">
        <f>IF(ISNUMBER(C51),IF(C51&gt;=Settings!$B$5,"Y","N"),"")</f>
        <v/>
      </c>
      <c r="H51" s="16">
        <f>IF(G51="Y",IF(ISNUMBER(SEARCH("Special",F51)),"SPECIAL DIVIDEND","NEW DIVIDEND"),IF(ISNUMBER(SEARCH("Special",F51)),"SPECIAL DIVIDEND",""))</f>
        <v/>
      </c>
    </row>
    <row r="52">
      <c r="A52" s="16">
        <f>'Rest Universe'!A53</f>
        <v/>
      </c>
      <c r="B52" s="22">
        <f>IFERROR(_xll.BDP(A52,"NAME"),"")</f>
        <v/>
      </c>
      <c r="C52" s="22">
        <f>IF(LEFT((_xll.BDP(A52,"DVD_DECLARED_DT")),4)="#N/A",NA(),(_xll.BDP(A52,"DVD_DECLARED_DT")))</f>
        <v/>
      </c>
      <c r="D52" s="22">
        <f>IF(LEFT((_xll.BDP(A52,"DVD_EX_DT")),4)="#N/A",NA(),(_xll.BDP(A52,"DVD_EX_DT")))</f>
        <v/>
      </c>
      <c r="E52" s="22">
        <f>IF(LEFT((_xll.BDP(A52,"DVD_SH_LAST")), 4) = "#N/A", NA(), (_xll.BDP(A52,"DVD_SH_LAST")))</f>
        <v/>
      </c>
      <c r="F52" s="22">
        <f>IF(LEFT((_xll.BDP(A52,"DVD_TYP_LAST")), 4) = "#N/A", NA(), (_xll.BDP(A52,"DVD_TYP_LAST")))</f>
        <v/>
      </c>
      <c r="G52" s="16">
        <f>IF(ISNUMBER(C52),IF(C52&gt;=Settings!$B$5,"Y","N"),"")</f>
        <v/>
      </c>
      <c r="H52" s="16">
        <f>IF(G52="Y",IF(ISNUMBER(SEARCH("Special",F52)),"SPECIAL DIVIDEND","NEW DIVIDEND"),IF(ISNUMBER(SEARCH("Special",F52)),"SPECIAL DIVIDEND",""))</f>
        <v/>
      </c>
    </row>
    <row r="53">
      <c r="A53" s="16">
        <f>'Rest Universe'!A54</f>
        <v/>
      </c>
      <c r="B53" s="22">
        <f>IFERROR(_xll.BDP(A53,"NAME"),"")</f>
        <v/>
      </c>
      <c r="C53" s="22">
        <f>IF(LEFT((_xll.BDP(A53,"DVD_DECLARED_DT")),4)="#N/A",NA(),(_xll.BDP(A53,"DVD_DECLARED_DT")))</f>
        <v/>
      </c>
      <c r="D53" s="22">
        <f>IF(LEFT((_xll.BDP(A53,"DVD_EX_DT")),4)="#N/A",NA(),(_xll.BDP(A53,"DVD_EX_DT")))</f>
        <v/>
      </c>
      <c r="E53" s="22">
        <f>IF(LEFT((_xll.BDP(A53,"DVD_SH_LAST")), 4) = "#N/A", NA(), (_xll.BDP(A53,"DVD_SH_LAST")))</f>
        <v/>
      </c>
      <c r="F53" s="22">
        <f>IF(LEFT((_xll.BDP(A53,"DVD_TYP_LAST")), 4) = "#N/A", NA(), (_xll.BDP(A53,"DVD_TYP_LAST")))</f>
        <v/>
      </c>
      <c r="G53" s="16">
        <f>IF(ISNUMBER(C53),IF(C53&gt;=Settings!$B$5,"Y","N"),"")</f>
        <v/>
      </c>
      <c r="H53" s="16">
        <f>IF(G53="Y",IF(ISNUMBER(SEARCH("Special",F53)),"SPECIAL DIVIDEND","NEW DIVIDEND"),IF(ISNUMBER(SEARCH("Special",F53)),"SPECIAL DIVIDEND",""))</f>
        <v/>
      </c>
    </row>
    <row r="54">
      <c r="A54" s="16">
        <f>'Rest Universe'!A55</f>
        <v/>
      </c>
      <c r="B54" s="22">
        <f>IFERROR(_xll.BDP(A54,"NAME"),"")</f>
        <v/>
      </c>
      <c r="C54" s="22">
        <f>IF(LEFT((_xll.BDP(A54,"DVD_DECLARED_DT")),4)="#N/A",NA(),(_xll.BDP(A54,"DVD_DECLARED_DT")))</f>
        <v/>
      </c>
      <c r="D54" s="22">
        <f>IF(LEFT((_xll.BDP(A54,"DVD_EX_DT")),4)="#N/A",NA(),(_xll.BDP(A54,"DVD_EX_DT")))</f>
        <v/>
      </c>
      <c r="E54" s="22">
        <f>IF(LEFT((_xll.BDP(A54,"DVD_SH_LAST")), 4) = "#N/A", NA(), (_xll.BDP(A54,"DVD_SH_LAST")))</f>
        <v/>
      </c>
      <c r="F54" s="22">
        <f>IF(LEFT((_xll.BDP(A54,"DVD_TYP_LAST")), 4) = "#N/A", NA(), (_xll.BDP(A54,"DVD_TYP_LAST")))</f>
        <v/>
      </c>
      <c r="G54" s="16">
        <f>IF(ISNUMBER(C54),IF(C54&gt;=Settings!$B$5,"Y","N"),"")</f>
        <v/>
      </c>
      <c r="H54" s="16">
        <f>IF(G54="Y",IF(ISNUMBER(SEARCH("Special",F54)),"SPECIAL DIVIDEND","NEW DIVIDEND"),IF(ISNUMBER(SEARCH("Special",F54)),"SPECIAL DIVIDEND",""))</f>
        <v/>
      </c>
    </row>
    <row r="55">
      <c r="A55" s="16">
        <f>'Rest Universe'!A56</f>
        <v/>
      </c>
      <c r="B55" s="22">
        <f>IFERROR(_xll.BDP(A55,"NAME"),"")</f>
        <v/>
      </c>
      <c r="C55" s="22">
        <f>IF(LEFT((_xll.BDP(A55,"DVD_DECLARED_DT")),4)="#N/A",NA(),(_xll.BDP(A55,"DVD_DECLARED_DT")))</f>
        <v/>
      </c>
      <c r="D55" s="22">
        <f>IF(LEFT((_xll.BDP(A55,"DVD_EX_DT")),4)="#N/A",NA(),(_xll.BDP(A55,"DVD_EX_DT")))</f>
        <v/>
      </c>
      <c r="E55" s="22">
        <f>IF(LEFT((_xll.BDP(A55,"DVD_SH_LAST")), 4) = "#N/A", NA(), (_xll.BDP(A55,"DVD_SH_LAST")))</f>
        <v/>
      </c>
      <c r="F55" s="22">
        <f>IF(LEFT((_xll.BDP(A55,"DVD_TYP_LAST")), 4) = "#N/A", NA(), (_xll.BDP(A55,"DVD_TYP_LAST")))</f>
        <v/>
      </c>
      <c r="G55" s="16">
        <f>IF(ISNUMBER(C55),IF(C55&gt;=Settings!$B$5,"Y","N"),"")</f>
        <v/>
      </c>
      <c r="H55" s="16">
        <f>IF(G55="Y",IF(ISNUMBER(SEARCH("Special",F55)),"SPECIAL DIVIDEND","NEW DIVIDEND"),IF(ISNUMBER(SEARCH("Special",F55)),"SPECIAL DIVIDEND",""))</f>
        <v/>
      </c>
    </row>
    <row r="56">
      <c r="A56" s="16">
        <f>'Rest Universe'!A57</f>
        <v/>
      </c>
      <c r="B56" s="22">
        <f>IFERROR(_xll.BDP(A56,"NAME"),"")</f>
        <v/>
      </c>
      <c r="C56" s="22">
        <f>IF(LEFT((_xll.BDP(A56,"DVD_DECLARED_DT")),4)="#N/A",NA(),(_xll.BDP(A56,"DVD_DECLARED_DT")))</f>
        <v/>
      </c>
      <c r="D56" s="22">
        <f>IF(LEFT((_xll.BDP(A56,"DVD_EX_DT")),4)="#N/A",NA(),(_xll.BDP(A56,"DVD_EX_DT")))</f>
        <v/>
      </c>
      <c r="E56" s="22">
        <f>IF(LEFT((_xll.BDP(A56,"DVD_SH_LAST")), 4) = "#N/A", NA(), (_xll.BDP(A56,"DVD_SH_LAST")))</f>
        <v/>
      </c>
      <c r="F56" s="22">
        <f>IF(LEFT((_xll.BDP(A56,"DVD_TYP_LAST")), 4) = "#N/A", NA(), (_xll.BDP(A56,"DVD_TYP_LAST")))</f>
        <v/>
      </c>
      <c r="G56" s="16">
        <f>IF(ISNUMBER(C56),IF(C56&gt;=Settings!$B$5,"Y","N"),"")</f>
        <v/>
      </c>
      <c r="H56" s="16">
        <f>IF(G56="Y",IF(ISNUMBER(SEARCH("Special",F56)),"SPECIAL DIVIDEND","NEW DIVIDEND"),IF(ISNUMBER(SEARCH("Special",F56)),"SPECIAL DIVIDEND",""))</f>
        <v/>
      </c>
    </row>
    <row r="57">
      <c r="A57" s="16">
        <f>'Rest Universe'!A58</f>
        <v/>
      </c>
      <c r="B57" s="22">
        <f>IFERROR(_xll.BDP(A57,"NAME"),"")</f>
        <v/>
      </c>
      <c r="C57" s="22">
        <f>IF(LEFT((_xll.BDP(A57,"DVD_DECLARED_DT")),4)="#N/A",NA(),(_xll.BDP(A57,"DVD_DECLARED_DT")))</f>
        <v/>
      </c>
      <c r="D57" s="22">
        <f>IF(LEFT((_xll.BDP(A57,"DVD_EX_DT")),4)="#N/A",NA(),(_xll.BDP(A57,"DVD_EX_DT")))</f>
        <v/>
      </c>
      <c r="E57" s="22">
        <f>IF(LEFT((_xll.BDP(A57,"DVD_SH_LAST")), 4) = "#N/A", NA(), (_xll.BDP(A57,"DVD_SH_LAST")))</f>
        <v/>
      </c>
      <c r="F57" s="22">
        <f>IF(LEFT((_xll.BDP(A57,"DVD_TYP_LAST")), 4) = "#N/A", NA(), (_xll.BDP(A57,"DVD_TYP_LAST")))</f>
        <v/>
      </c>
      <c r="G57" s="16">
        <f>IF(ISNUMBER(C57),IF(C57&gt;=Settings!$B$5,"Y","N"),"")</f>
        <v/>
      </c>
      <c r="H57" s="16">
        <f>IF(G57="Y",IF(ISNUMBER(SEARCH("Special",F57)),"SPECIAL DIVIDEND","NEW DIVIDEND"),IF(ISNUMBER(SEARCH("Special",F57)),"SPECIAL DIVIDEND",""))</f>
        <v/>
      </c>
    </row>
    <row r="58">
      <c r="A58" s="16">
        <f>'Rest Universe'!A59</f>
        <v/>
      </c>
      <c r="B58" s="22">
        <f>IFERROR(_xll.BDP(A58,"NAME"),"")</f>
        <v/>
      </c>
      <c r="C58" s="22">
        <f>IF(LEFT((_xll.BDP(A58,"DVD_DECLARED_DT")),4)="#N/A",NA(),(_xll.BDP(A58,"DVD_DECLARED_DT")))</f>
        <v/>
      </c>
      <c r="D58" s="22">
        <f>IF(LEFT((_xll.BDP(A58,"DVD_EX_DT")),4)="#N/A",NA(),(_xll.BDP(A58,"DVD_EX_DT")))</f>
        <v/>
      </c>
      <c r="E58" s="22">
        <f>IF(LEFT((_xll.BDP(A58,"DVD_SH_LAST")), 4) = "#N/A", NA(), (_xll.BDP(A58,"DVD_SH_LAST")))</f>
        <v/>
      </c>
      <c r="F58" s="22">
        <f>IF(LEFT((_xll.BDP(A58,"DVD_TYP_LAST")), 4) = "#N/A", NA(), (_xll.BDP(A58,"DVD_TYP_LAST")))</f>
        <v/>
      </c>
      <c r="G58" s="16">
        <f>IF(ISNUMBER(C58),IF(C58&gt;=Settings!$B$5,"Y","N"),"")</f>
        <v/>
      </c>
      <c r="H58" s="16">
        <f>IF(G58="Y",IF(ISNUMBER(SEARCH("Special",F58)),"SPECIAL DIVIDEND","NEW DIVIDEND"),IF(ISNUMBER(SEARCH("Special",F58)),"SPECIAL DIVIDEND",""))</f>
        <v/>
      </c>
    </row>
    <row r="59">
      <c r="A59" s="16">
        <f>'Rest Universe'!A60</f>
        <v/>
      </c>
      <c r="B59" s="22">
        <f>IFERROR(_xll.BDP(A59,"NAME"),"")</f>
        <v/>
      </c>
      <c r="C59" s="22">
        <f>IF(LEFT((_xll.BDP(A59,"DVD_DECLARED_DT")),4)="#N/A",NA(),(_xll.BDP(A59,"DVD_DECLARED_DT")))</f>
        <v/>
      </c>
      <c r="D59" s="22">
        <f>IF(LEFT((_xll.BDP(A59,"DVD_EX_DT")),4)="#N/A",NA(),(_xll.BDP(A59,"DVD_EX_DT")))</f>
        <v/>
      </c>
      <c r="E59" s="22">
        <f>IF(LEFT((_xll.BDP(A59,"DVD_SH_LAST")), 4) = "#N/A", NA(), (_xll.BDP(A59,"DVD_SH_LAST")))</f>
        <v/>
      </c>
      <c r="F59" s="22">
        <f>IF(LEFT((_xll.BDP(A59,"DVD_TYP_LAST")), 4) = "#N/A", NA(), (_xll.BDP(A59,"DVD_TYP_LAST")))</f>
        <v/>
      </c>
      <c r="G59" s="16">
        <f>IF(ISNUMBER(C59),IF(C59&gt;=Settings!$B$5,"Y","N"),"")</f>
        <v/>
      </c>
      <c r="H59" s="16">
        <f>IF(G59="Y",IF(ISNUMBER(SEARCH("Special",F59)),"SPECIAL DIVIDEND","NEW DIVIDEND"),IF(ISNUMBER(SEARCH("Special",F59)),"SPECIAL DIVIDEND",""))</f>
        <v/>
      </c>
    </row>
    <row r="60">
      <c r="A60" s="16">
        <f>'Rest Universe'!A61</f>
        <v/>
      </c>
      <c r="B60" s="22">
        <f>IFERROR(_xll.BDP(A60,"NAME"),"")</f>
        <v/>
      </c>
      <c r="C60" s="22">
        <f>IF(LEFT((_xll.BDP(A60,"DVD_DECLARED_DT")),4)="#N/A",NA(),(_xll.BDP(A60,"DVD_DECLARED_DT")))</f>
        <v/>
      </c>
      <c r="D60" s="22">
        <f>IF(LEFT((_xll.BDP(A60,"DVD_EX_DT")),4)="#N/A",NA(),(_xll.BDP(A60,"DVD_EX_DT")))</f>
        <v/>
      </c>
      <c r="E60" s="22">
        <f>IF(LEFT((_xll.BDP(A60,"DVD_SH_LAST")), 4) = "#N/A", NA(), (_xll.BDP(A60,"DVD_SH_LAST")))</f>
        <v/>
      </c>
      <c r="F60" s="22">
        <f>IF(LEFT((_xll.BDP(A60,"DVD_TYP_LAST")), 4) = "#N/A", NA(), (_xll.BDP(A60,"DVD_TYP_LAST")))</f>
        <v/>
      </c>
      <c r="G60" s="16">
        <f>IF(ISNUMBER(C60),IF(C60&gt;=Settings!$B$5,"Y","N"),"")</f>
        <v/>
      </c>
      <c r="H60" s="16">
        <f>IF(G60="Y",IF(ISNUMBER(SEARCH("Special",F60)),"SPECIAL DIVIDEND","NEW DIVIDEND"),IF(ISNUMBER(SEARCH("Special",F60)),"SPECIAL DIVIDEND",""))</f>
        <v/>
      </c>
    </row>
    <row r="61">
      <c r="A61" s="16">
        <f>'Rest Universe'!A62</f>
        <v/>
      </c>
      <c r="B61" s="22">
        <f>IFERROR(_xll.BDP(A61,"NAME"),"")</f>
        <v/>
      </c>
      <c r="C61" s="22">
        <f>IF(LEFT((_xll.BDP(A61,"DVD_DECLARED_DT")),4)="#N/A",NA(),(_xll.BDP(A61,"DVD_DECLARED_DT")))</f>
        <v/>
      </c>
      <c r="D61" s="22">
        <f>IF(LEFT((_xll.BDP(A61,"DVD_EX_DT")),4)="#N/A",NA(),(_xll.BDP(A61,"DVD_EX_DT")))</f>
        <v/>
      </c>
      <c r="E61" s="22">
        <f>IF(LEFT((_xll.BDP(A61,"DVD_SH_LAST")), 4) = "#N/A", NA(), (_xll.BDP(A61,"DVD_SH_LAST")))</f>
        <v/>
      </c>
      <c r="F61" s="22">
        <f>IF(LEFT((_xll.BDP(A61,"DVD_TYP_LAST")), 4) = "#N/A", NA(), (_xll.BDP(A61,"DVD_TYP_LAST")))</f>
        <v/>
      </c>
      <c r="G61" s="16">
        <f>IF(ISNUMBER(C61),IF(C61&gt;=Settings!$B$5,"Y","N"),"")</f>
        <v/>
      </c>
      <c r="H61" s="16">
        <f>IF(G61="Y",IF(ISNUMBER(SEARCH("Special",F61)),"SPECIAL DIVIDEND","NEW DIVIDEND"),IF(ISNUMBER(SEARCH("Special",F61)),"SPECIAL DIVIDEND",""))</f>
        <v/>
      </c>
    </row>
    <row r="62">
      <c r="A62" s="16">
        <f>'Rest Universe'!A63</f>
        <v/>
      </c>
      <c r="B62" s="22">
        <f>IFERROR(_xll.BDP(A62,"NAME"),"")</f>
        <v/>
      </c>
      <c r="C62" s="22">
        <f>IF(LEFT((_xll.BDP(A62,"DVD_DECLARED_DT")),4)="#N/A",NA(),(_xll.BDP(A62,"DVD_DECLARED_DT")))</f>
        <v/>
      </c>
      <c r="D62" s="22">
        <f>IF(LEFT((_xll.BDP(A62,"DVD_EX_DT")),4)="#N/A",NA(),(_xll.BDP(A62,"DVD_EX_DT")))</f>
        <v/>
      </c>
      <c r="E62" s="22">
        <f>IF(LEFT((_xll.BDP(A62,"DVD_SH_LAST")), 4) = "#N/A", NA(), (_xll.BDP(A62,"DVD_SH_LAST")))</f>
        <v/>
      </c>
      <c r="F62" s="22">
        <f>IF(LEFT((_xll.BDP(A62,"DVD_TYP_LAST")), 4) = "#N/A", NA(), (_xll.BDP(A62,"DVD_TYP_LAST")))</f>
        <v/>
      </c>
      <c r="G62" s="16">
        <f>IF(ISNUMBER(C62),IF(C62&gt;=Settings!$B$5,"Y","N"),"")</f>
        <v/>
      </c>
      <c r="H62" s="16">
        <f>IF(G62="Y",IF(ISNUMBER(SEARCH("Special",F62)),"SPECIAL DIVIDEND","NEW DIVIDEND"),IF(ISNUMBER(SEARCH("Special",F62)),"SPECIAL DIVIDEND",""))</f>
        <v/>
      </c>
    </row>
    <row r="63">
      <c r="A63" s="16">
        <f>'Rest Universe'!A64</f>
        <v/>
      </c>
      <c r="B63" s="22">
        <f>IFERROR(_xll.BDP(A63,"NAME"),"")</f>
        <v/>
      </c>
      <c r="C63" s="22">
        <f>IF(LEFT((_xll.BDP(A63,"DVD_DECLARED_DT")),4)="#N/A",NA(),(_xll.BDP(A63,"DVD_DECLARED_DT")))</f>
        <v/>
      </c>
      <c r="D63" s="22">
        <f>IF(LEFT((_xll.BDP(A63,"DVD_EX_DT")),4)="#N/A",NA(),(_xll.BDP(A63,"DVD_EX_DT")))</f>
        <v/>
      </c>
      <c r="E63" s="22">
        <f>IF(LEFT((_xll.BDP(A63,"DVD_SH_LAST")), 4) = "#N/A", NA(), (_xll.BDP(A63,"DVD_SH_LAST")))</f>
        <v/>
      </c>
      <c r="F63" s="22">
        <f>IF(LEFT((_xll.BDP(A63,"DVD_TYP_LAST")), 4) = "#N/A", NA(), (_xll.BDP(A63,"DVD_TYP_LAST")))</f>
        <v/>
      </c>
      <c r="G63" s="16">
        <f>IF(ISNUMBER(C63),IF(C63&gt;=Settings!$B$5,"Y","N"),"")</f>
        <v/>
      </c>
      <c r="H63" s="16">
        <f>IF(G63="Y",IF(ISNUMBER(SEARCH("Special",F63)),"SPECIAL DIVIDEND","NEW DIVIDEND"),IF(ISNUMBER(SEARCH("Special",F63)),"SPECIAL DIVIDEND",""))</f>
        <v/>
      </c>
    </row>
    <row r="64">
      <c r="A64" s="16">
        <f>'Rest Universe'!A65</f>
        <v/>
      </c>
      <c r="B64" s="22">
        <f>IFERROR(_xll.BDP(A64,"NAME"),"")</f>
        <v/>
      </c>
      <c r="C64" s="22">
        <f>IF(LEFT((_xll.BDP(A64,"DVD_DECLARED_DT")),4)="#N/A",NA(),(_xll.BDP(A64,"DVD_DECLARED_DT")))</f>
        <v/>
      </c>
      <c r="D64" s="22">
        <f>IF(LEFT((_xll.BDP(A64,"DVD_EX_DT")),4)="#N/A",NA(),(_xll.BDP(A64,"DVD_EX_DT")))</f>
        <v/>
      </c>
      <c r="E64" s="22">
        <f>IF(LEFT((_xll.BDP(A64,"DVD_SH_LAST")), 4) = "#N/A", NA(), (_xll.BDP(A64,"DVD_SH_LAST")))</f>
        <v/>
      </c>
      <c r="F64" s="22">
        <f>IF(LEFT((_xll.BDP(A64,"DVD_TYP_LAST")), 4) = "#N/A", NA(), (_xll.BDP(A64,"DVD_TYP_LAST")))</f>
        <v/>
      </c>
      <c r="G64" s="16">
        <f>IF(ISNUMBER(C64),IF(C64&gt;=Settings!$B$5,"Y","N"),"")</f>
        <v/>
      </c>
      <c r="H64" s="16">
        <f>IF(G64="Y",IF(ISNUMBER(SEARCH("Special",F64)),"SPECIAL DIVIDEND","NEW DIVIDEND"),IF(ISNUMBER(SEARCH("Special",F64)),"SPECIAL DIVIDEND",""))</f>
        <v/>
      </c>
    </row>
    <row r="65">
      <c r="A65" s="16">
        <f>'Rest Universe'!A66</f>
        <v/>
      </c>
      <c r="B65" s="22">
        <f>IFERROR(_xll.BDP(A65,"NAME"),"")</f>
        <v/>
      </c>
      <c r="C65" s="22">
        <f>IF(LEFT((_xll.BDP(A65,"DVD_DECLARED_DT")),4)="#N/A",NA(),(_xll.BDP(A65,"DVD_DECLARED_DT")))</f>
        <v/>
      </c>
      <c r="D65" s="22">
        <f>IF(LEFT((_xll.BDP(A65,"DVD_EX_DT")),4)="#N/A",NA(),(_xll.BDP(A65,"DVD_EX_DT")))</f>
        <v/>
      </c>
      <c r="E65" s="22">
        <f>IF(LEFT((_xll.BDP(A65,"DVD_SH_LAST")), 4) = "#N/A", NA(), (_xll.BDP(A65,"DVD_SH_LAST")))</f>
        <v/>
      </c>
      <c r="F65" s="22">
        <f>IF(LEFT((_xll.BDP(A65,"DVD_TYP_LAST")), 4) = "#N/A", NA(), (_xll.BDP(A65,"DVD_TYP_LAST")))</f>
        <v/>
      </c>
      <c r="G65" s="16">
        <f>IF(ISNUMBER(C65),IF(C65&gt;=Settings!$B$5,"Y","N"),"")</f>
        <v/>
      </c>
      <c r="H65" s="16">
        <f>IF(G65="Y",IF(ISNUMBER(SEARCH("Special",F65)),"SPECIAL DIVIDEND","NEW DIVIDEND"),IF(ISNUMBER(SEARCH("Special",F65)),"SPECIAL DIVIDEND",""))</f>
        <v/>
      </c>
    </row>
    <row r="66">
      <c r="A66" s="16">
        <f>'Rest Universe'!A67</f>
        <v/>
      </c>
      <c r="B66" s="22">
        <f>IFERROR(_xll.BDP(A66,"NAME"),"")</f>
        <v/>
      </c>
      <c r="C66" s="22">
        <f>IF(LEFT((_xll.BDP(A66,"DVD_DECLARED_DT")),4)="#N/A",NA(),(_xll.BDP(A66,"DVD_DECLARED_DT")))</f>
        <v/>
      </c>
      <c r="D66" s="22">
        <f>IF(LEFT((_xll.BDP(A66,"DVD_EX_DT")),4)="#N/A",NA(),(_xll.BDP(A66,"DVD_EX_DT")))</f>
        <v/>
      </c>
      <c r="E66" s="22">
        <f>IF(LEFT((_xll.BDP(A66,"DVD_SH_LAST")), 4) = "#N/A", NA(), (_xll.BDP(A66,"DVD_SH_LAST")))</f>
        <v/>
      </c>
      <c r="F66" s="22">
        <f>IF(LEFT((_xll.BDP(A66,"DVD_TYP_LAST")), 4) = "#N/A", NA(), (_xll.BDP(A66,"DVD_TYP_LAST")))</f>
        <v/>
      </c>
      <c r="G66" s="16">
        <f>IF(ISNUMBER(C66),IF(C66&gt;=Settings!$B$5,"Y","N"),"")</f>
        <v/>
      </c>
      <c r="H66" s="16">
        <f>IF(G66="Y",IF(ISNUMBER(SEARCH("Special",F66)),"SPECIAL DIVIDEND","NEW DIVIDEND"),IF(ISNUMBER(SEARCH("Special",F66)),"SPECIAL DIVIDEND",""))</f>
        <v/>
      </c>
    </row>
    <row r="67">
      <c r="A67" s="16">
        <f>'Rest Universe'!A68</f>
        <v/>
      </c>
      <c r="B67" s="22">
        <f>IFERROR(_xll.BDP(A67,"NAME"),"")</f>
        <v/>
      </c>
      <c r="C67" s="22">
        <f>IF(LEFT((_xll.BDP(A67,"DVD_DECLARED_DT")),4)="#N/A",NA(),(_xll.BDP(A67,"DVD_DECLARED_DT")))</f>
        <v/>
      </c>
      <c r="D67" s="22">
        <f>IF(LEFT((_xll.BDP(A67,"DVD_EX_DT")),4)="#N/A",NA(),(_xll.BDP(A67,"DVD_EX_DT")))</f>
        <v/>
      </c>
      <c r="E67" s="22">
        <f>IF(LEFT((_xll.BDP(A67,"DVD_SH_LAST")), 4) = "#N/A", NA(), (_xll.BDP(A67,"DVD_SH_LAST")))</f>
        <v/>
      </c>
      <c r="F67" s="22">
        <f>IF(LEFT((_xll.BDP(A67,"DVD_TYP_LAST")), 4) = "#N/A", NA(), (_xll.BDP(A67,"DVD_TYP_LAST")))</f>
        <v/>
      </c>
      <c r="G67" s="16">
        <f>IF(ISNUMBER(C67),IF(C67&gt;=Settings!$B$5,"Y","N"),"")</f>
        <v/>
      </c>
      <c r="H67" s="16">
        <f>IF(G67="Y",IF(ISNUMBER(SEARCH("Special",F67)),"SPECIAL DIVIDEND","NEW DIVIDEND"),IF(ISNUMBER(SEARCH("Special",F67)),"SPECIAL DIVIDEND",""))</f>
        <v/>
      </c>
    </row>
    <row r="68">
      <c r="A68" s="16">
        <f>'Rest Universe'!A69</f>
        <v/>
      </c>
      <c r="B68" s="22">
        <f>IFERROR(_xll.BDP(A68,"NAME"),"")</f>
        <v/>
      </c>
      <c r="C68" s="22">
        <f>IF(LEFT((_xll.BDP(A68,"DVD_DECLARED_DT")),4)="#N/A",NA(),(_xll.BDP(A68,"DVD_DECLARED_DT")))</f>
        <v/>
      </c>
      <c r="D68" s="22">
        <f>IF(LEFT((_xll.BDP(A68,"DVD_EX_DT")),4)="#N/A",NA(),(_xll.BDP(A68,"DVD_EX_DT")))</f>
        <v/>
      </c>
      <c r="E68" s="22">
        <f>IF(LEFT((_xll.BDP(A68,"DVD_SH_LAST")), 4) = "#N/A", NA(), (_xll.BDP(A68,"DVD_SH_LAST")))</f>
        <v/>
      </c>
      <c r="F68" s="22">
        <f>IF(LEFT((_xll.BDP(A68,"DVD_TYP_LAST")), 4) = "#N/A", NA(), (_xll.BDP(A68,"DVD_TYP_LAST")))</f>
        <v/>
      </c>
      <c r="G68" s="16">
        <f>IF(ISNUMBER(C68),IF(C68&gt;=Settings!$B$5,"Y","N"),"")</f>
        <v/>
      </c>
      <c r="H68" s="16">
        <f>IF(G68="Y",IF(ISNUMBER(SEARCH("Special",F68)),"SPECIAL DIVIDEND","NEW DIVIDEND"),IF(ISNUMBER(SEARCH("Special",F68)),"SPECIAL DIVIDEND",""))</f>
        <v/>
      </c>
    </row>
    <row r="69">
      <c r="A69" s="16">
        <f>'Rest Universe'!A70</f>
        <v/>
      </c>
      <c r="B69" s="22">
        <f>IFERROR(_xll.BDP(A69,"NAME"),"")</f>
        <v/>
      </c>
      <c r="C69" s="22">
        <f>IF(LEFT((_xll.BDP(A69,"DVD_DECLARED_DT")),4)="#N/A",NA(),(_xll.BDP(A69,"DVD_DECLARED_DT")))</f>
        <v/>
      </c>
      <c r="D69" s="22">
        <f>IF(LEFT((_xll.BDP(A69,"DVD_EX_DT")),4)="#N/A",NA(),(_xll.BDP(A69,"DVD_EX_DT")))</f>
        <v/>
      </c>
      <c r="E69" s="22">
        <f>IF(LEFT((_xll.BDP(A69,"DVD_SH_LAST")), 4) = "#N/A", NA(), (_xll.BDP(A69,"DVD_SH_LAST")))</f>
        <v/>
      </c>
      <c r="F69" s="22">
        <f>IF(LEFT((_xll.BDP(A69,"DVD_TYP_LAST")), 4) = "#N/A", NA(), (_xll.BDP(A69,"DVD_TYP_LAST")))</f>
        <v/>
      </c>
      <c r="G69" s="16">
        <f>IF(ISNUMBER(C69),IF(C69&gt;=Settings!$B$5,"Y","N"),"")</f>
        <v/>
      </c>
      <c r="H69" s="16">
        <f>IF(G69="Y",IF(ISNUMBER(SEARCH("Special",F69)),"SPECIAL DIVIDEND","NEW DIVIDEND"),IF(ISNUMBER(SEARCH("Special",F69)),"SPECIAL DIVIDEND",""))</f>
        <v/>
      </c>
    </row>
    <row r="70">
      <c r="A70" s="16">
        <f>'Rest Universe'!A71</f>
        <v/>
      </c>
      <c r="B70" s="22">
        <f>IFERROR(_xll.BDP(A70,"NAME"),"")</f>
        <v/>
      </c>
      <c r="C70" s="22">
        <f>IF(LEFT((_xll.BDP(A70,"DVD_DECLARED_DT")),4)="#N/A",NA(),(_xll.BDP(A70,"DVD_DECLARED_DT")))</f>
        <v/>
      </c>
      <c r="D70" s="22">
        <f>IF(LEFT((_xll.BDP(A70,"DVD_EX_DT")),4)="#N/A",NA(),(_xll.BDP(A70,"DVD_EX_DT")))</f>
        <v/>
      </c>
      <c r="E70" s="22">
        <f>IF(LEFT((_xll.BDP(A70,"DVD_SH_LAST")), 4) = "#N/A", NA(), (_xll.BDP(A70,"DVD_SH_LAST")))</f>
        <v/>
      </c>
      <c r="F70" s="22">
        <f>IF(LEFT((_xll.BDP(A70,"DVD_TYP_LAST")), 4) = "#N/A", NA(), (_xll.BDP(A70,"DVD_TYP_LAST")))</f>
        <v/>
      </c>
      <c r="G70" s="16">
        <f>IF(ISNUMBER(C70),IF(C70&gt;=Settings!$B$5,"Y","N"),"")</f>
        <v/>
      </c>
      <c r="H70" s="16">
        <f>IF(G70="Y",IF(ISNUMBER(SEARCH("Special",F70)),"SPECIAL DIVIDEND","NEW DIVIDEND"),IF(ISNUMBER(SEARCH("Special",F70)),"SPECIAL DIVIDEND",""))</f>
        <v/>
      </c>
    </row>
    <row r="71">
      <c r="A71" s="16">
        <f>'Rest Universe'!A72</f>
        <v/>
      </c>
      <c r="B71" s="22">
        <f>IFERROR(_xll.BDP(A71,"NAME"),"")</f>
        <v/>
      </c>
      <c r="C71" s="22">
        <f>IF(LEFT((_xll.BDP(A71,"DVD_DECLARED_DT")),4)="#N/A",NA(),(_xll.BDP(A71,"DVD_DECLARED_DT")))</f>
        <v/>
      </c>
      <c r="D71" s="22">
        <f>IF(LEFT((_xll.BDP(A71,"DVD_EX_DT")),4)="#N/A",NA(),(_xll.BDP(A71,"DVD_EX_DT")))</f>
        <v/>
      </c>
      <c r="E71" s="22">
        <f>IF(LEFT((_xll.BDP(A71,"DVD_SH_LAST")), 4) = "#N/A", NA(), (_xll.BDP(A71,"DVD_SH_LAST")))</f>
        <v/>
      </c>
      <c r="F71" s="22">
        <f>IF(LEFT((_xll.BDP(A71,"DVD_TYP_LAST")), 4) = "#N/A", NA(), (_xll.BDP(A71,"DVD_TYP_LAST")))</f>
        <v/>
      </c>
      <c r="G71" s="16">
        <f>IF(ISNUMBER(C71),IF(C71&gt;=Settings!$B$5,"Y","N"),"")</f>
        <v/>
      </c>
      <c r="H71" s="16">
        <f>IF(G71="Y",IF(ISNUMBER(SEARCH("Special",F71)),"SPECIAL DIVIDEND","NEW DIVIDEND"),IF(ISNUMBER(SEARCH("Special",F71)),"SPECIAL DIVIDEND",""))</f>
        <v/>
      </c>
    </row>
    <row r="72">
      <c r="A72" s="16">
        <f>'Rest Universe'!A73</f>
        <v/>
      </c>
      <c r="B72" s="22">
        <f>IFERROR(_xll.BDP(A72,"NAME"),"")</f>
        <v/>
      </c>
      <c r="C72" s="22">
        <f>IF(LEFT((_xll.BDP(A72,"DVD_DECLARED_DT")),4)="#N/A",NA(),(_xll.BDP(A72,"DVD_DECLARED_DT")))</f>
        <v/>
      </c>
      <c r="D72" s="22">
        <f>IF(LEFT((_xll.BDP(A72,"DVD_EX_DT")),4)="#N/A",NA(),(_xll.BDP(A72,"DVD_EX_DT")))</f>
        <v/>
      </c>
      <c r="E72" s="22">
        <f>IF(LEFT((_xll.BDP(A72,"DVD_SH_LAST")), 4) = "#N/A", NA(), (_xll.BDP(A72,"DVD_SH_LAST")))</f>
        <v/>
      </c>
      <c r="F72" s="22">
        <f>IF(LEFT((_xll.BDP(A72,"DVD_TYP_LAST")), 4) = "#N/A", NA(), (_xll.BDP(A72,"DVD_TYP_LAST")))</f>
        <v/>
      </c>
      <c r="G72" s="16">
        <f>IF(ISNUMBER(C72),IF(C72&gt;=Settings!$B$5,"Y","N"),"")</f>
        <v/>
      </c>
      <c r="H72" s="16">
        <f>IF(G72="Y",IF(ISNUMBER(SEARCH("Special",F72)),"SPECIAL DIVIDEND","NEW DIVIDEND"),IF(ISNUMBER(SEARCH("Special",F72)),"SPECIAL DIVIDEND",""))</f>
        <v/>
      </c>
    </row>
    <row r="73">
      <c r="A73" s="16">
        <f>'Rest Universe'!A74</f>
        <v/>
      </c>
      <c r="B73" s="22">
        <f>IFERROR(_xll.BDP(A73,"NAME"),"")</f>
        <v/>
      </c>
      <c r="C73" s="22">
        <f>IF(LEFT((_xll.BDP(A73,"DVD_DECLARED_DT")),4)="#N/A",NA(),(_xll.BDP(A73,"DVD_DECLARED_DT")))</f>
        <v/>
      </c>
      <c r="D73" s="22">
        <f>IF(LEFT((_xll.BDP(A73,"DVD_EX_DT")),4)="#N/A",NA(),(_xll.BDP(A73,"DVD_EX_DT")))</f>
        <v/>
      </c>
      <c r="E73" s="22">
        <f>IF(LEFT((_xll.BDP(A73,"DVD_SH_LAST")), 4) = "#N/A", NA(), (_xll.BDP(A73,"DVD_SH_LAST")))</f>
        <v/>
      </c>
      <c r="F73" s="22">
        <f>IF(LEFT((_xll.BDP(A73,"DVD_TYP_LAST")), 4) = "#N/A", NA(), (_xll.BDP(A73,"DVD_TYP_LAST")))</f>
        <v/>
      </c>
      <c r="G73" s="16">
        <f>IF(ISNUMBER(C73),IF(C73&gt;=Settings!$B$5,"Y","N"),"")</f>
        <v/>
      </c>
      <c r="H73" s="16">
        <f>IF(G73="Y",IF(ISNUMBER(SEARCH("Special",F73)),"SPECIAL DIVIDEND","NEW DIVIDEND"),IF(ISNUMBER(SEARCH("Special",F73)),"SPECIAL DIVIDEND",""))</f>
        <v/>
      </c>
    </row>
    <row r="74">
      <c r="A74" s="16">
        <f>'Rest Universe'!A75</f>
        <v/>
      </c>
      <c r="B74" s="22">
        <f>IFERROR(_xll.BDP(A74,"NAME"),"")</f>
        <v/>
      </c>
      <c r="C74" s="22">
        <f>IF(LEFT((_xll.BDP(A74,"DVD_DECLARED_DT")),4)="#N/A",NA(),(_xll.BDP(A74,"DVD_DECLARED_DT")))</f>
        <v/>
      </c>
      <c r="D74" s="22">
        <f>IF(LEFT((_xll.BDP(A74,"DVD_EX_DT")),4)="#N/A",NA(),(_xll.BDP(A74,"DVD_EX_DT")))</f>
        <v/>
      </c>
      <c r="E74" s="22">
        <f>IF(LEFT((_xll.BDP(A74,"DVD_SH_LAST")), 4) = "#N/A", NA(), (_xll.BDP(A74,"DVD_SH_LAST")))</f>
        <v/>
      </c>
      <c r="F74" s="22">
        <f>IF(LEFT((_xll.BDP(A74,"DVD_TYP_LAST")), 4) = "#N/A", NA(), (_xll.BDP(A74,"DVD_TYP_LAST")))</f>
        <v/>
      </c>
      <c r="G74" s="16">
        <f>IF(ISNUMBER(C74),IF(C74&gt;=Settings!$B$5,"Y","N"),"")</f>
        <v/>
      </c>
      <c r="H74" s="16">
        <f>IF(G74="Y",IF(ISNUMBER(SEARCH("Special",F74)),"SPECIAL DIVIDEND","NEW DIVIDEND"),IF(ISNUMBER(SEARCH("Special",F74)),"SPECIAL DIVIDEND",""))</f>
        <v/>
      </c>
    </row>
    <row r="75">
      <c r="A75" s="16">
        <f>'Rest Universe'!A76</f>
        <v/>
      </c>
      <c r="B75" s="22">
        <f>IFERROR(_xll.BDP(A75,"NAME"),"")</f>
        <v/>
      </c>
      <c r="C75" s="22">
        <f>IF(LEFT((_xll.BDP(A75,"DVD_DECLARED_DT")),4)="#N/A",NA(),(_xll.BDP(A75,"DVD_DECLARED_DT")))</f>
        <v/>
      </c>
      <c r="D75" s="22">
        <f>IF(LEFT((_xll.BDP(A75,"DVD_EX_DT")),4)="#N/A",NA(),(_xll.BDP(A75,"DVD_EX_DT")))</f>
        <v/>
      </c>
      <c r="E75" s="22">
        <f>IF(LEFT((_xll.BDP(A75,"DVD_SH_LAST")), 4) = "#N/A", NA(), (_xll.BDP(A75,"DVD_SH_LAST")))</f>
        <v/>
      </c>
      <c r="F75" s="22">
        <f>IF(LEFT((_xll.BDP(A75,"DVD_TYP_LAST")), 4) = "#N/A", NA(), (_xll.BDP(A75,"DVD_TYP_LAST")))</f>
        <v/>
      </c>
      <c r="G75" s="16">
        <f>IF(ISNUMBER(C75),IF(C75&gt;=Settings!$B$5,"Y","N"),"")</f>
        <v/>
      </c>
      <c r="H75" s="16">
        <f>IF(G75="Y",IF(ISNUMBER(SEARCH("Special",F75)),"SPECIAL DIVIDEND","NEW DIVIDEND"),IF(ISNUMBER(SEARCH("Special",F75)),"SPECIAL DIVIDEND",""))</f>
        <v/>
      </c>
    </row>
    <row r="76">
      <c r="A76" s="16">
        <f>'Rest Universe'!A77</f>
        <v/>
      </c>
      <c r="B76" s="22">
        <f>IFERROR(_xll.BDP(A76,"NAME"),"")</f>
        <v/>
      </c>
      <c r="C76" s="22">
        <f>IF(LEFT((_xll.BDP(A76,"DVD_DECLARED_DT")),4)="#N/A",NA(),(_xll.BDP(A76,"DVD_DECLARED_DT")))</f>
        <v/>
      </c>
      <c r="D76" s="22">
        <f>IF(LEFT((_xll.BDP(A76,"DVD_EX_DT")),4)="#N/A",NA(),(_xll.BDP(A76,"DVD_EX_DT")))</f>
        <v/>
      </c>
      <c r="E76" s="22">
        <f>IF(LEFT((_xll.BDP(A76,"DVD_SH_LAST")), 4) = "#N/A", NA(), (_xll.BDP(A76,"DVD_SH_LAST")))</f>
        <v/>
      </c>
      <c r="F76" s="22">
        <f>IF(LEFT((_xll.BDP(A76,"DVD_TYP_LAST")), 4) = "#N/A", NA(), (_xll.BDP(A76,"DVD_TYP_LAST")))</f>
        <v/>
      </c>
      <c r="G76" s="16">
        <f>IF(ISNUMBER(C76),IF(C76&gt;=Settings!$B$5,"Y","N"),"")</f>
        <v/>
      </c>
      <c r="H76" s="16">
        <f>IF(G76="Y",IF(ISNUMBER(SEARCH("Special",F76)),"SPECIAL DIVIDEND","NEW DIVIDEND"),IF(ISNUMBER(SEARCH("Special",F76)),"SPECIAL DIVIDEND",""))</f>
        <v/>
      </c>
    </row>
    <row r="77">
      <c r="A77" s="16">
        <f>'Rest Universe'!A78</f>
        <v/>
      </c>
      <c r="B77" s="22">
        <f>IFERROR(_xll.BDP(A77,"NAME"),"")</f>
        <v/>
      </c>
      <c r="C77" s="22">
        <f>IF(LEFT((_xll.BDP(A77,"DVD_DECLARED_DT")),4)="#N/A",NA(),(_xll.BDP(A77,"DVD_DECLARED_DT")))</f>
        <v/>
      </c>
      <c r="D77" s="22">
        <f>IF(LEFT((_xll.BDP(A77,"DVD_EX_DT")),4)="#N/A",NA(),(_xll.BDP(A77,"DVD_EX_DT")))</f>
        <v/>
      </c>
      <c r="E77" s="22">
        <f>IF(LEFT((_xll.BDP(A77,"DVD_SH_LAST")), 4) = "#N/A", NA(), (_xll.BDP(A77,"DVD_SH_LAST")))</f>
        <v/>
      </c>
      <c r="F77" s="22">
        <f>IF(LEFT((_xll.BDP(A77,"DVD_TYP_LAST")), 4) = "#N/A", NA(), (_xll.BDP(A77,"DVD_TYP_LAST")))</f>
        <v/>
      </c>
      <c r="G77" s="16">
        <f>IF(ISNUMBER(C77),IF(C77&gt;=Settings!$B$5,"Y","N"),"")</f>
        <v/>
      </c>
      <c r="H77" s="16">
        <f>IF(G77="Y",IF(ISNUMBER(SEARCH("Special",F77)),"SPECIAL DIVIDEND","NEW DIVIDEND"),IF(ISNUMBER(SEARCH("Special",F77)),"SPECIAL DIVIDEND",""))</f>
        <v/>
      </c>
    </row>
    <row r="78">
      <c r="A78" s="16">
        <f>'Rest Universe'!A79</f>
        <v/>
      </c>
      <c r="B78" s="22">
        <f>IFERROR(_xll.BDP(A78,"NAME"),"")</f>
        <v/>
      </c>
      <c r="C78" s="22">
        <f>IF(LEFT((_xll.BDP(A78,"DVD_DECLARED_DT")),4)="#N/A",NA(),(_xll.BDP(A78,"DVD_DECLARED_DT")))</f>
        <v/>
      </c>
      <c r="D78" s="22">
        <f>IF(LEFT((_xll.BDP(A78,"DVD_EX_DT")),4)="#N/A",NA(),(_xll.BDP(A78,"DVD_EX_DT")))</f>
        <v/>
      </c>
      <c r="E78" s="22">
        <f>IF(LEFT((_xll.BDP(A78,"DVD_SH_LAST")), 4) = "#N/A", NA(), (_xll.BDP(A78,"DVD_SH_LAST")))</f>
        <v/>
      </c>
      <c r="F78" s="22">
        <f>IF(LEFT((_xll.BDP(A78,"DVD_TYP_LAST")), 4) = "#N/A", NA(), (_xll.BDP(A78,"DVD_TYP_LAST")))</f>
        <v/>
      </c>
      <c r="G78" s="16">
        <f>IF(ISNUMBER(C78),IF(C78&gt;=Settings!$B$5,"Y","N"),"")</f>
        <v/>
      </c>
      <c r="H78" s="16">
        <f>IF(G78="Y",IF(ISNUMBER(SEARCH("Special",F78)),"SPECIAL DIVIDEND","NEW DIVIDEND"),IF(ISNUMBER(SEARCH("Special",F78)),"SPECIAL DIVIDEND",""))</f>
        <v/>
      </c>
    </row>
    <row r="79">
      <c r="A79" s="16">
        <f>'Rest Universe'!A80</f>
        <v/>
      </c>
      <c r="B79" s="22">
        <f>IFERROR(_xll.BDP(A79,"NAME"),"")</f>
        <v/>
      </c>
      <c r="C79" s="22">
        <f>IF(LEFT((_xll.BDP(A79,"DVD_DECLARED_DT")),4)="#N/A",NA(),(_xll.BDP(A79,"DVD_DECLARED_DT")))</f>
        <v/>
      </c>
      <c r="D79" s="22">
        <f>IF(LEFT((_xll.BDP(A79,"DVD_EX_DT")),4)="#N/A",NA(),(_xll.BDP(A79,"DVD_EX_DT")))</f>
        <v/>
      </c>
      <c r="E79" s="22">
        <f>IF(LEFT((_xll.BDP(A79,"DVD_SH_LAST")), 4) = "#N/A", NA(), (_xll.BDP(A79,"DVD_SH_LAST")))</f>
        <v/>
      </c>
      <c r="F79" s="22">
        <f>IF(LEFT((_xll.BDP(A79,"DVD_TYP_LAST")), 4) = "#N/A", NA(), (_xll.BDP(A79,"DVD_TYP_LAST")))</f>
        <v/>
      </c>
      <c r="G79" s="16">
        <f>IF(ISNUMBER(C79),IF(C79&gt;=Settings!$B$5,"Y","N"),"")</f>
        <v/>
      </c>
      <c r="H79" s="16">
        <f>IF(G79="Y",IF(ISNUMBER(SEARCH("Special",F79)),"SPECIAL DIVIDEND","NEW DIVIDEND"),IF(ISNUMBER(SEARCH("Special",F79)),"SPECIAL DIVIDEND",""))</f>
        <v/>
      </c>
    </row>
    <row r="80">
      <c r="A80" s="16">
        <f>'Rest Universe'!A81</f>
        <v/>
      </c>
      <c r="B80" s="22">
        <f>IFERROR(_xll.BDP(A80,"NAME"),"")</f>
        <v/>
      </c>
      <c r="C80" s="22">
        <f>IF(LEFT((_xll.BDP(A80,"DVD_DECLARED_DT")),4)="#N/A",NA(),(_xll.BDP(A80,"DVD_DECLARED_DT")))</f>
        <v/>
      </c>
      <c r="D80" s="22">
        <f>IF(LEFT((_xll.BDP(A80,"DVD_EX_DT")),4)="#N/A",NA(),(_xll.BDP(A80,"DVD_EX_DT")))</f>
        <v/>
      </c>
      <c r="E80" s="22">
        <f>IF(LEFT((_xll.BDP(A80,"DVD_SH_LAST")), 4) = "#N/A", NA(), (_xll.BDP(A80,"DVD_SH_LAST")))</f>
        <v/>
      </c>
      <c r="F80" s="22">
        <f>IF(LEFT((_xll.BDP(A80,"DVD_TYP_LAST")), 4) = "#N/A", NA(), (_xll.BDP(A80,"DVD_TYP_LAST")))</f>
        <v/>
      </c>
      <c r="G80" s="16">
        <f>IF(ISNUMBER(C80),IF(C80&gt;=Settings!$B$5,"Y","N"),"")</f>
        <v/>
      </c>
      <c r="H80" s="16">
        <f>IF(G80="Y",IF(ISNUMBER(SEARCH("Special",F80)),"SPECIAL DIVIDEND","NEW DIVIDEND"),IF(ISNUMBER(SEARCH("Special",F80)),"SPECIAL DIVIDEND",""))</f>
        <v/>
      </c>
    </row>
    <row r="81">
      <c r="A81" s="16">
        <f>'Rest Universe'!A82</f>
        <v/>
      </c>
      <c r="B81" s="22">
        <f>IFERROR(_xll.BDP(A81,"NAME"),"")</f>
        <v/>
      </c>
      <c r="C81" s="22">
        <f>IF(LEFT((_xll.BDP(A81,"DVD_DECLARED_DT")),4)="#N/A",NA(),(_xll.BDP(A81,"DVD_DECLARED_DT")))</f>
        <v/>
      </c>
      <c r="D81" s="22">
        <f>IF(LEFT((_xll.BDP(A81,"DVD_EX_DT")),4)="#N/A",NA(),(_xll.BDP(A81,"DVD_EX_DT")))</f>
        <v/>
      </c>
      <c r="E81" s="22">
        <f>IF(LEFT((_xll.BDP(A81,"DVD_SH_LAST")), 4) = "#N/A", NA(), (_xll.BDP(A81,"DVD_SH_LAST")))</f>
        <v/>
      </c>
      <c r="F81" s="22">
        <f>IF(LEFT((_xll.BDP(A81,"DVD_TYP_LAST")), 4) = "#N/A", NA(), (_xll.BDP(A81,"DVD_TYP_LAST")))</f>
        <v/>
      </c>
      <c r="G81" s="16">
        <f>IF(ISNUMBER(C81),IF(C81&gt;=Settings!$B$5,"Y","N"),"")</f>
        <v/>
      </c>
      <c r="H81" s="16">
        <f>IF(G81="Y",IF(ISNUMBER(SEARCH("Special",F81)),"SPECIAL DIVIDEND","NEW DIVIDEND"),IF(ISNUMBER(SEARCH("Special",F81)),"SPECIAL DIVIDEND",""))</f>
        <v/>
      </c>
    </row>
    <row r="82">
      <c r="A82" s="16">
        <f>'Rest Universe'!A83</f>
        <v/>
      </c>
      <c r="B82" s="22">
        <f>IFERROR(_xll.BDP(A82,"NAME"),"")</f>
        <v/>
      </c>
      <c r="C82" s="22">
        <f>IF(LEFT((_xll.BDP(A82,"DVD_DECLARED_DT")),4)="#N/A",NA(),(_xll.BDP(A82,"DVD_DECLARED_DT")))</f>
        <v/>
      </c>
      <c r="D82" s="22">
        <f>IF(LEFT((_xll.BDP(A82,"DVD_EX_DT")),4)="#N/A",NA(),(_xll.BDP(A82,"DVD_EX_DT")))</f>
        <v/>
      </c>
      <c r="E82" s="22">
        <f>IF(LEFT((_xll.BDP(A82,"DVD_SH_LAST")), 4) = "#N/A", NA(), (_xll.BDP(A82,"DVD_SH_LAST")))</f>
        <v/>
      </c>
      <c r="F82" s="22">
        <f>IF(LEFT((_xll.BDP(A82,"DVD_TYP_LAST")), 4) = "#N/A", NA(), (_xll.BDP(A82,"DVD_TYP_LAST")))</f>
        <v/>
      </c>
      <c r="G82" s="16">
        <f>IF(ISNUMBER(C82),IF(C82&gt;=Settings!$B$5,"Y","N"),"")</f>
        <v/>
      </c>
      <c r="H82" s="16">
        <f>IF(G82="Y",IF(ISNUMBER(SEARCH("Special",F82)),"SPECIAL DIVIDEND","NEW DIVIDEND"),IF(ISNUMBER(SEARCH("Special",F82)),"SPECIAL DIVIDEND",""))</f>
        <v/>
      </c>
    </row>
    <row r="83">
      <c r="A83" s="16">
        <f>'Rest Universe'!A84</f>
        <v/>
      </c>
      <c r="B83" s="22">
        <f>IFERROR(_xll.BDP(A83,"NAME"),"")</f>
        <v/>
      </c>
      <c r="C83" s="22">
        <f>IF(LEFT((_xll.BDP(A83,"DVD_DECLARED_DT")),4)="#N/A",NA(),(_xll.BDP(A83,"DVD_DECLARED_DT")))</f>
        <v/>
      </c>
      <c r="D83" s="22">
        <f>IF(LEFT((_xll.BDP(A83,"DVD_EX_DT")),4)="#N/A",NA(),(_xll.BDP(A83,"DVD_EX_DT")))</f>
        <v/>
      </c>
      <c r="E83" s="22">
        <f>IF(LEFT((_xll.BDP(A83,"DVD_SH_LAST")), 4) = "#N/A", NA(), (_xll.BDP(A83,"DVD_SH_LAST")))</f>
        <v/>
      </c>
      <c r="F83" s="22">
        <f>IF(LEFT((_xll.BDP(A83,"DVD_TYP_LAST")), 4) = "#N/A", NA(), (_xll.BDP(A83,"DVD_TYP_LAST")))</f>
        <v/>
      </c>
      <c r="G83" s="16">
        <f>IF(ISNUMBER(C83),IF(C83&gt;=Settings!$B$5,"Y","N"),"")</f>
        <v/>
      </c>
      <c r="H83" s="16">
        <f>IF(G83="Y",IF(ISNUMBER(SEARCH("Special",F83)),"SPECIAL DIVIDEND","NEW DIVIDEND"),IF(ISNUMBER(SEARCH("Special",F83)),"SPECIAL DIVIDEND",""))</f>
        <v/>
      </c>
    </row>
    <row r="84">
      <c r="A84" s="16">
        <f>'Rest Universe'!A85</f>
        <v/>
      </c>
      <c r="B84" s="22">
        <f>IFERROR(_xll.BDP(A84,"NAME"),"")</f>
        <v/>
      </c>
      <c r="C84" s="22">
        <f>IF(LEFT((_xll.BDP(A84,"DVD_DECLARED_DT")),4)="#N/A",NA(),(_xll.BDP(A84,"DVD_DECLARED_DT")))</f>
        <v/>
      </c>
      <c r="D84" s="22">
        <f>IF(LEFT((_xll.BDP(A84,"DVD_EX_DT")),4)="#N/A",NA(),(_xll.BDP(A84,"DVD_EX_DT")))</f>
        <v/>
      </c>
      <c r="E84" s="22">
        <f>IF(LEFT((_xll.BDP(A84,"DVD_SH_LAST")), 4) = "#N/A", NA(), (_xll.BDP(A84,"DVD_SH_LAST")))</f>
        <v/>
      </c>
      <c r="F84" s="22">
        <f>IF(LEFT((_xll.BDP(A84,"DVD_TYP_LAST")), 4) = "#N/A", NA(), (_xll.BDP(A84,"DVD_TYP_LAST")))</f>
        <v/>
      </c>
      <c r="G84" s="16">
        <f>IF(ISNUMBER(C84),IF(C84&gt;=Settings!$B$5,"Y","N"),"")</f>
        <v/>
      </c>
      <c r="H84" s="16">
        <f>IF(G84="Y",IF(ISNUMBER(SEARCH("Special",F84)),"SPECIAL DIVIDEND","NEW DIVIDEND"),IF(ISNUMBER(SEARCH("Special",F84)),"SPECIAL DIVIDEND",""))</f>
        <v/>
      </c>
    </row>
    <row r="85">
      <c r="A85" s="16">
        <f>'Rest Universe'!A86</f>
        <v/>
      </c>
      <c r="B85" s="22">
        <f>IFERROR(_xll.BDP(A85,"NAME"),"")</f>
        <v/>
      </c>
      <c r="C85" s="22">
        <f>IF(LEFT((_xll.BDP(A85,"DVD_DECLARED_DT")),4)="#N/A",NA(),(_xll.BDP(A85,"DVD_DECLARED_DT")))</f>
        <v/>
      </c>
      <c r="D85" s="22">
        <f>IF(LEFT((_xll.BDP(A85,"DVD_EX_DT")),4)="#N/A",NA(),(_xll.BDP(A85,"DVD_EX_DT")))</f>
        <v/>
      </c>
      <c r="E85" s="22">
        <f>IF(LEFT((_xll.BDP(A85,"DVD_SH_LAST")), 4) = "#N/A", NA(), (_xll.BDP(A85,"DVD_SH_LAST")))</f>
        <v/>
      </c>
      <c r="F85" s="22">
        <f>IF(LEFT((_xll.BDP(A85,"DVD_TYP_LAST")), 4) = "#N/A", NA(), (_xll.BDP(A85,"DVD_TYP_LAST")))</f>
        <v/>
      </c>
      <c r="G85" s="16">
        <f>IF(ISNUMBER(C85),IF(C85&gt;=Settings!$B$5,"Y","N"),"")</f>
        <v/>
      </c>
      <c r="H85" s="16">
        <f>IF(G85="Y",IF(ISNUMBER(SEARCH("Special",F85)),"SPECIAL DIVIDEND","NEW DIVIDEND"),IF(ISNUMBER(SEARCH("Special",F85)),"SPECIAL DIVIDEND",""))</f>
        <v/>
      </c>
    </row>
    <row r="86">
      <c r="A86" s="16">
        <f>'Rest Universe'!A87</f>
        <v/>
      </c>
      <c r="B86" s="22">
        <f>IFERROR(_xll.BDP(A86,"NAME"),"")</f>
        <v/>
      </c>
      <c r="C86" s="22">
        <f>IF(LEFT((_xll.BDP(A86,"DVD_DECLARED_DT")),4)="#N/A",NA(),(_xll.BDP(A86,"DVD_DECLARED_DT")))</f>
        <v/>
      </c>
      <c r="D86" s="22">
        <f>IF(LEFT((_xll.BDP(A86,"DVD_EX_DT")),4)="#N/A",NA(),(_xll.BDP(A86,"DVD_EX_DT")))</f>
        <v/>
      </c>
      <c r="E86" s="22">
        <f>IF(LEFT((_xll.BDP(A86,"DVD_SH_LAST")), 4) = "#N/A", NA(), (_xll.BDP(A86,"DVD_SH_LAST")))</f>
        <v/>
      </c>
      <c r="F86" s="22">
        <f>IF(LEFT((_xll.BDP(A86,"DVD_TYP_LAST")), 4) = "#N/A", NA(), (_xll.BDP(A86,"DVD_TYP_LAST")))</f>
        <v/>
      </c>
      <c r="G86" s="16">
        <f>IF(ISNUMBER(C86),IF(C86&gt;=Settings!$B$5,"Y","N"),"")</f>
        <v/>
      </c>
      <c r="H86" s="16">
        <f>IF(G86="Y",IF(ISNUMBER(SEARCH("Special",F86)),"SPECIAL DIVIDEND","NEW DIVIDEND"),IF(ISNUMBER(SEARCH("Special",F86)),"SPECIAL DIVIDEND",""))</f>
        <v/>
      </c>
    </row>
    <row r="87">
      <c r="A87" s="16">
        <f>'Rest Universe'!A88</f>
        <v/>
      </c>
      <c r="B87" s="22">
        <f>IFERROR(_xll.BDP(A87,"NAME"),"")</f>
        <v/>
      </c>
      <c r="C87" s="22">
        <f>IF(LEFT((_xll.BDP(A87,"DVD_DECLARED_DT")),4)="#N/A",NA(),(_xll.BDP(A87,"DVD_DECLARED_DT")))</f>
        <v/>
      </c>
      <c r="D87" s="22">
        <f>IF(LEFT((_xll.BDP(A87,"DVD_EX_DT")),4)="#N/A",NA(),(_xll.BDP(A87,"DVD_EX_DT")))</f>
        <v/>
      </c>
      <c r="E87" s="22">
        <f>IF(LEFT((_xll.BDP(A87,"DVD_SH_LAST")), 4) = "#N/A", NA(), (_xll.BDP(A87,"DVD_SH_LAST")))</f>
        <v/>
      </c>
      <c r="F87" s="22">
        <f>IF(LEFT((_xll.BDP(A87,"DVD_TYP_LAST")), 4) = "#N/A", NA(), (_xll.BDP(A87,"DVD_TYP_LAST")))</f>
        <v/>
      </c>
      <c r="G87" s="16">
        <f>IF(ISNUMBER(C87),IF(C87&gt;=Settings!$B$5,"Y","N"),"")</f>
        <v/>
      </c>
      <c r="H87" s="16">
        <f>IF(G87="Y",IF(ISNUMBER(SEARCH("Special",F87)),"SPECIAL DIVIDEND","NEW DIVIDEND"),IF(ISNUMBER(SEARCH("Special",F87)),"SPECIAL DIVIDEND",""))</f>
        <v/>
      </c>
    </row>
    <row r="88">
      <c r="A88" s="16">
        <f>'Rest Universe'!A89</f>
        <v/>
      </c>
      <c r="B88" s="22">
        <f>IFERROR(_xll.BDP(A88,"NAME"),"")</f>
        <v/>
      </c>
      <c r="C88" s="22">
        <f>IF(LEFT((_xll.BDP(A88,"DVD_DECLARED_DT")),4)="#N/A",NA(),(_xll.BDP(A88,"DVD_DECLARED_DT")))</f>
        <v/>
      </c>
      <c r="D88" s="22">
        <f>IF(LEFT((_xll.BDP(A88,"DVD_EX_DT")),4)="#N/A",NA(),(_xll.BDP(A88,"DVD_EX_DT")))</f>
        <v/>
      </c>
      <c r="E88" s="22">
        <f>IF(LEFT((_xll.BDP(A88,"DVD_SH_LAST")), 4) = "#N/A", NA(), (_xll.BDP(A88,"DVD_SH_LAST")))</f>
        <v/>
      </c>
      <c r="F88" s="22">
        <f>IF(LEFT((_xll.BDP(A88,"DVD_TYP_LAST")), 4) = "#N/A", NA(), (_xll.BDP(A88,"DVD_TYP_LAST")))</f>
        <v/>
      </c>
      <c r="G88" s="16">
        <f>IF(ISNUMBER(C88),IF(C88&gt;=Settings!$B$5,"Y","N"),"")</f>
        <v/>
      </c>
      <c r="H88" s="16">
        <f>IF(G88="Y",IF(ISNUMBER(SEARCH("Special",F88)),"SPECIAL DIVIDEND","NEW DIVIDEND"),IF(ISNUMBER(SEARCH("Special",F88)),"SPECIAL DIVIDEND",""))</f>
        <v/>
      </c>
    </row>
    <row r="89">
      <c r="A89" s="16">
        <f>'Rest Universe'!A90</f>
        <v/>
      </c>
      <c r="B89" s="22">
        <f>IFERROR(_xll.BDP(A89,"NAME"),"")</f>
        <v/>
      </c>
      <c r="C89" s="22">
        <f>IF(LEFT((_xll.BDP(A89,"DVD_DECLARED_DT")),4)="#N/A",NA(),(_xll.BDP(A89,"DVD_DECLARED_DT")))</f>
        <v/>
      </c>
      <c r="D89" s="22">
        <f>IF(LEFT((_xll.BDP(A89,"DVD_EX_DT")),4)="#N/A",NA(),(_xll.BDP(A89,"DVD_EX_DT")))</f>
        <v/>
      </c>
      <c r="E89" s="22">
        <f>IF(LEFT((_xll.BDP(A89,"DVD_SH_LAST")), 4) = "#N/A", NA(), (_xll.BDP(A89,"DVD_SH_LAST")))</f>
        <v/>
      </c>
      <c r="F89" s="22">
        <f>IF(LEFT((_xll.BDP(A89,"DVD_TYP_LAST")), 4) = "#N/A", NA(), (_xll.BDP(A89,"DVD_TYP_LAST")))</f>
        <v/>
      </c>
      <c r="G89" s="16">
        <f>IF(ISNUMBER(C89),IF(C89&gt;=Settings!$B$5,"Y","N"),"")</f>
        <v/>
      </c>
      <c r="H89" s="16">
        <f>IF(G89="Y",IF(ISNUMBER(SEARCH("Special",F89)),"SPECIAL DIVIDEND","NEW DIVIDEND"),IF(ISNUMBER(SEARCH("Special",F89)),"SPECIAL DIVIDEND",""))</f>
        <v/>
      </c>
    </row>
    <row r="90">
      <c r="A90" s="16">
        <f>'Rest Universe'!A91</f>
        <v/>
      </c>
      <c r="B90" s="22">
        <f>IFERROR(_xll.BDP(A90,"NAME"),"")</f>
        <v/>
      </c>
      <c r="C90" s="22">
        <f>IF(LEFT((_xll.BDP(A90,"DVD_DECLARED_DT")),4)="#N/A",NA(),(_xll.BDP(A90,"DVD_DECLARED_DT")))</f>
        <v/>
      </c>
      <c r="D90" s="22">
        <f>IF(LEFT((_xll.BDP(A90,"DVD_EX_DT")),4)="#N/A",NA(),(_xll.BDP(A90,"DVD_EX_DT")))</f>
        <v/>
      </c>
      <c r="E90" s="22">
        <f>IF(LEFT((_xll.BDP(A90,"DVD_SH_LAST")), 4) = "#N/A", NA(), (_xll.BDP(A90,"DVD_SH_LAST")))</f>
        <v/>
      </c>
      <c r="F90" s="22">
        <f>IF(LEFT((_xll.BDP(A90,"DVD_TYP_LAST")), 4) = "#N/A", NA(), (_xll.BDP(A90,"DVD_TYP_LAST")))</f>
        <v/>
      </c>
      <c r="G90" s="16">
        <f>IF(ISNUMBER(C90),IF(C90&gt;=Settings!$B$5,"Y","N"),"")</f>
        <v/>
      </c>
      <c r="H90" s="16">
        <f>IF(G90="Y",IF(ISNUMBER(SEARCH("Special",F90)),"SPECIAL DIVIDEND","NEW DIVIDEND"),IF(ISNUMBER(SEARCH("Special",F90)),"SPECIAL DIVIDEND",""))</f>
        <v/>
      </c>
    </row>
    <row r="91">
      <c r="A91" s="16">
        <f>'Rest Universe'!A92</f>
        <v/>
      </c>
      <c r="B91" s="22">
        <f>IFERROR(_xll.BDP(A91,"NAME"),"")</f>
        <v/>
      </c>
      <c r="C91" s="22">
        <f>IF(LEFT((_xll.BDP(A91,"DVD_DECLARED_DT")),4)="#N/A",NA(),(_xll.BDP(A91,"DVD_DECLARED_DT")))</f>
        <v/>
      </c>
      <c r="D91" s="22">
        <f>IF(LEFT((_xll.BDP(A91,"DVD_EX_DT")),4)="#N/A",NA(),(_xll.BDP(A91,"DVD_EX_DT")))</f>
        <v/>
      </c>
      <c r="E91" s="22">
        <f>IF(LEFT((_xll.BDP(A91,"DVD_SH_LAST")), 4) = "#N/A", NA(), (_xll.BDP(A91,"DVD_SH_LAST")))</f>
        <v/>
      </c>
      <c r="F91" s="22">
        <f>IF(LEFT((_xll.BDP(A91,"DVD_TYP_LAST")), 4) = "#N/A", NA(), (_xll.BDP(A91,"DVD_TYP_LAST")))</f>
        <v/>
      </c>
      <c r="G91" s="16">
        <f>IF(ISNUMBER(C91),IF(C91&gt;=Settings!$B$5,"Y","N"),"")</f>
        <v/>
      </c>
      <c r="H91" s="16">
        <f>IF(G91="Y",IF(ISNUMBER(SEARCH("Special",F91)),"SPECIAL DIVIDEND","NEW DIVIDEND"),IF(ISNUMBER(SEARCH("Special",F91)),"SPECIAL DIVIDEND",""))</f>
        <v/>
      </c>
    </row>
    <row r="92">
      <c r="A92" s="16">
        <f>'Rest Universe'!A93</f>
        <v/>
      </c>
      <c r="B92" s="22">
        <f>IFERROR(_xll.BDP(A92,"NAME"),"")</f>
        <v/>
      </c>
      <c r="C92" s="22">
        <f>IF(LEFT((_xll.BDP(A92,"DVD_DECLARED_DT")),4)="#N/A",NA(),(_xll.BDP(A92,"DVD_DECLARED_DT")))</f>
        <v/>
      </c>
      <c r="D92" s="22">
        <f>IF(LEFT((_xll.BDP(A92,"DVD_EX_DT")),4)="#N/A",NA(),(_xll.BDP(A92,"DVD_EX_DT")))</f>
        <v/>
      </c>
      <c r="E92" s="22">
        <f>IF(LEFT((_xll.BDP(A92,"DVD_SH_LAST")), 4) = "#N/A", NA(), (_xll.BDP(A92,"DVD_SH_LAST")))</f>
        <v/>
      </c>
      <c r="F92" s="22">
        <f>IF(LEFT((_xll.BDP(A92,"DVD_TYP_LAST")), 4) = "#N/A", NA(), (_xll.BDP(A92,"DVD_TYP_LAST")))</f>
        <v/>
      </c>
      <c r="G92" s="16">
        <f>IF(ISNUMBER(C92),IF(C92&gt;=Settings!$B$5,"Y","N"),"")</f>
        <v/>
      </c>
      <c r="H92" s="16">
        <f>IF(G92="Y",IF(ISNUMBER(SEARCH("Special",F92)),"SPECIAL DIVIDEND","NEW DIVIDEND"),IF(ISNUMBER(SEARCH("Special",F92)),"SPECIAL DIVIDEND",""))</f>
        <v/>
      </c>
    </row>
    <row r="93">
      <c r="A93" s="16">
        <f>'Rest Universe'!A94</f>
        <v/>
      </c>
      <c r="B93" s="22">
        <f>IFERROR(_xll.BDP(A93,"NAME"),"")</f>
        <v/>
      </c>
      <c r="C93" s="22">
        <f>IF(LEFT((_xll.BDP(A93,"DVD_DECLARED_DT")),4)="#N/A",NA(),(_xll.BDP(A93,"DVD_DECLARED_DT")))</f>
        <v/>
      </c>
      <c r="D93" s="22">
        <f>IF(LEFT((_xll.BDP(A93,"DVD_EX_DT")),4)="#N/A",NA(),(_xll.BDP(A93,"DVD_EX_DT")))</f>
        <v/>
      </c>
      <c r="E93" s="22">
        <f>IF(LEFT((_xll.BDP(A93,"DVD_SH_LAST")), 4) = "#N/A", NA(), (_xll.BDP(A93,"DVD_SH_LAST")))</f>
        <v/>
      </c>
      <c r="F93" s="22">
        <f>IF(LEFT((_xll.BDP(A93,"DVD_TYP_LAST")), 4) = "#N/A", NA(), (_xll.BDP(A93,"DVD_TYP_LAST")))</f>
        <v/>
      </c>
      <c r="G93" s="16">
        <f>IF(ISNUMBER(C93),IF(C93&gt;=Settings!$B$5,"Y","N"),"")</f>
        <v/>
      </c>
      <c r="H93" s="16">
        <f>IF(G93="Y",IF(ISNUMBER(SEARCH("Special",F93)),"SPECIAL DIVIDEND","NEW DIVIDEND"),IF(ISNUMBER(SEARCH("Special",F93)),"SPECIAL DIVIDEND",""))</f>
        <v/>
      </c>
    </row>
    <row r="94">
      <c r="A94" s="16">
        <f>'Rest Universe'!A95</f>
        <v/>
      </c>
      <c r="B94" s="22">
        <f>IFERROR(_xll.BDP(A94,"NAME"),"")</f>
        <v/>
      </c>
      <c r="C94" s="22">
        <f>IF(LEFT((_xll.BDP(A94,"DVD_DECLARED_DT")),4)="#N/A",NA(),(_xll.BDP(A94,"DVD_DECLARED_DT")))</f>
        <v/>
      </c>
      <c r="D94" s="22">
        <f>IF(LEFT((_xll.BDP(A94,"DVD_EX_DT")),4)="#N/A",NA(),(_xll.BDP(A94,"DVD_EX_DT")))</f>
        <v/>
      </c>
      <c r="E94" s="22">
        <f>IF(LEFT((_xll.BDP(A94,"DVD_SH_LAST")), 4) = "#N/A", NA(), (_xll.BDP(A94,"DVD_SH_LAST")))</f>
        <v/>
      </c>
      <c r="F94" s="22">
        <f>IF(LEFT((_xll.BDP(A94,"DVD_TYP_LAST")), 4) = "#N/A", NA(), (_xll.BDP(A94,"DVD_TYP_LAST")))</f>
        <v/>
      </c>
      <c r="G94" s="16">
        <f>IF(ISNUMBER(C94),IF(C94&gt;=Settings!$B$5,"Y","N"),"")</f>
        <v/>
      </c>
      <c r="H94" s="16">
        <f>IF(G94="Y",IF(ISNUMBER(SEARCH("Special",F94)),"SPECIAL DIVIDEND","NEW DIVIDEND"),IF(ISNUMBER(SEARCH("Special",F94)),"SPECIAL DIVIDEND",""))</f>
        <v/>
      </c>
    </row>
    <row r="95">
      <c r="A95" s="16">
        <f>'Rest Universe'!A96</f>
        <v/>
      </c>
      <c r="B95" s="22">
        <f>IFERROR(_xll.BDP(A95,"NAME"),"")</f>
        <v/>
      </c>
      <c r="C95" s="22">
        <f>IF(LEFT((_xll.BDP(A95,"DVD_DECLARED_DT")),4)="#N/A",NA(),(_xll.BDP(A95,"DVD_DECLARED_DT")))</f>
        <v/>
      </c>
      <c r="D95" s="22">
        <f>IF(LEFT((_xll.BDP(A95,"DVD_EX_DT")),4)="#N/A",NA(),(_xll.BDP(A95,"DVD_EX_DT")))</f>
        <v/>
      </c>
      <c r="E95" s="22">
        <f>IF(LEFT((_xll.BDP(A95,"DVD_SH_LAST")), 4) = "#N/A", NA(), (_xll.BDP(A95,"DVD_SH_LAST")))</f>
        <v/>
      </c>
      <c r="F95" s="22">
        <f>IF(LEFT((_xll.BDP(A95,"DVD_TYP_LAST")), 4) = "#N/A", NA(), (_xll.BDP(A95,"DVD_TYP_LAST")))</f>
        <v/>
      </c>
      <c r="G95" s="16">
        <f>IF(ISNUMBER(C95),IF(C95&gt;=Settings!$B$5,"Y","N"),"")</f>
        <v/>
      </c>
      <c r="H95" s="16">
        <f>IF(G95="Y",IF(ISNUMBER(SEARCH("Special",F95)),"SPECIAL DIVIDEND","NEW DIVIDEND"),IF(ISNUMBER(SEARCH("Special",F95)),"SPECIAL DIVIDEND",""))</f>
        <v/>
      </c>
    </row>
    <row r="96">
      <c r="A96" s="16">
        <f>'Rest Universe'!A97</f>
        <v/>
      </c>
      <c r="B96" s="22">
        <f>IFERROR(_xll.BDP(A96,"NAME"),"")</f>
        <v/>
      </c>
      <c r="C96" s="22">
        <f>IF(LEFT((_xll.BDP(A96,"DVD_DECLARED_DT")),4)="#N/A",NA(),(_xll.BDP(A96,"DVD_DECLARED_DT")))</f>
        <v/>
      </c>
      <c r="D96" s="22">
        <f>IF(LEFT((_xll.BDP(A96,"DVD_EX_DT")),4)="#N/A",NA(),(_xll.BDP(A96,"DVD_EX_DT")))</f>
        <v/>
      </c>
      <c r="E96" s="22">
        <f>IF(LEFT((_xll.BDP(A96,"DVD_SH_LAST")), 4) = "#N/A", NA(), (_xll.BDP(A96,"DVD_SH_LAST")))</f>
        <v/>
      </c>
      <c r="F96" s="22">
        <f>IF(LEFT((_xll.BDP(A96,"DVD_TYP_LAST")), 4) = "#N/A", NA(), (_xll.BDP(A96,"DVD_TYP_LAST")))</f>
        <v/>
      </c>
      <c r="G96" s="16">
        <f>IF(ISNUMBER(C96),IF(C96&gt;=Settings!$B$5,"Y","N"),"")</f>
        <v/>
      </c>
      <c r="H96" s="16">
        <f>IF(G96="Y",IF(ISNUMBER(SEARCH("Special",F96)),"SPECIAL DIVIDEND","NEW DIVIDEND"),IF(ISNUMBER(SEARCH("Special",F96)),"SPECIAL DIVIDEND",""))</f>
        <v/>
      </c>
    </row>
    <row r="97">
      <c r="A97" s="16">
        <f>'Rest Universe'!A98</f>
        <v/>
      </c>
      <c r="B97" s="22">
        <f>IFERROR(_xll.BDP(A97,"NAME"),"")</f>
        <v/>
      </c>
      <c r="C97" s="22">
        <f>IF(LEFT((_xll.BDP(A97,"DVD_DECLARED_DT")),4)="#N/A",NA(),(_xll.BDP(A97,"DVD_DECLARED_DT")))</f>
        <v/>
      </c>
      <c r="D97" s="22">
        <f>IF(LEFT((_xll.BDP(A97,"DVD_EX_DT")),4)="#N/A",NA(),(_xll.BDP(A97,"DVD_EX_DT")))</f>
        <v/>
      </c>
      <c r="E97" s="22">
        <f>IF(LEFT((_xll.BDP(A97,"DVD_SH_LAST")), 4) = "#N/A", NA(), (_xll.BDP(A97,"DVD_SH_LAST")))</f>
        <v/>
      </c>
      <c r="F97" s="22">
        <f>IF(LEFT((_xll.BDP(A97,"DVD_TYP_LAST")), 4) = "#N/A", NA(), (_xll.BDP(A97,"DVD_TYP_LAST")))</f>
        <v/>
      </c>
      <c r="G97" s="16">
        <f>IF(ISNUMBER(C97),IF(C97&gt;=Settings!$B$5,"Y","N"),"")</f>
        <v/>
      </c>
      <c r="H97" s="16">
        <f>IF(G97="Y",IF(ISNUMBER(SEARCH("Special",F97)),"SPECIAL DIVIDEND","NEW DIVIDEND"),IF(ISNUMBER(SEARCH("Special",F97)),"SPECIAL DIVIDEND",""))</f>
        <v/>
      </c>
    </row>
    <row r="98">
      <c r="A98" s="16">
        <f>'Rest Universe'!A99</f>
        <v/>
      </c>
      <c r="B98" s="22">
        <f>IFERROR(_xll.BDP(A98,"NAME"),"")</f>
        <v/>
      </c>
      <c r="C98" s="22">
        <f>IF(LEFT((_xll.BDP(A98,"DVD_DECLARED_DT")),4)="#N/A",NA(),(_xll.BDP(A98,"DVD_DECLARED_DT")))</f>
        <v/>
      </c>
      <c r="D98" s="22">
        <f>IF(LEFT((_xll.BDP(A98,"DVD_EX_DT")),4)="#N/A",NA(),(_xll.BDP(A98,"DVD_EX_DT")))</f>
        <v/>
      </c>
      <c r="E98" s="22">
        <f>IF(LEFT((_xll.BDP(A98,"DVD_SH_LAST")), 4) = "#N/A", NA(), (_xll.BDP(A98,"DVD_SH_LAST")))</f>
        <v/>
      </c>
      <c r="F98" s="22">
        <f>IF(LEFT((_xll.BDP(A98,"DVD_TYP_LAST")), 4) = "#N/A", NA(), (_xll.BDP(A98,"DVD_TYP_LAST")))</f>
        <v/>
      </c>
      <c r="G98" s="16">
        <f>IF(ISNUMBER(C98),IF(C98&gt;=Settings!$B$5,"Y","N"),"")</f>
        <v/>
      </c>
      <c r="H98" s="16">
        <f>IF(G98="Y",IF(ISNUMBER(SEARCH("Special",F98)),"SPECIAL DIVIDEND","NEW DIVIDEND"),IF(ISNUMBER(SEARCH("Special",F98)),"SPECIAL DIVIDEND",""))</f>
        <v/>
      </c>
    </row>
    <row r="99">
      <c r="A99" s="16">
        <f>'Rest Universe'!A100</f>
        <v/>
      </c>
      <c r="B99" s="22">
        <f>IFERROR(_xll.BDP(A99,"NAME"),"")</f>
        <v/>
      </c>
      <c r="C99" s="22">
        <f>IF(LEFT((_xll.BDP(A99,"DVD_DECLARED_DT")),4)="#N/A",NA(),(_xll.BDP(A99,"DVD_DECLARED_DT")))</f>
        <v/>
      </c>
      <c r="D99" s="22">
        <f>IF(LEFT((_xll.BDP(A99,"DVD_EX_DT")),4)="#N/A",NA(),(_xll.BDP(A99,"DVD_EX_DT")))</f>
        <v/>
      </c>
      <c r="E99" s="22">
        <f>IF(LEFT((_xll.BDP(A99,"DVD_SH_LAST")), 4) = "#N/A", NA(), (_xll.BDP(A99,"DVD_SH_LAST")))</f>
        <v/>
      </c>
      <c r="F99" s="22">
        <f>IF(LEFT((_xll.BDP(A99,"DVD_TYP_LAST")), 4) = "#N/A", NA(), (_xll.BDP(A99,"DVD_TYP_LAST")))</f>
        <v/>
      </c>
      <c r="G99" s="16">
        <f>IF(ISNUMBER(C99),IF(C99&gt;=Settings!$B$5,"Y","N"),"")</f>
        <v/>
      </c>
      <c r="H99" s="16">
        <f>IF(G99="Y",IF(ISNUMBER(SEARCH("Special",F99)),"SPECIAL DIVIDEND","NEW DIVIDEND"),IF(ISNUMBER(SEARCH("Special",F99)),"SPECIAL DIVIDEND",""))</f>
        <v/>
      </c>
    </row>
    <row r="100">
      <c r="A100" s="16">
        <f>'Rest Universe'!A101</f>
        <v/>
      </c>
      <c r="B100" s="22">
        <f>IFERROR(_xll.BDP(A100,"NAME"),"")</f>
        <v/>
      </c>
      <c r="C100" s="22">
        <f>IF(LEFT((_xll.BDP(A100,"DVD_DECLARED_DT")),4)="#N/A",NA(),(_xll.BDP(A100,"DVD_DECLARED_DT")))</f>
        <v/>
      </c>
      <c r="D100" s="22">
        <f>IF(LEFT((_xll.BDP(A100,"DVD_EX_DT")),4)="#N/A",NA(),(_xll.BDP(A100,"DVD_EX_DT")))</f>
        <v/>
      </c>
      <c r="E100" s="22">
        <f>IF(LEFT((_xll.BDP(A100,"DVD_SH_LAST")), 4) = "#N/A", NA(), (_xll.BDP(A100,"DVD_SH_LAST")))</f>
        <v/>
      </c>
      <c r="F100" s="22">
        <f>IF(LEFT((_xll.BDP(A100,"DVD_TYP_LAST")), 4) = "#N/A", NA(), (_xll.BDP(A100,"DVD_TYP_LAST")))</f>
        <v/>
      </c>
      <c r="G100" s="16">
        <f>IF(ISNUMBER(C100),IF(C100&gt;=Settings!$B$5,"Y","N"),"")</f>
        <v/>
      </c>
      <c r="H100" s="16">
        <f>IF(G100="Y",IF(ISNUMBER(SEARCH("Special",F100)),"SPECIAL DIVIDEND","NEW DIVIDEND"),IF(ISNUMBER(SEARCH("Special",F100)),"SPECIAL DIVIDEND",""))</f>
        <v/>
      </c>
    </row>
    <row r="101">
      <c r="A101" s="16">
        <f>'Rest Universe'!A102</f>
        <v/>
      </c>
      <c r="B101" s="22">
        <f>IFERROR(_xll.BDP(A101,"NAME"),"")</f>
        <v/>
      </c>
      <c r="C101" s="22">
        <f>IF(LEFT((_xll.BDP(A101,"DVD_DECLARED_DT")),4)="#N/A",NA(),(_xll.BDP(A101,"DVD_DECLARED_DT")))</f>
        <v/>
      </c>
      <c r="D101" s="22">
        <f>IF(LEFT((_xll.BDP(A101,"DVD_EX_DT")),4)="#N/A",NA(),(_xll.BDP(A101,"DVD_EX_DT")))</f>
        <v/>
      </c>
      <c r="E101" s="22">
        <f>IF(LEFT((_xll.BDP(A101,"DVD_SH_LAST")), 4) = "#N/A", NA(), (_xll.BDP(A101,"DVD_SH_LAST")))</f>
        <v/>
      </c>
      <c r="F101" s="22">
        <f>IF(LEFT((_xll.BDP(A101,"DVD_TYP_LAST")), 4) = "#N/A", NA(), (_xll.BDP(A101,"DVD_TYP_LAST")))</f>
        <v/>
      </c>
      <c r="G101" s="16">
        <f>IF(ISNUMBER(C101),IF(C101&gt;=Settings!$B$5,"Y","N"),"")</f>
        <v/>
      </c>
      <c r="H101" s="16">
        <f>IF(G101="Y",IF(ISNUMBER(SEARCH("Special",F101)),"SPECIAL DIVIDEND","NEW DIVIDEND"),IF(ISNUMBER(SEARCH("Special",F101)),"SPECIAL DIVIDEND",""))</f>
        <v/>
      </c>
    </row>
    <row r="102">
      <c r="A102" s="16">
        <f>'Rest Universe'!A103</f>
        <v/>
      </c>
      <c r="B102" s="22">
        <f>IFERROR(_xll.BDP(A102,"NAME"),"")</f>
        <v/>
      </c>
      <c r="C102" s="22">
        <f>IF(LEFT((_xll.BDP(A102,"DVD_DECLARED_DT")),4)="#N/A",NA(),(_xll.BDP(A102,"DVD_DECLARED_DT")))</f>
        <v/>
      </c>
      <c r="D102" s="22">
        <f>IF(LEFT((_xll.BDP(A102,"DVD_EX_DT")),4)="#N/A",NA(),(_xll.BDP(A102,"DVD_EX_DT")))</f>
        <v/>
      </c>
      <c r="E102" s="22">
        <f>IF(LEFT((_xll.BDP(A102,"DVD_SH_LAST")), 4) = "#N/A", NA(), (_xll.BDP(A102,"DVD_SH_LAST")))</f>
        <v/>
      </c>
      <c r="F102" s="22">
        <f>IF(LEFT((_xll.BDP(A102,"DVD_TYP_LAST")), 4) = "#N/A", NA(), (_xll.BDP(A102,"DVD_TYP_LAST")))</f>
        <v/>
      </c>
      <c r="G102" s="16">
        <f>IF(ISNUMBER(C102),IF(C102&gt;=Settings!$B$5,"Y","N"),"")</f>
        <v/>
      </c>
      <c r="H102" s="16">
        <f>IF(G102="Y",IF(ISNUMBER(SEARCH("Special",F102)),"SPECIAL DIVIDEND","NEW DIVIDEND"),IF(ISNUMBER(SEARCH("Special",F102)),"SPECIAL DIVIDEND",""))</f>
        <v/>
      </c>
    </row>
    <row r="103">
      <c r="A103" s="16">
        <f>'Rest Universe'!A104</f>
        <v/>
      </c>
      <c r="B103" s="22">
        <f>IFERROR(_xll.BDP(A103,"NAME"),"")</f>
        <v/>
      </c>
      <c r="C103" s="22">
        <f>IF(LEFT((_xll.BDP(A103,"DVD_DECLARED_DT")),4)="#N/A",NA(),(_xll.BDP(A103,"DVD_DECLARED_DT")))</f>
        <v/>
      </c>
      <c r="D103" s="22">
        <f>IF(LEFT((_xll.BDP(A103,"DVD_EX_DT")),4)="#N/A",NA(),(_xll.BDP(A103,"DVD_EX_DT")))</f>
        <v/>
      </c>
      <c r="E103" s="22">
        <f>IF(LEFT((_xll.BDP(A103,"DVD_SH_LAST")), 4) = "#N/A", NA(), (_xll.BDP(A103,"DVD_SH_LAST")))</f>
        <v/>
      </c>
      <c r="F103" s="22">
        <f>IF(LEFT((_xll.BDP(A103,"DVD_TYP_LAST")), 4) = "#N/A", NA(), (_xll.BDP(A103,"DVD_TYP_LAST")))</f>
        <v/>
      </c>
      <c r="G103" s="16">
        <f>IF(ISNUMBER(C103),IF(C103&gt;=Settings!$B$5,"Y","N"),"")</f>
        <v/>
      </c>
      <c r="H103" s="16">
        <f>IF(G103="Y",IF(ISNUMBER(SEARCH("Special",F103)),"SPECIAL DIVIDEND","NEW DIVIDEND"),IF(ISNUMBER(SEARCH("Special",F103)),"SPECIAL DIVIDEND",""))</f>
        <v/>
      </c>
    </row>
    <row r="104">
      <c r="A104" s="16">
        <f>'Rest Universe'!A105</f>
        <v/>
      </c>
      <c r="B104" s="22">
        <f>IFERROR(_xll.BDP(A104,"NAME"),"")</f>
        <v/>
      </c>
      <c r="C104" s="22">
        <f>IF(LEFT((_xll.BDP(A104,"DVD_DECLARED_DT")),4)="#N/A",NA(),(_xll.BDP(A104,"DVD_DECLARED_DT")))</f>
        <v/>
      </c>
      <c r="D104" s="22">
        <f>IF(LEFT((_xll.BDP(A104,"DVD_EX_DT")),4)="#N/A",NA(),(_xll.BDP(A104,"DVD_EX_DT")))</f>
        <v/>
      </c>
      <c r="E104" s="22">
        <f>IF(LEFT((_xll.BDP(A104,"DVD_SH_LAST")), 4) = "#N/A", NA(), (_xll.BDP(A104,"DVD_SH_LAST")))</f>
        <v/>
      </c>
      <c r="F104" s="22">
        <f>IF(LEFT((_xll.BDP(A104,"DVD_TYP_LAST")), 4) = "#N/A", NA(), (_xll.BDP(A104,"DVD_TYP_LAST")))</f>
        <v/>
      </c>
      <c r="G104" s="16">
        <f>IF(ISNUMBER(C104),IF(C104&gt;=Settings!$B$5,"Y","N"),"")</f>
        <v/>
      </c>
      <c r="H104" s="16">
        <f>IF(G104="Y",IF(ISNUMBER(SEARCH("Special",F104)),"SPECIAL DIVIDEND","NEW DIVIDEND"),IF(ISNUMBER(SEARCH("Special",F104)),"SPECIAL DIVIDEND",""))</f>
        <v/>
      </c>
    </row>
    <row r="105">
      <c r="A105" s="16">
        <f>'Rest Universe'!A106</f>
        <v/>
      </c>
      <c r="B105" s="22">
        <f>IFERROR(_xll.BDP(A105,"NAME"),"")</f>
        <v/>
      </c>
      <c r="C105" s="22">
        <f>IF(LEFT((_xll.BDP(A105,"DVD_DECLARED_DT")),4)="#N/A",NA(),(_xll.BDP(A105,"DVD_DECLARED_DT")))</f>
        <v/>
      </c>
      <c r="D105" s="22">
        <f>IF(LEFT((_xll.BDP(A105,"DVD_EX_DT")),4)="#N/A",NA(),(_xll.BDP(A105,"DVD_EX_DT")))</f>
        <v/>
      </c>
      <c r="E105" s="22">
        <f>IF(LEFT((_xll.BDP(A105,"DVD_SH_LAST")), 4) = "#N/A", NA(), (_xll.BDP(A105,"DVD_SH_LAST")))</f>
        <v/>
      </c>
      <c r="F105" s="22">
        <f>IF(LEFT((_xll.BDP(A105,"DVD_TYP_LAST")), 4) = "#N/A", NA(), (_xll.BDP(A105,"DVD_TYP_LAST")))</f>
        <v/>
      </c>
      <c r="G105" s="16">
        <f>IF(ISNUMBER(C105),IF(C105&gt;=Settings!$B$5,"Y","N"),"")</f>
        <v/>
      </c>
      <c r="H105" s="16">
        <f>IF(G105="Y",IF(ISNUMBER(SEARCH("Special",F105)),"SPECIAL DIVIDEND","NEW DIVIDEND"),IF(ISNUMBER(SEARCH("Special",F105)),"SPECIAL DIVIDEND",""))</f>
        <v/>
      </c>
    </row>
    <row r="106">
      <c r="A106" s="16">
        <f>'Rest Universe'!A107</f>
        <v/>
      </c>
      <c r="B106" s="22">
        <f>IFERROR(_xll.BDP(A106,"NAME"),"")</f>
        <v/>
      </c>
      <c r="C106" s="22">
        <f>IF(LEFT((_xll.BDP(A106,"DVD_DECLARED_DT")),4)="#N/A",NA(),(_xll.BDP(A106,"DVD_DECLARED_DT")))</f>
        <v/>
      </c>
      <c r="D106" s="22">
        <f>IF(LEFT((_xll.BDP(A106,"DVD_EX_DT")),4)="#N/A",NA(),(_xll.BDP(A106,"DVD_EX_DT")))</f>
        <v/>
      </c>
      <c r="E106" s="22">
        <f>IF(LEFT((_xll.BDP(A106,"DVD_SH_LAST")), 4) = "#N/A", NA(), (_xll.BDP(A106,"DVD_SH_LAST")))</f>
        <v/>
      </c>
      <c r="F106" s="22">
        <f>IF(LEFT((_xll.BDP(A106,"DVD_TYP_LAST")), 4) = "#N/A", NA(), (_xll.BDP(A106,"DVD_TYP_LAST")))</f>
        <v/>
      </c>
      <c r="G106" s="16">
        <f>IF(ISNUMBER(C106),IF(C106&gt;=Settings!$B$5,"Y","N"),"")</f>
        <v/>
      </c>
      <c r="H106" s="16">
        <f>IF(G106="Y",IF(ISNUMBER(SEARCH("Special",F106)),"SPECIAL DIVIDEND","NEW DIVIDEND"),IF(ISNUMBER(SEARCH("Special",F106)),"SPECIAL DIVIDEND",""))</f>
        <v/>
      </c>
    </row>
    <row r="107">
      <c r="A107" s="16">
        <f>'Rest Universe'!A108</f>
        <v/>
      </c>
      <c r="B107" s="22">
        <f>IFERROR(_xll.BDP(A107,"NAME"),"")</f>
        <v/>
      </c>
      <c r="C107" s="22">
        <f>IF(LEFT((_xll.BDP(A107,"DVD_DECLARED_DT")),4)="#N/A",NA(),(_xll.BDP(A107,"DVD_DECLARED_DT")))</f>
        <v/>
      </c>
      <c r="D107" s="22">
        <f>IF(LEFT((_xll.BDP(A107,"DVD_EX_DT")),4)="#N/A",NA(),(_xll.BDP(A107,"DVD_EX_DT")))</f>
        <v/>
      </c>
      <c r="E107" s="22">
        <f>IF(LEFT((_xll.BDP(A107,"DVD_SH_LAST")), 4) = "#N/A", NA(), (_xll.BDP(A107,"DVD_SH_LAST")))</f>
        <v/>
      </c>
      <c r="F107" s="22">
        <f>IF(LEFT((_xll.BDP(A107,"DVD_TYP_LAST")), 4) = "#N/A", NA(), (_xll.BDP(A107,"DVD_TYP_LAST")))</f>
        <v/>
      </c>
      <c r="G107" s="16">
        <f>IF(ISNUMBER(C107),IF(C107&gt;=Settings!$B$5,"Y","N"),"")</f>
        <v/>
      </c>
      <c r="H107" s="16">
        <f>IF(G107="Y",IF(ISNUMBER(SEARCH("Special",F107)),"SPECIAL DIVIDEND","NEW DIVIDEND"),IF(ISNUMBER(SEARCH("Special",F107)),"SPECIAL DIVIDEND",""))</f>
        <v/>
      </c>
    </row>
    <row r="108">
      <c r="A108" s="16">
        <f>'Rest Universe'!A109</f>
        <v/>
      </c>
      <c r="B108" s="22">
        <f>IFERROR(_xll.BDP(A108,"NAME"),"")</f>
        <v/>
      </c>
      <c r="C108" s="22">
        <f>IF(LEFT((_xll.BDP(A108,"DVD_DECLARED_DT")),4)="#N/A",NA(),(_xll.BDP(A108,"DVD_DECLARED_DT")))</f>
        <v/>
      </c>
      <c r="D108" s="22">
        <f>IF(LEFT((_xll.BDP(A108,"DVD_EX_DT")),4)="#N/A",NA(),(_xll.BDP(A108,"DVD_EX_DT")))</f>
        <v/>
      </c>
      <c r="E108" s="22">
        <f>IF(LEFT((_xll.BDP(A108,"DVD_SH_LAST")), 4) = "#N/A", NA(), (_xll.BDP(A108,"DVD_SH_LAST")))</f>
        <v/>
      </c>
      <c r="F108" s="22">
        <f>IF(LEFT((_xll.BDP(A108,"DVD_TYP_LAST")), 4) = "#N/A", NA(), (_xll.BDP(A108,"DVD_TYP_LAST")))</f>
        <v/>
      </c>
      <c r="G108" s="16">
        <f>IF(ISNUMBER(C108),IF(C108&gt;=Settings!$B$5,"Y","N"),"")</f>
        <v/>
      </c>
      <c r="H108" s="16">
        <f>IF(G108="Y",IF(ISNUMBER(SEARCH("Special",F108)),"SPECIAL DIVIDEND","NEW DIVIDEND"),IF(ISNUMBER(SEARCH("Special",F108)),"SPECIAL DIVIDEND",""))</f>
        <v/>
      </c>
    </row>
    <row r="109">
      <c r="A109" s="16">
        <f>'Rest Universe'!A110</f>
        <v/>
      </c>
      <c r="B109" s="22">
        <f>IFERROR(_xll.BDP(A109,"NAME"),"")</f>
        <v/>
      </c>
      <c r="C109" s="22">
        <f>IF(LEFT((_xll.BDP(A109,"DVD_DECLARED_DT")),4)="#N/A",NA(),(_xll.BDP(A109,"DVD_DECLARED_DT")))</f>
        <v/>
      </c>
      <c r="D109" s="22">
        <f>IF(LEFT((_xll.BDP(A109,"DVD_EX_DT")),4)="#N/A",NA(),(_xll.BDP(A109,"DVD_EX_DT")))</f>
        <v/>
      </c>
      <c r="E109" s="22">
        <f>IF(LEFT((_xll.BDP(A109,"DVD_SH_LAST")), 4) = "#N/A", NA(), (_xll.BDP(A109,"DVD_SH_LAST")))</f>
        <v/>
      </c>
      <c r="F109" s="22">
        <f>IF(LEFT((_xll.BDP(A109,"DVD_TYP_LAST")), 4) = "#N/A", NA(), (_xll.BDP(A109,"DVD_TYP_LAST")))</f>
        <v/>
      </c>
      <c r="G109" s="16">
        <f>IF(ISNUMBER(C109),IF(C109&gt;=Settings!$B$5,"Y","N"),"")</f>
        <v/>
      </c>
      <c r="H109" s="16">
        <f>IF(G109="Y",IF(ISNUMBER(SEARCH("Special",F109)),"SPECIAL DIVIDEND","NEW DIVIDEND"),IF(ISNUMBER(SEARCH("Special",F109)),"SPECIAL DIVIDEND",""))</f>
        <v/>
      </c>
    </row>
    <row r="110">
      <c r="A110" s="16">
        <f>'Rest Universe'!A111</f>
        <v/>
      </c>
      <c r="B110" s="22">
        <f>IFERROR(_xll.BDP(A110,"NAME"),"")</f>
        <v/>
      </c>
      <c r="C110" s="22">
        <f>IF(LEFT((_xll.BDP(A110,"DVD_DECLARED_DT")),4)="#N/A",NA(),(_xll.BDP(A110,"DVD_DECLARED_DT")))</f>
        <v/>
      </c>
      <c r="D110" s="22">
        <f>IF(LEFT((_xll.BDP(A110,"DVD_EX_DT")),4)="#N/A",NA(),(_xll.BDP(A110,"DVD_EX_DT")))</f>
        <v/>
      </c>
      <c r="E110" s="22">
        <f>IF(LEFT((_xll.BDP(A110,"DVD_SH_LAST")), 4) = "#N/A", NA(), (_xll.BDP(A110,"DVD_SH_LAST")))</f>
        <v/>
      </c>
      <c r="F110" s="22">
        <f>IF(LEFT((_xll.BDP(A110,"DVD_TYP_LAST")), 4) = "#N/A", NA(), (_xll.BDP(A110,"DVD_TYP_LAST")))</f>
        <v/>
      </c>
      <c r="G110" s="16">
        <f>IF(ISNUMBER(C110),IF(C110&gt;=Settings!$B$5,"Y","N"),"")</f>
        <v/>
      </c>
      <c r="H110" s="16">
        <f>IF(G110="Y",IF(ISNUMBER(SEARCH("Special",F110)),"SPECIAL DIVIDEND","NEW DIVIDEND"),IF(ISNUMBER(SEARCH("Special",F110)),"SPECIAL DIVIDEND",""))</f>
        <v/>
      </c>
    </row>
    <row r="111">
      <c r="A111" s="16">
        <f>'Rest Universe'!A112</f>
        <v/>
      </c>
      <c r="B111" s="22">
        <f>IFERROR(_xll.BDP(A111,"NAME"),"")</f>
        <v/>
      </c>
      <c r="C111" s="22">
        <f>IF(LEFT((_xll.BDP(A111,"DVD_DECLARED_DT")),4)="#N/A",NA(),(_xll.BDP(A111,"DVD_DECLARED_DT")))</f>
        <v/>
      </c>
      <c r="D111" s="22">
        <f>IF(LEFT((_xll.BDP(A111,"DVD_EX_DT")),4)="#N/A",NA(),(_xll.BDP(A111,"DVD_EX_DT")))</f>
        <v/>
      </c>
      <c r="E111" s="22">
        <f>IF(LEFT((_xll.BDP(A111,"DVD_SH_LAST")), 4) = "#N/A", NA(), (_xll.BDP(A111,"DVD_SH_LAST")))</f>
        <v/>
      </c>
      <c r="F111" s="22">
        <f>IF(LEFT((_xll.BDP(A111,"DVD_TYP_LAST")), 4) = "#N/A", NA(), (_xll.BDP(A111,"DVD_TYP_LAST")))</f>
        <v/>
      </c>
      <c r="G111" s="16">
        <f>IF(ISNUMBER(C111),IF(C111&gt;=Settings!$B$5,"Y","N"),"")</f>
        <v/>
      </c>
      <c r="H111" s="16">
        <f>IF(G111="Y",IF(ISNUMBER(SEARCH("Special",F111)),"SPECIAL DIVIDEND","NEW DIVIDEND"),IF(ISNUMBER(SEARCH("Special",F111)),"SPECIAL DIVIDEND",""))</f>
        <v/>
      </c>
    </row>
    <row r="112">
      <c r="A112" s="16">
        <f>'Rest Universe'!A113</f>
        <v/>
      </c>
      <c r="B112" s="22">
        <f>IFERROR(_xll.BDP(A112,"NAME"),"")</f>
        <v/>
      </c>
      <c r="C112" s="22">
        <f>IF(LEFT((_xll.BDP(A112,"DVD_DECLARED_DT")),4)="#N/A",NA(),(_xll.BDP(A112,"DVD_DECLARED_DT")))</f>
        <v/>
      </c>
      <c r="D112" s="22">
        <f>IF(LEFT((_xll.BDP(A112,"DVD_EX_DT")),4)="#N/A",NA(),(_xll.BDP(A112,"DVD_EX_DT")))</f>
        <v/>
      </c>
      <c r="E112" s="22">
        <f>IF(LEFT((_xll.BDP(A112,"DVD_SH_LAST")), 4) = "#N/A", NA(), (_xll.BDP(A112,"DVD_SH_LAST")))</f>
        <v/>
      </c>
      <c r="F112" s="22">
        <f>IF(LEFT((_xll.BDP(A112,"DVD_TYP_LAST")), 4) = "#N/A", NA(), (_xll.BDP(A112,"DVD_TYP_LAST")))</f>
        <v/>
      </c>
      <c r="G112" s="16">
        <f>IF(ISNUMBER(C112),IF(C112&gt;=Settings!$B$5,"Y","N"),"")</f>
        <v/>
      </c>
      <c r="H112" s="16">
        <f>IF(G112="Y",IF(ISNUMBER(SEARCH("Special",F112)),"SPECIAL DIVIDEND","NEW DIVIDEND"),IF(ISNUMBER(SEARCH("Special",F112)),"SPECIAL DIVIDEND",""))</f>
        <v/>
      </c>
    </row>
    <row r="113">
      <c r="A113" s="16">
        <f>'Rest Universe'!A114</f>
        <v/>
      </c>
      <c r="B113" s="22">
        <f>IFERROR(_xll.BDP(A113,"NAME"),"")</f>
        <v/>
      </c>
      <c r="C113" s="22">
        <f>IF(LEFT((_xll.BDP(A113,"DVD_DECLARED_DT")),4)="#N/A",NA(),(_xll.BDP(A113,"DVD_DECLARED_DT")))</f>
        <v/>
      </c>
      <c r="D113" s="22">
        <f>IF(LEFT((_xll.BDP(A113,"DVD_EX_DT")),4)="#N/A",NA(),(_xll.BDP(A113,"DVD_EX_DT")))</f>
        <v/>
      </c>
      <c r="E113" s="22">
        <f>IF(LEFT((_xll.BDP(A113,"DVD_SH_LAST")), 4) = "#N/A", NA(), (_xll.BDP(A113,"DVD_SH_LAST")))</f>
        <v/>
      </c>
      <c r="F113" s="22">
        <f>IF(LEFT((_xll.BDP(A113,"DVD_TYP_LAST")), 4) = "#N/A", NA(), (_xll.BDP(A113,"DVD_TYP_LAST")))</f>
        <v/>
      </c>
      <c r="G113" s="16">
        <f>IF(ISNUMBER(C113),IF(C113&gt;=Settings!$B$5,"Y","N"),"")</f>
        <v/>
      </c>
      <c r="H113" s="16">
        <f>IF(G113="Y",IF(ISNUMBER(SEARCH("Special",F113)),"SPECIAL DIVIDEND","NEW DIVIDEND"),IF(ISNUMBER(SEARCH("Special",F113)),"SPECIAL DIVIDEND",""))</f>
        <v/>
      </c>
    </row>
    <row r="114">
      <c r="A114" s="16">
        <f>'Rest Universe'!A115</f>
        <v/>
      </c>
      <c r="B114" s="22">
        <f>IFERROR(_xll.BDP(A114,"NAME"),"")</f>
        <v/>
      </c>
      <c r="C114" s="22">
        <f>IF(LEFT((_xll.BDP(A114,"DVD_DECLARED_DT")),4)="#N/A",NA(),(_xll.BDP(A114,"DVD_DECLARED_DT")))</f>
        <v/>
      </c>
      <c r="D114" s="22">
        <f>IF(LEFT((_xll.BDP(A114,"DVD_EX_DT")),4)="#N/A",NA(),(_xll.BDP(A114,"DVD_EX_DT")))</f>
        <v/>
      </c>
      <c r="E114" s="22">
        <f>IF(LEFT((_xll.BDP(A114,"DVD_SH_LAST")), 4) = "#N/A", NA(), (_xll.BDP(A114,"DVD_SH_LAST")))</f>
        <v/>
      </c>
      <c r="F114" s="22">
        <f>IF(LEFT((_xll.BDP(A114,"DVD_TYP_LAST")), 4) = "#N/A", NA(), (_xll.BDP(A114,"DVD_TYP_LAST")))</f>
        <v/>
      </c>
      <c r="G114" s="16">
        <f>IF(ISNUMBER(C114),IF(C114&gt;=Settings!$B$5,"Y","N"),"")</f>
        <v/>
      </c>
      <c r="H114" s="16">
        <f>IF(G114="Y",IF(ISNUMBER(SEARCH("Special",F114)),"SPECIAL DIVIDEND","NEW DIVIDEND"),IF(ISNUMBER(SEARCH("Special",F114)),"SPECIAL DIVIDEND",""))</f>
        <v/>
      </c>
    </row>
    <row r="115">
      <c r="A115" s="16">
        <f>'Rest Universe'!A116</f>
        <v/>
      </c>
      <c r="B115" s="22">
        <f>IFERROR(_xll.BDP(A115,"NAME"),"")</f>
        <v/>
      </c>
      <c r="C115" s="22">
        <f>IF(LEFT((_xll.BDP(A115,"DVD_DECLARED_DT")),4)="#N/A",NA(),(_xll.BDP(A115,"DVD_DECLARED_DT")))</f>
        <v/>
      </c>
      <c r="D115" s="22">
        <f>IF(LEFT((_xll.BDP(A115,"DVD_EX_DT")),4)="#N/A",NA(),(_xll.BDP(A115,"DVD_EX_DT")))</f>
        <v/>
      </c>
      <c r="E115" s="22">
        <f>IF(LEFT((_xll.BDP(A115,"DVD_SH_LAST")), 4) = "#N/A", NA(), (_xll.BDP(A115,"DVD_SH_LAST")))</f>
        <v/>
      </c>
      <c r="F115" s="22">
        <f>IF(LEFT((_xll.BDP(A115,"DVD_TYP_LAST")), 4) = "#N/A", NA(), (_xll.BDP(A115,"DVD_TYP_LAST")))</f>
        <v/>
      </c>
      <c r="G115" s="16">
        <f>IF(ISNUMBER(C115),IF(C115&gt;=Settings!$B$5,"Y","N"),"")</f>
        <v/>
      </c>
      <c r="H115" s="16">
        <f>IF(G115="Y",IF(ISNUMBER(SEARCH("Special",F115)),"SPECIAL DIVIDEND","NEW DIVIDEND"),IF(ISNUMBER(SEARCH("Special",F115)),"SPECIAL DIVIDEND",""))</f>
        <v/>
      </c>
    </row>
    <row r="116">
      <c r="A116" s="16">
        <f>'Rest Universe'!A117</f>
        <v/>
      </c>
      <c r="B116" s="22">
        <f>IFERROR(_xll.BDP(A116,"NAME"),"")</f>
        <v/>
      </c>
      <c r="C116" s="22">
        <f>IF(LEFT((_xll.BDP(A116,"DVD_DECLARED_DT")),4)="#N/A",NA(),(_xll.BDP(A116,"DVD_DECLARED_DT")))</f>
        <v/>
      </c>
      <c r="D116" s="22">
        <f>IF(LEFT((_xll.BDP(A116,"DVD_EX_DT")),4)="#N/A",NA(),(_xll.BDP(A116,"DVD_EX_DT")))</f>
        <v/>
      </c>
      <c r="E116" s="22">
        <f>IF(LEFT((_xll.BDP(A116,"DVD_SH_LAST")), 4) = "#N/A", NA(), (_xll.BDP(A116,"DVD_SH_LAST")))</f>
        <v/>
      </c>
      <c r="F116" s="22">
        <f>IF(LEFT((_xll.BDP(A116,"DVD_TYP_LAST")), 4) = "#N/A", NA(), (_xll.BDP(A116,"DVD_TYP_LAST")))</f>
        <v/>
      </c>
      <c r="G116" s="16">
        <f>IF(ISNUMBER(C116),IF(C116&gt;=Settings!$B$5,"Y","N"),"")</f>
        <v/>
      </c>
      <c r="H116" s="16">
        <f>IF(G116="Y",IF(ISNUMBER(SEARCH("Special",F116)),"SPECIAL DIVIDEND","NEW DIVIDEND"),IF(ISNUMBER(SEARCH("Special",F116)),"SPECIAL DIVIDEND",""))</f>
        <v/>
      </c>
    </row>
    <row r="117">
      <c r="A117" s="16">
        <f>'Rest Universe'!A118</f>
        <v/>
      </c>
      <c r="B117" s="22">
        <f>IFERROR(_xll.BDP(A117,"NAME"),"")</f>
        <v/>
      </c>
      <c r="C117" s="22">
        <f>IF(LEFT((_xll.BDP(A117,"DVD_DECLARED_DT")),4)="#N/A",NA(),(_xll.BDP(A117,"DVD_DECLARED_DT")))</f>
        <v/>
      </c>
      <c r="D117" s="22">
        <f>IF(LEFT((_xll.BDP(A117,"DVD_EX_DT")),4)="#N/A",NA(),(_xll.BDP(A117,"DVD_EX_DT")))</f>
        <v/>
      </c>
      <c r="E117" s="22">
        <f>IF(LEFT((_xll.BDP(A117,"DVD_SH_LAST")), 4) = "#N/A", NA(), (_xll.BDP(A117,"DVD_SH_LAST")))</f>
        <v/>
      </c>
      <c r="F117" s="22">
        <f>IF(LEFT((_xll.BDP(A117,"DVD_TYP_LAST")), 4) = "#N/A", NA(), (_xll.BDP(A117,"DVD_TYP_LAST")))</f>
        <v/>
      </c>
      <c r="G117" s="16">
        <f>IF(ISNUMBER(C117),IF(C117&gt;=Settings!$B$5,"Y","N"),"")</f>
        <v/>
      </c>
      <c r="H117" s="16">
        <f>IF(G117="Y",IF(ISNUMBER(SEARCH("Special",F117)),"SPECIAL DIVIDEND","NEW DIVIDEND"),IF(ISNUMBER(SEARCH("Special",F117)),"SPECIAL DIVIDEND",""))</f>
        <v/>
      </c>
    </row>
    <row r="118">
      <c r="A118" s="16">
        <f>'Rest Universe'!A119</f>
        <v/>
      </c>
      <c r="B118" s="22">
        <f>IFERROR(_xll.BDP(A118,"NAME"),"")</f>
        <v/>
      </c>
      <c r="C118" s="22">
        <f>IF(LEFT((_xll.BDP(A118,"DVD_DECLARED_DT")),4)="#N/A",NA(),(_xll.BDP(A118,"DVD_DECLARED_DT")))</f>
        <v/>
      </c>
      <c r="D118" s="22">
        <f>IF(LEFT((_xll.BDP(A118,"DVD_EX_DT")),4)="#N/A",NA(),(_xll.BDP(A118,"DVD_EX_DT")))</f>
        <v/>
      </c>
      <c r="E118" s="22">
        <f>IF(LEFT((_xll.BDP(A118,"DVD_SH_LAST")), 4) = "#N/A", NA(), (_xll.BDP(A118,"DVD_SH_LAST")))</f>
        <v/>
      </c>
      <c r="F118" s="22">
        <f>IF(LEFT((_xll.BDP(A118,"DVD_TYP_LAST")), 4) = "#N/A", NA(), (_xll.BDP(A118,"DVD_TYP_LAST")))</f>
        <v/>
      </c>
      <c r="G118" s="16">
        <f>IF(ISNUMBER(C118),IF(C118&gt;=Settings!$B$5,"Y","N"),"")</f>
        <v/>
      </c>
      <c r="H118" s="16">
        <f>IF(G118="Y",IF(ISNUMBER(SEARCH("Special",F118)),"SPECIAL DIVIDEND","NEW DIVIDEND"),IF(ISNUMBER(SEARCH("Special",F118)),"SPECIAL DIVIDEND",""))</f>
        <v/>
      </c>
    </row>
    <row r="119">
      <c r="A119" s="16">
        <f>'Rest Universe'!A120</f>
        <v/>
      </c>
      <c r="B119" s="22">
        <f>IFERROR(_xll.BDP(A119,"NAME"),"")</f>
        <v/>
      </c>
      <c r="C119" s="22">
        <f>IF(LEFT((_xll.BDP(A119,"DVD_DECLARED_DT")),4)="#N/A",NA(),(_xll.BDP(A119,"DVD_DECLARED_DT")))</f>
        <v/>
      </c>
      <c r="D119" s="22">
        <f>IF(LEFT((_xll.BDP(A119,"DVD_EX_DT")),4)="#N/A",NA(),(_xll.BDP(A119,"DVD_EX_DT")))</f>
        <v/>
      </c>
      <c r="E119" s="22">
        <f>IF(LEFT((_xll.BDP(A119,"DVD_SH_LAST")), 4) = "#N/A", NA(), (_xll.BDP(A119,"DVD_SH_LAST")))</f>
        <v/>
      </c>
      <c r="F119" s="22">
        <f>IF(LEFT((_xll.BDP(A119,"DVD_TYP_LAST")), 4) = "#N/A", NA(), (_xll.BDP(A119,"DVD_TYP_LAST")))</f>
        <v/>
      </c>
      <c r="G119" s="16">
        <f>IF(ISNUMBER(C119),IF(C119&gt;=Settings!$B$5,"Y","N"),"")</f>
        <v/>
      </c>
      <c r="H119" s="16">
        <f>IF(G119="Y",IF(ISNUMBER(SEARCH("Special",F119)),"SPECIAL DIVIDEND","NEW DIVIDEND"),IF(ISNUMBER(SEARCH("Special",F119)),"SPECIAL DIVIDEND",""))</f>
        <v/>
      </c>
    </row>
    <row r="120">
      <c r="A120" s="16">
        <f>'Rest Universe'!A121</f>
        <v/>
      </c>
      <c r="B120" s="22">
        <f>IFERROR(_xll.BDP(A120,"NAME"),"")</f>
        <v/>
      </c>
      <c r="C120" s="22">
        <f>IF(LEFT((_xll.BDP(A120,"DVD_DECLARED_DT")),4)="#N/A",NA(),(_xll.BDP(A120,"DVD_DECLARED_DT")))</f>
        <v/>
      </c>
      <c r="D120" s="22">
        <f>IF(LEFT((_xll.BDP(A120,"DVD_EX_DT")),4)="#N/A",NA(),(_xll.BDP(A120,"DVD_EX_DT")))</f>
        <v/>
      </c>
      <c r="E120" s="22">
        <f>IF(LEFT((_xll.BDP(A120,"DVD_SH_LAST")), 4) = "#N/A", NA(), (_xll.BDP(A120,"DVD_SH_LAST")))</f>
        <v/>
      </c>
      <c r="F120" s="22">
        <f>IF(LEFT((_xll.BDP(A120,"DVD_TYP_LAST")), 4) = "#N/A", NA(), (_xll.BDP(A120,"DVD_TYP_LAST")))</f>
        <v/>
      </c>
      <c r="G120" s="16">
        <f>IF(ISNUMBER(C120),IF(C120&gt;=Settings!$B$5,"Y","N"),"")</f>
        <v/>
      </c>
      <c r="H120" s="16">
        <f>IF(G120="Y",IF(ISNUMBER(SEARCH("Special",F120)),"SPECIAL DIVIDEND","NEW DIVIDEND"),IF(ISNUMBER(SEARCH("Special",F120)),"SPECIAL DIVIDEND",""))</f>
        <v/>
      </c>
    </row>
    <row r="121">
      <c r="A121" s="16">
        <f>'Rest Universe'!A122</f>
        <v/>
      </c>
      <c r="B121" s="22">
        <f>IFERROR(_xll.BDP(A121,"NAME"),"")</f>
        <v/>
      </c>
      <c r="C121" s="22">
        <f>IF(LEFT((_xll.BDP(A121,"DVD_DECLARED_DT")),4)="#N/A",NA(),(_xll.BDP(A121,"DVD_DECLARED_DT")))</f>
        <v/>
      </c>
      <c r="D121" s="22">
        <f>IF(LEFT((_xll.BDP(A121,"DVD_EX_DT")),4)="#N/A",NA(),(_xll.BDP(A121,"DVD_EX_DT")))</f>
        <v/>
      </c>
      <c r="E121" s="22">
        <f>IF(LEFT((_xll.BDP(A121,"DVD_SH_LAST")), 4) = "#N/A", NA(), (_xll.BDP(A121,"DVD_SH_LAST")))</f>
        <v/>
      </c>
      <c r="F121" s="22">
        <f>IF(LEFT((_xll.BDP(A121,"DVD_TYP_LAST")), 4) = "#N/A", NA(), (_xll.BDP(A121,"DVD_TYP_LAST")))</f>
        <v/>
      </c>
      <c r="G121" s="16">
        <f>IF(ISNUMBER(C121),IF(C121&gt;=Settings!$B$5,"Y","N"),"")</f>
        <v/>
      </c>
      <c r="H121" s="16">
        <f>IF(G121="Y",IF(ISNUMBER(SEARCH("Special",F121)),"SPECIAL DIVIDEND","NEW DIVIDEND"),IF(ISNUMBER(SEARCH("Special",F121)),"SPECIAL DIVIDEND",""))</f>
        <v/>
      </c>
    </row>
    <row r="122">
      <c r="A122" s="16">
        <f>'Rest Universe'!A123</f>
        <v/>
      </c>
      <c r="B122" s="22">
        <f>IFERROR(_xll.BDP(A122,"NAME"),"")</f>
        <v/>
      </c>
      <c r="C122" s="22">
        <f>IF(LEFT((_xll.BDP(A122,"DVD_DECLARED_DT")),4)="#N/A",NA(),(_xll.BDP(A122,"DVD_DECLARED_DT")))</f>
        <v/>
      </c>
      <c r="D122" s="22">
        <f>IF(LEFT((_xll.BDP(A122,"DVD_EX_DT")),4)="#N/A",NA(),(_xll.BDP(A122,"DVD_EX_DT")))</f>
        <v/>
      </c>
      <c r="E122" s="22">
        <f>IF(LEFT((_xll.BDP(A122,"DVD_SH_LAST")), 4) = "#N/A", NA(), (_xll.BDP(A122,"DVD_SH_LAST")))</f>
        <v/>
      </c>
      <c r="F122" s="22">
        <f>IF(LEFT((_xll.BDP(A122,"DVD_TYP_LAST")), 4) = "#N/A", NA(), (_xll.BDP(A122,"DVD_TYP_LAST")))</f>
        <v/>
      </c>
      <c r="G122" s="16">
        <f>IF(ISNUMBER(C122),IF(C122&gt;=Settings!$B$5,"Y","N"),"")</f>
        <v/>
      </c>
      <c r="H122" s="16">
        <f>IF(G122="Y",IF(ISNUMBER(SEARCH("Special",F122)),"SPECIAL DIVIDEND","NEW DIVIDEND"),IF(ISNUMBER(SEARCH("Special",F122)),"SPECIAL DIVIDEND",""))</f>
        <v/>
      </c>
    </row>
    <row r="123">
      <c r="A123" s="16">
        <f>'Rest Universe'!A124</f>
        <v/>
      </c>
      <c r="B123" s="22">
        <f>IFERROR(_xll.BDP(A123,"NAME"),"")</f>
        <v/>
      </c>
      <c r="C123" s="22">
        <f>IF(LEFT((_xll.BDP(A123,"DVD_DECLARED_DT")),4)="#N/A",NA(),(_xll.BDP(A123,"DVD_DECLARED_DT")))</f>
        <v/>
      </c>
      <c r="D123" s="22">
        <f>IF(LEFT((_xll.BDP(A123,"DVD_EX_DT")),4)="#N/A",NA(),(_xll.BDP(A123,"DVD_EX_DT")))</f>
        <v/>
      </c>
      <c r="E123" s="22">
        <f>IF(LEFT((_xll.BDP(A123,"DVD_SH_LAST")), 4) = "#N/A", NA(), (_xll.BDP(A123,"DVD_SH_LAST")))</f>
        <v/>
      </c>
      <c r="F123" s="22">
        <f>IF(LEFT((_xll.BDP(A123,"DVD_TYP_LAST")), 4) = "#N/A", NA(), (_xll.BDP(A123,"DVD_TYP_LAST")))</f>
        <v/>
      </c>
      <c r="G123" s="16">
        <f>IF(ISNUMBER(C123),IF(C123&gt;=Settings!$B$5,"Y","N"),"")</f>
        <v/>
      </c>
      <c r="H123" s="16">
        <f>IF(G123="Y",IF(ISNUMBER(SEARCH("Special",F123)),"SPECIAL DIVIDEND","NEW DIVIDEND"),IF(ISNUMBER(SEARCH("Special",F123)),"SPECIAL DIVIDEND",""))</f>
        <v/>
      </c>
    </row>
    <row r="124">
      <c r="A124" s="16">
        <f>'Rest Universe'!A125</f>
        <v/>
      </c>
      <c r="B124" s="22">
        <f>IFERROR(_xll.BDP(A124,"NAME"),"")</f>
        <v/>
      </c>
      <c r="C124" s="22">
        <f>IF(LEFT((_xll.BDP(A124,"DVD_DECLARED_DT")),4)="#N/A",NA(),(_xll.BDP(A124,"DVD_DECLARED_DT")))</f>
        <v/>
      </c>
      <c r="D124" s="22">
        <f>IF(LEFT((_xll.BDP(A124,"DVD_EX_DT")),4)="#N/A",NA(),(_xll.BDP(A124,"DVD_EX_DT")))</f>
        <v/>
      </c>
      <c r="E124" s="22">
        <f>IF(LEFT((_xll.BDP(A124,"DVD_SH_LAST")), 4) = "#N/A", NA(), (_xll.BDP(A124,"DVD_SH_LAST")))</f>
        <v/>
      </c>
      <c r="F124" s="22">
        <f>IF(LEFT((_xll.BDP(A124,"DVD_TYP_LAST")), 4) = "#N/A", NA(), (_xll.BDP(A124,"DVD_TYP_LAST")))</f>
        <v/>
      </c>
      <c r="G124" s="16">
        <f>IF(ISNUMBER(C124),IF(C124&gt;=Settings!$B$5,"Y","N"),"")</f>
        <v/>
      </c>
      <c r="H124" s="16">
        <f>IF(G124="Y",IF(ISNUMBER(SEARCH("Special",F124)),"SPECIAL DIVIDEND","NEW DIVIDEND"),IF(ISNUMBER(SEARCH("Special",F124)),"SPECIAL DIVIDEND",""))</f>
        <v/>
      </c>
    </row>
    <row r="125">
      <c r="A125" s="16">
        <f>'Rest Universe'!A126</f>
        <v/>
      </c>
      <c r="B125" s="22">
        <f>IFERROR(_xll.BDP(A125,"NAME"),"")</f>
        <v/>
      </c>
      <c r="C125" s="22">
        <f>IF(LEFT((_xll.BDP(A125,"DVD_DECLARED_DT")),4)="#N/A",NA(),(_xll.BDP(A125,"DVD_DECLARED_DT")))</f>
        <v/>
      </c>
      <c r="D125" s="22">
        <f>IF(LEFT((_xll.BDP(A125,"DVD_EX_DT")),4)="#N/A",NA(),(_xll.BDP(A125,"DVD_EX_DT")))</f>
        <v/>
      </c>
      <c r="E125" s="22">
        <f>IF(LEFT((_xll.BDP(A125,"DVD_SH_LAST")), 4) = "#N/A", NA(), (_xll.BDP(A125,"DVD_SH_LAST")))</f>
        <v/>
      </c>
      <c r="F125" s="22">
        <f>IF(LEFT((_xll.BDP(A125,"DVD_TYP_LAST")), 4) = "#N/A", NA(), (_xll.BDP(A125,"DVD_TYP_LAST")))</f>
        <v/>
      </c>
      <c r="G125" s="16">
        <f>IF(ISNUMBER(C125),IF(C125&gt;=Settings!$B$5,"Y","N"),"")</f>
        <v/>
      </c>
      <c r="H125" s="16">
        <f>IF(G125="Y",IF(ISNUMBER(SEARCH("Special",F125)),"SPECIAL DIVIDEND","NEW DIVIDEND"),IF(ISNUMBER(SEARCH("Special",F125)),"SPECIAL DIVIDEND",""))</f>
        <v/>
      </c>
    </row>
    <row r="126">
      <c r="A126" s="16">
        <f>'Rest Universe'!A127</f>
        <v/>
      </c>
      <c r="B126" s="22">
        <f>IFERROR(_xll.BDP(A126,"NAME"),"")</f>
        <v/>
      </c>
      <c r="C126" s="22">
        <f>IF(LEFT((_xll.BDP(A126,"DVD_DECLARED_DT")),4)="#N/A",NA(),(_xll.BDP(A126,"DVD_DECLARED_DT")))</f>
        <v/>
      </c>
      <c r="D126" s="22">
        <f>IF(LEFT((_xll.BDP(A126,"DVD_EX_DT")),4)="#N/A",NA(),(_xll.BDP(A126,"DVD_EX_DT")))</f>
        <v/>
      </c>
      <c r="E126" s="22">
        <f>IF(LEFT((_xll.BDP(A126,"DVD_SH_LAST")), 4) = "#N/A", NA(), (_xll.BDP(A126,"DVD_SH_LAST")))</f>
        <v/>
      </c>
      <c r="F126" s="22">
        <f>IF(LEFT((_xll.BDP(A126,"DVD_TYP_LAST")), 4) = "#N/A", NA(), (_xll.BDP(A126,"DVD_TYP_LAST")))</f>
        <v/>
      </c>
      <c r="G126" s="16">
        <f>IF(ISNUMBER(C126),IF(C126&gt;=Settings!$B$5,"Y","N"),"")</f>
        <v/>
      </c>
      <c r="H126" s="16">
        <f>IF(G126="Y",IF(ISNUMBER(SEARCH("Special",F126)),"SPECIAL DIVIDEND","NEW DIVIDEND"),IF(ISNUMBER(SEARCH("Special",F126)),"SPECIAL DIVIDEND",""))</f>
        <v/>
      </c>
    </row>
    <row r="127">
      <c r="A127" s="16">
        <f>'Rest Universe'!A128</f>
        <v/>
      </c>
      <c r="B127" s="22">
        <f>IFERROR(_xll.BDP(A127,"NAME"),"")</f>
        <v/>
      </c>
      <c r="C127" s="22">
        <f>IF(LEFT((_xll.BDP(A127,"DVD_DECLARED_DT")),4)="#N/A",NA(),(_xll.BDP(A127,"DVD_DECLARED_DT")))</f>
        <v/>
      </c>
      <c r="D127" s="22">
        <f>IF(LEFT((_xll.BDP(A127,"DVD_EX_DT")),4)="#N/A",NA(),(_xll.BDP(A127,"DVD_EX_DT")))</f>
        <v/>
      </c>
      <c r="E127" s="22">
        <f>IF(LEFT((_xll.BDP(A127,"DVD_SH_LAST")), 4) = "#N/A", NA(), (_xll.BDP(A127,"DVD_SH_LAST")))</f>
        <v/>
      </c>
      <c r="F127" s="22">
        <f>IF(LEFT((_xll.BDP(A127,"DVD_TYP_LAST")), 4) = "#N/A", NA(), (_xll.BDP(A127,"DVD_TYP_LAST")))</f>
        <v/>
      </c>
      <c r="G127" s="16">
        <f>IF(ISNUMBER(C127),IF(C127&gt;=Settings!$B$5,"Y","N"),"")</f>
        <v/>
      </c>
      <c r="H127" s="16">
        <f>IF(G127="Y",IF(ISNUMBER(SEARCH("Special",F127)),"SPECIAL DIVIDEND","NEW DIVIDEND"),IF(ISNUMBER(SEARCH("Special",F127)),"SPECIAL DIVIDEND",""))</f>
        <v/>
      </c>
    </row>
    <row r="128">
      <c r="A128" s="16">
        <f>'Rest Universe'!A129</f>
        <v/>
      </c>
      <c r="B128" s="22">
        <f>IFERROR(_xll.BDP(A128,"NAME"),"")</f>
        <v/>
      </c>
      <c r="C128" s="22">
        <f>IF(LEFT((_xll.BDP(A128,"DVD_DECLARED_DT")),4)="#N/A",NA(),(_xll.BDP(A128,"DVD_DECLARED_DT")))</f>
        <v/>
      </c>
      <c r="D128" s="22">
        <f>IF(LEFT((_xll.BDP(A128,"DVD_EX_DT")),4)="#N/A",NA(),(_xll.BDP(A128,"DVD_EX_DT")))</f>
        <v/>
      </c>
      <c r="E128" s="22">
        <f>IF(LEFT((_xll.BDP(A128,"DVD_SH_LAST")), 4) = "#N/A", NA(), (_xll.BDP(A128,"DVD_SH_LAST")))</f>
        <v/>
      </c>
      <c r="F128" s="22">
        <f>IF(LEFT((_xll.BDP(A128,"DVD_TYP_LAST")), 4) = "#N/A", NA(), (_xll.BDP(A128,"DVD_TYP_LAST")))</f>
        <v/>
      </c>
      <c r="G128" s="16">
        <f>IF(ISNUMBER(C128),IF(C128&gt;=Settings!$B$5,"Y","N"),"")</f>
        <v/>
      </c>
      <c r="H128" s="16">
        <f>IF(G128="Y",IF(ISNUMBER(SEARCH("Special",F128)),"SPECIAL DIVIDEND","NEW DIVIDEND"),IF(ISNUMBER(SEARCH("Special",F128)),"SPECIAL DIVIDEND",""))</f>
        <v/>
      </c>
    </row>
    <row r="129">
      <c r="A129" s="16">
        <f>'Rest Universe'!A130</f>
        <v/>
      </c>
      <c r="B129" s="22">
        <f>IFERROR(_xll.BDP(A129,"NAME"),"")</f>
        <v/>
      </c>
      <c r="C129" s="22">
        <f>IF(LEFT((_xll.BDP(A129,"DVD_DECLARED_DT")),4)="#N/A",NA(),(_xll.BDP(A129,"DVD_DECLARED_DT")))</f>
        <v/>
      </c>
      <c r="D129" s="22">
        <f>IF(LEFT((_xll.BDP(A129,"DVD_EX_DT")),4)="#N/A",NA(),(_xll.BDP(A129,"DVD_EX_DT")))</f>
        <v/>
      </c>
      <c r="E129" s="22">
        <f>IF(LEFT((_xll.BDP(A129,"DVD_SH_LAST")), 4) = "#N/A", NA(), (_xll.BDP(A129,"DVD_SH_LAST")))</f>
        <v/>
      </c>
      <c r="F129" s="22">
        <f>IF(LEFT((_xll.BDP(A129,"DVD_TYP_LAST")), 4) = "#N/A", NA(), (_xll.BDP(A129,"DVD_TYP_LAST")))</f>
        <v/>
      </c>
      <c r="G129" s="16">
        <f>IF(ISNUMBER(C129),IF(C129&gt;=Settings!$B$5,"Y","N"),"")</f>
        <v/>
      </c>
      <c r="H129" s="16">
        <f>IF(G129="Y",IF(ISNUMBER(SEARCH("Special",F129)),"SPECIAL DIVIDEND","NEW DIVIDEND"),IF(ISNUMBER(SEARCH("Special",F129)),"SPECIAL DIVIDEND",""))</f>
        <v/>
      </c>
    </row>
    <row r="130">
      <c r="A130" s="16">
        <f>'Rest Universe'!A131</f>
        <v/>
      </c>
      <c r="B130" s="22">
        <f>IFERROR(_xll.BDP(A130,"NAME"),"")</f>
        <v/>
      </c>
      <c r="C130" s="22">
        <f>IF(LEFT((_xll.BDP(A130,"DVD_DECLARED_DT")),4)="#N/A",NA(),(_xll.BDP(A130,"DVD_DECLARED_DT")))</f>
        <v/>
      </c>
      <c r="D130" s="22">
        <f>IF(LEFT((_xll.BDP(A130,"DVD_EX_DT")),4)="#N/A",NA(),(_xll.BDP(A130,"DVD_EX_DT")))</f>
        <v/>
      </c>
      <c r="E130" s="22">
        <f>IF(LEFT((_xll.BDP(A130,"DVD_SH_LAST")), 4) = "#N/A", NA(), (_xll.BDP(A130,"DVD_SH_LAST")))</f>
        <v/>
      </c>
      <c r="F130" s="22">
        <f>IF(LEFT((_xll.BDP(A130,"DVD_TYP_LAST")), 4) = "#N/A", NA(), (_xll.BDP(A130,"DVD_TYP_LAST")))</f>
        <v/>
      </c>
      <c r="G130" s="16">
        <f>IF(ISNUMBER(C130),IF(C130&gt;=Settings!$B$5,"Y","N"),"")</f>
        <v/>
      </c>
      <c r="H130" s="16">
        <f>IF(G130="Y",IF(ISNUMBER(SEARCH("Special",F130)),"SPECIAL DIVIDEND","NEW DIVIDEND"),IF(ISNUMBER(SEARCH("Special",F130)),"SPECIAL DIVIDEND",""))</f>
        <v/>
      </c>
    </row>
    <row r="131">
      <c r="A131" s="16">
        <f>'Rest Universe'!A132</f>
        <v/>
      </c>
      <c r="B131" s="22">
        <f>IFERROR(_xll.BDP(A131,"NAME"),"")</f>
        <v/>
      </c>
      <c r="C131" s="22">
        <f>IF(LEFT((_xll.BDP(A131,"DVD_DECLARED_DT")),4)="#N/A",NA(),(_xll.BDP(A131,"DVD_DECLARED_DT")))</f>
        <v/>
      </c>
      <c r="D131" s="22">
        <f>IF(LEFT((_xll.BDP(A131,"DVD_EX_DT")),4)="#N/A",NA(),(_xll.BDP(A131,"DVD_EX_DT")))</f>
        <v/>
      </c>
      <c r="E131" s="22">
        <f>IF(LEFT((_xll.BDP(A131,"DVD_SH_LAST")), 4) = "#N/A", NA(), (_xll.BDP(A131,"DVD_SH_LAST")))</f>
        <v/>
      </c>
      <c r="F131" s="22">
        <f>IF(LEFT((_xll.BDP(A131,"DVD_TYP_LAST")), 4) = "#N/A", NA(), (_xll.BDP(A131,"DVD_TYP_LAST")))</f>
        <v/>
      </c>
      <c r="G131" s="16">
        <f>IF(ISNUMBER(C131),IF(C131&gt;=Settings!$B$5,"Y","N"),"")</f>
        <v/>
      </c>
      <c r="H131" s="16">
        <f>IF(G131="Y",IF(ISNUMBER(SEARCH("Special",F131)),"SPECIAL DIVIDEND","NEW DIVIDEND"),IF(ISNUMBER(SEARCH("Special",F131)),"SPECIAL DIVIDEND",""))</f>
        <v/>
      </c>
    </row>
    <row r="132">
      <c r="A132" s="16">
        <f>'Rest Universe'!A133</f>
        <v/>
      </c>
      <c r="B132" s="22">
        <f>IFERROR(_xll.BDP(A132,"NAME"),"")</f>
        <v/>
      </c>
      <c r="C132" s="22">
        <f>IF(LEFT((_xll.BDP(A132,"DVD_DECLARED_DT")),4)="#N/A",NA(),(_xll.BDP(A132,"DVD_DECLARED_DT")))</f>
        <v/>
      </c>
      <c r="D132" s="22">
        <f>IF(LEFT((_xll.BDP(A132,"DVD_EX_DT")),4)="#N/A",NA(),(_xll.BDP(A132,"DVD_EX_DT")))</f>
        <v/>
      </c>
      <c r="E132" s="22">
        <f>IF(LEFT((_xll.BDP(A132,"DVD_SH_LAST")), 4) = "#N/A", NA(), (_xll.BDP(A132,"DVD_SH_LAST")))</f>
        <v/>
      </c>
      <c r="F132" s="22">
        <f>IF(LEFT((_xll.BDP(A132,"DVD_TYP_LAST")), 4) = "#N/A", NA(), (_xll.BDP(A132,"DVD_TYP_LAST")))</f>
        <v/>
      </c>
      <c r="G132" s="16">
        <f>IF(ISNUMBER(C132),IF(C132&gt;=Settings!$B$5,"Y","N"),"")</f>
        <v/>
      </c>
      <c r="H132" s="16">
        <f>IF(G132="Y",IF(ISNUMBER(SEARCH("Special",F132)),"SPECIAL DIVIDEND","NEW DIVIDEND"),IF(ISNUMBER(SEARCH("Special",F132)),"SPECIAL DIVIDEND",""))</f>
        <v/>
      </c>
    </row>
    <row r="133">
      <c r="A133" s="16">
        <f>'Rest Universe'!A134</f>
        <v/>
      </c>
      <c r="B133" s="22">
        <f>IFERROR(_xll.BDP(A133,"NAME"),"")</f>
        <v/>
      </c>
      <c r="C133" s="22">
        <f>IF(LEFT((_xll.BDP(A133,"DVD_DECLARED_DT")),4)="#N/A",NA(),(_xll.BDP(A133,"DVD_DECLARED_DT")))</f>
        <v/>
      </c>
      <c r="D133" s="22">
        <f>IF(LEFT((_xll.BDP(A133,"DVD_EX_DT")),4)="#N/A",NA(),(_xll.BDP(A133,"DVD_EX_DT")))</f>
        <v/>
      </c>
      <c r="E133" s="22">
        <f>IF(LEFT((_xll.BDP(A133,"DVD_SH_LAST")), 4) = "#N/A", NA(), (_xll.BDP(A133,"DVD_SH_LAST")))</f>
        <v/>
      </c>
      <c r="F133" s="22">
        <f>IF(LEFT((_xll.BDP(A133,"DVD_TYP_LAST")), 4) = "#N/A", NA(), (_xll.BDP(A133,"DVD_TYP_LAST")))</f>
        <v/>
      </c>
      <c r="G133" s="16">
        <f>IF(ISNUMBER(C133),IF(C133&gt;=Settings!$B$5,"Y","N"),"")</f>
        <v/>
      </c>
      <c r="H133" s="16">
        <f>IF(G133="Y",IF(ISNUMBER(SEARCH("Special",F133)),"SPECIAL DIVIDEND","NEW DIVIDEND"),IF(ISNUMBER(SEARCH("Special",F133)),"SPECIAL DIVIDEND",""))</f>
        <v/>
      </c>
    </row>
    <row r="134">
      <c r="A134" s="16">
        <f>'Rest Universe'!A135</f>
        <v/>
      </c>
      <c r="B134" s="22">
        <f>IFERROR(_xll.BDP(A134,"NAME"),"")</f>
        <v/>
      </c>
      <c r="C134" s="22">
        <f>IF(LEFT((_xll.BDP(A134,"DVD_DECLARED_DT")),4)="#N/A",NA(),(_xll.BDP(A134,"DVD_DECLARED_DT")))</f>
        <v/>
      </c>
      <c r="D134" s="22">
        <f>IF(LEFT((_xll.BDP(A134,"DVD_EX_DT")),4)="#N/A",NA(),(_xll.BDP(A134,"DVD_EX_DT")))</f>
        <v/>
      </c>
      <c r="E134" s="22">
        <f>IF(LEFT((_xll.BDP(A134,"DVD_SH_LAST")), 4) = "#N/A", NA(), (_xll.BDP(A134,"DVD_SH_LAST")))</f>
        <v/>
      </c>
      <c r="F134" s="22">
        <f>IF(LEFT((_xll.BDP(A134,"DVD_TYP_LAST")), 4) = "#N/A", NA(), (_xll.BDP(A134,"DVD_TYP_LAST")))</f>
        <v/>
      </c>
      <c r="G134" s="16">
        <f>IF(ISNUMBER(C134),IF(C134&gt;=Settings!$B$5,"Y","N"),"")</f>
        <v/>
      </c>
      <c r="H134" s="16">
        <f>IF(G134="Y",IF(ISNUMBER(SEARCH("Special",F134)),"SPECIAL DIVIDEND","NEW DIVIDEND"),IF(ISNUMBER(SEARCH("Special",F134)),"SPECIAL DIVIDEND",""))</f>
        <v/>
      </c>
    </row>
    <row r="135">
      <c r="A135" s="16">
        <f>'Rest Universe'!A136</f>
        <v/>
      </c>
      <c r="B135" s="22">
        <f>IFERROR(_xll.BDP(A135,"NAME"),"")</f>
        <v/>
      </c>
      <c r="C135" s="22">
        <f>IF(LEFT((_xll.BDP(A135,"DVD_DECLARED_DT")),4)="#N/A",NA(),(_xll.BDP(A135,"DVD_DECLARED_DT")))</f>
        <v/>
      </c>
      <c r="D135" s="22">
        <f>IF(LEFT((_xll.BDP(A135,"DVD_EX_DT")),4)="#N/A",NA(),(_xll.BDP(A135,"DVD_EX_DT")))</f>
        <v/>
      </c>
      <c r="E135" s="22">
        <f>IF(LEFT((_xll.BDP(A135,"DVD_SH_LAST")), 4) = "#N/A", NA(), (_xll.BDP(A135,"DVD_SH_LAST")))</f>
        <v/>
      </c>
      <c r="F135" s="22">
        <f>IF(LEFT((_xll.BDP(A135,"DVD_TYP_LAST")), 4) = "#N/A", NA(), (_xll.BDP(A135,"DVD_TYP_LAST")))</f>
        <v/>
      </c>
      <c r="G135" s="16">
        <f>IF(ISNUMBER(C135),IF(C135&gt;=Settings!$B$5,"Y","N"),"")</f>
        <v/>
      </c>
      <c r="H135" s="16">
        <f>IF(G135="Y",IF(ISNUMBER(SEARCH("Special",F135)),"SPECIAL DIVIDEND","NEW DIVIDEND"),IF(ISNUMBER(SEARCH("Special",F135)),"SPECIAL DIVIDEND",""))</f>
        <v/>
      </c>
    </row>
    <row r="136">
      <c r="A136" s="16">
        <f>'Rest Universe'!A137</f>
        <v/>
      </c>
      <c r="B136" s="22">
        <f>IFERROR(_xll.BDP(A136,"NAME"),"")</f>
        <v/>
      </c>
      <c r="C136" s="22">
        <f>IF(LEFT((_xll.BDP(A136,"DVD_DECLARED_DT")),4)="#N/A",NA(),(_xll.BDP(A136,"DVD_DECLARED_DT")))</f>
        <v/>
      </c>
      <c r="D136" s="22">
        <f>IF(LEFT((_xll.BDP(A136,"DVD_EX_DT")),4)="#N/A",NA(),(_xll.BDP(A136,"DVD_EX_DT")))</f>
        <v/>
      </c>
      <c r="E136" s="22">
        <f>IF(LEFT((_xll.BDP(A136,"DVD_SH_LAST")), 4) = "#N/A", NA(), (_xll.BDP(A136,"DVD_SH_LAST")))</f>
        <v/>
      </c>
      <c r="F136" s="22">
        <f>IF(LEFT((_xll.BDP(A136,"DVD_TYP_LAST")), 4) = "#N/A", NA(), (_xll.BDP(A136,"DVD_TYP_LAST")))</f>
        <v/>
      </c>
      <c r="G136" s="16">
        <f>IF(ISNUMBER(C136),IF(C136&gt;=Settings!$B$5,"Y","N"),"")</f>
        <v/>
      </c>
      <c r="H136" s="16">
        <f>IF(G136="Y",IF(ISNUMBER(SEARCH("Special",F136)),"SPECIAL DIVIDEND","NEW DIVIDEND"),IF(ISNUMBER(SEARCH("Special",F136)),"SPECIAL DIVIDEND",""))</f>
        <v/>
      </c>
    </row>
    <row r="137">
      <c r="A137" s="16">
        <f>'Rest Universe'!A138</f>
        <v/>
      </c>
      <c r="B137" s="22">
        <f>IFERROR(_xll.BDP(A137,"NAME"),"")</f>
        <v/>
      </c>
      <c r="C137" s="22">
        <f>IF(LEFT((_xll.BDP(A137,"DVD_DECLARED_DT")),4)="#N/A",NA(),(_xll.BDP(A137,"DVD_DECLARED_DT")))</f>
        <v/>
      </c>
      <c r="D137" s="22">
        <f>IF(LEFT((_xll.BDP(A137,"DVD_EX_DT")),4)="#N/A",NA(),(_xll.BDP(A137,"DVD_EX_DT")))</f>
        <v/>
      </c>
      <c r="E137" s="22">
        <f>IF(LEFT((_xll.BDP(A137,"DVD_SH_LAST")), 4) = "#N/A", NA(), (_xll.BDP(A137,"DVD_SH_LAST")))</f>
        <v/>
      </c>
      <c r="F137" s="22">
        <f>IF(LEFT((_xll.BDP(A137,"DVD_TYP_LAST")), 4) = "#N/A", NA(), (_xll.BDP(A137,"DVD_TYP_LAST")))</f>
        <v/>
      </c>
      <c r="G137" s="16">
        <f>IF(ISNUMBER(C137),IF(C137&gt;=Settings!$B$5,"Y","N"),"")</f>
        <v/>
      </c>
      <c r="H137" s="16">
        <f>IF(G137="Y",IF(ISNUMBER(SEARCH("Special",F137)),"SPECIAL DIVIDEND","NEW DIVIDEND"),IF(ISNUMBER(SEARCH("Special",F137)),"SPECIAL DIVIDEND",""))</f>
        <v/>
      </c>
    </row>
    <row r="138">
      <c r="A138" s="16">
        <f>'Rest Universe'!A139</f>
        <v/>
      </c>
      <c r="B138" s="22">
        <f>IFERROR(_xll.BDP(A138,"NAME"),"")</f>
        <v/>
      </c>
      <c r="C138" s="22">
        <f>IF(LEFT((_xll.BDP(A138,"DVD_DECLARED_DT")),4)="#N/A",NA(),(_xll.BDP(A138,"DVD_DECLARED_DT")))</f>
        <v/>
      </c>
      <c r="D138" s="22">
        <f>IF(LEFT((_xll.BDP(A138,"DVD_EX_DT")),4)="#N/A",NA(),(_xll.BDP(A138,"DVD_EX_DT")))</f>
        <v/>
      </c>
      <c r="E138" s="22">
        <f>IF(LEFT((_xll.BDP(A138,"DVD_SH_LAST")), 4) = "#N/A", NA(), (_xll.BDP(A138,"DVD_SH_LAST")))</f>
        <v/>
      </c>
      <c r="F138" s="22">
        <f>IF(LEFT((_xll.BDP(A138,"DVD_TYP_LAST")), 4) = "#N/A", NA(), (_xll.BDP(A138,"DVD_TYP_LAST")))</f>
        <v/>
      </c>
      <c r="G138" s="16">
        <f>IF(ISNUMBER(C138),IF(C138&gt;=Settings!$B$5,"Y","N"),"")</f>
        <v/>
      </c>
      <c r="H138" s="16">
        <f>IF(G138="Y",IF(ISNUMBER(SEARCH("Special",F138)),"SPECIAL DIVIDEND","NEW DIVIDEND"),IF(ISNUMBER(SEARCH("Special",F138)),"SPECIAL DIVIDEND",""))</f>
        <v/>
      </c>
    </row>
    <row r="139">
      <c r="A139" s="16">
        <f>'Rest Universe'!A140</f>
        <v/>
      </c>
      <c r="B139" s="22">
        <f>IFERROR(_xll.BDP(A139,"NAME"),"")</f>
        <v/>
      </c>
      <c r="C139" s="22">
        <f>IF(LEFT((_xll.BDP(A139,"DVD_DECLARED_DT")),4)="#N/A",NA(),(_xll.BDP(A139,"DVD_DECLARED_DT")))</f>
        <v/>
      </c>
      <c r="D139" s="22">
        <f>IF(LEFT((_xll.BDP(A139,"DVD_EX_DT")),4)="#N/A",NA(),(_xll.BDP(A139,"DVD_EX_DT")))</f>
        <v/>
      </c>
      <c r="E139" s="22">
        <f>IF(LEFT((_xll.BDP(A139,"DVD_SH_LAST")), 4) = "#N/A", NA(), (_xll.BDP(A139,"DVD_SH_LAST")))</f>
        <v/>
      </c>
      <c r="F139" s="22">
        <f>IF(LEFT((_xll.BDP(A139,"DVD_TYP_LAST")), 4) = "#N/A", NA(), (_xll.BDP(A139,"DVD_TYP_LAST")))</f>
        <v/>
      </c>
      <c r="G139" s="16">
        <f>IF(ISNUMBER(C139),IF(C139&gt;=Settings!$B$5,"Y","N"),"")</f>
        <v/>
      </c>
      <c r="H139" s="16">
        <f>IF(G139="Y",IF(ISNUMBER(SEARCH("Special",F139)),"SPECIAL DIVIDEND","NEW DIVIDEND"),IF(ISNUMBER(SEARCH("Special",F139)),"SPECIAL DIVIDEND",""))</f>
        <v/>
      </c>
    </row>
    <row r="140">
      <c r="A140" s="16">
        <f>'Rest Universe'!A141</f>
        <v/>
      </c>
      <c r="B140" s="22">
        <f>IFERROR(_xll.BDP(A140,"NAME"),"")</f>
        <v/>
      </c>
      <c r="C140" s="22">
        <f>IF(LEFT((_xll.BDP(A140,"DVD_DECLARED_DT")),4)="#N/A",NA(),(_xll.BDP(A140,"DVD_DECLARED_DT")))</f>
        <v/>
      </c>
      <c r="D140" s="22">
        <f>IF(LEFT((_xll.BDP(A140,"DVD_EX_DT")),4)="#N/A",NA(),(_xll.BDP(A140,"DVD_EX_DT")))</f>
        <v/>
      </c>
      <c r="E140" s="22">
        <f>IF(LEFT((_xll.BDP(A140,"DVD_SH_LAST")), 4) = "#N/A", NA(), (_xll.BDP(A140,"DVD_SH_LAST")))</f>
        <v/>
      </c>
      <c r="F140" s="22">
        <f>IF(LEFT((_xll.BDP(A140,"DVD_TYP_LAST")), 4) = "#N/A", NA(), (_xll.BDP(A140,"DVD_TYP_LAST")))</f>
        <v/>
      </c>
      <c r="G140" s="16">
        <f>IF(ISNUMBER(C140),IF(C140&gt;=Settings!$B$5,"Y","N"),"")</f>
        <v/>
      </c>
      <c r="H140" s="16">
        <f>IF(G140="Y",IF(ISNUMBER(SEARCH("Special",F140)),"SPECIAL DIVIDEND","NEW DIVIDEND"),IF(ISNUMBER(SEARCH("Special",F140)),"SPECIAL DIVIDEND",""))</f>
        <v/>
      </c>
    </row>
    <row r="141">
      <c r="A141" s="16">
        <f>'Rest Universe'!A142</f>
        <v/>
      </c>
      <c r="B141" s="22">
        <f>IFERROR(_xll.BDP(A141,"NAME"),"")</f>
        <v/>
      </c>
      <c r="C141" s="22">
        <f>IF(LEFT((_xll.BDP(A141,"DVD_DECLARED_DT")),4)="#N/A",NA(),(_xll.BDP(A141,"DVD_DECLARED_DT")))</f>
        <v/>
      </c>
      <c r="D141" s="22">
        <f>IF(LEFT((_xll.BDP(A141,"DVD_EX_DT")),4)="#N/A",NA(),(_xll.BDP(A141,"DVD_EX_DT")))</f>
        <v/>
      </c>
      <c r="E141" s="22">
        <f>IF(LEFT((_xll.BDP(A141,"DVD_SH_LAST")), 4) = "#N/A", NA(), (_xll.BDP(A141,"DVD_SH_LAST")))</f>
        <v/>
      </c>
      <c r="F141" s="22">
        <f>IF(LEFT((_xll.BDP(A141,"DVD_TYP_LAST")), 4) = "#N/A", NA(), (_xll.BDP(A141,"DVD_TYP_LAST")))</f>
        <v/>
      </c>
      <c r="G141" s="16">
        <f>IF(ISNUMBER(C141),IF(C141&gt;=Settings!$B$5,"Y","N"),"")</f>
        <v/>
      </c>
      <c r="H141" s="16">
        <f>IF(G141="Y",IF(ISNUMBER(SEARCH("Special",F141)),"SPECIAL DIVIDEND","NEW DIVIDEND"),IF(ISNUMBER(SEARCH("Special",F141)),"SPECIAL DIVIDEND",""))</f>
        <v/>
      </c>
    </row>
    <row r="142">
      <c r="A142" s="16">
        <f>'Rest Universe'!A143</f>
        <v/>
      </c>
      <c r="B142" s="22">
        <f>IFERROR(_xll.BDP(A142,"NAME"),"")</f>
        <v/>
      </c>
      <c r="C142" s="22">
        <f>IF(LEFT((_xll.BDP(A142,"DVD_DECLARED_DT")),4)="#N/A",NA(),(_xll.BDP(A142,"DVD_DECLARED_DT")))</f>
        <v/>
      </c>
      <c r="D142" s="22">
        <f>IF(LEFT((_xll.BDP(A142,"DVD_EX_DT")),4)="#N/A",NA(),(_xll.BDP(A142,"DVD_EX_DT")))</f>
        <v/>
      </c>
      <c r="E142" s="22">
        <f>IF(LEFT((_xll.BDP(A142,"DVD_SH_LAST")), 4) = "#N/A", NA(), (_xll.BDP(A142,"DVD_SH_LAST")))</f>
        <v/>
      </c>
      <c r="F142" s="22">
        <f>IF(LEFT((_xll.BDP(A142,"DVD_TYP_LAST")), 4) = "#N/A", NA(), (_xll.BDP(A142,"DVD_TYP_LAST")))</f>
        <v/>
      </c>
      <c r="G142" s="16">
        <f>IF(ISNUMBER(C142),IF(C142&gt;=Settings!$B$5,"Y","N"),"")</f>
        <v/>
      </c>
      <c r="H142" s="16">
        <f>IF(G142="Y",IF(ISNUMBER(SEARCH("Special",F142)),"SPECIAL DIVIDEND","NEW DIVIDEND"),IF(ISNUMBER(SEARCH("Special",F142)),"SPECIAL DIVIDEND",""))</f>
        <v/>
      </c>
    </row>
    <row r="143">
      <c r="A143" s="16">
        <f>'Rest Universe'!A144</f>
        <v/>
      </c>
      <c r="B143" s="22">
        <f>IFERROR(_xll.BDP(A143,"NAME"),"")</f>
        <v/>
      </c>
      <c r="C143" s="22">
        <f>IF(LEFT((_xll.BDP(A143,"DVD_DECLARED_DT")),4)="#N/A",NA(),(_xll.BDP(A143,"DVD_DECLARED_DT")))</f>
        <v/>
      </c>
      <c r="D143" s="22">
        <f>IF(LEFT((_xll.BDP(A143,"DVD_EX_DT")),4)="#N/A",NA(),(_xll.BDP(A143,"DVD_EX_DT")))</f>
        <v/>
      </c>
      <c r="E143" s="22">
        <f>IF(LEFT((_xll.BDP(A143,"DVD_SH_LAST")), 4) = "#N/A", NA(), (_xll.BDP(A143,"DVD_SH_LAST")))</f>
        <v/>
      </c>
      <c r="F143" s="22">
        <f>IF(LEFT((_xll.BDP(A143,"DVD_TYP_LAST")), 4) = "#N/A", NA(), (_xll.BDP(A143,"DVD_TYP_LAST")))</f>
        <v/>
      </c>
      <c r="G143" s="16">
        <f>IF(ISNUMBER(C143),IF(C143&gt;=Settings!$B$5,"Y","N"),"")</f>
        <v/>
      </c>
      <c r="H143" s="16">
        <f>IF(G143="Y",IF(ISNUMBER(SEARCH("Special",F143)),"SPECIAL DIVIDEND","NEW DIVIDEND"),IF(ISNUMBER(SEARCH("Special",F143)),"SPECIAL DIVIDEND",""))</f>
        <v/>
      </c>
    </row>
    <row r="144">
      <c r="A144" s="16">
        <f>'Rest Universe'!A145</f>
        <v/>
      </c>
      <c r="B144" s="22">
        <f>IFERROR(_xll.BDP(A144,"NAME"),"")</f>
        <v/>
      </c>
      <c r="C144" s="22">
        <f>IF(LEFT((_xll.BDP(A144,"DVD_DECLARED_DT")),4)="#N/A",NA(),(_xll.BDP(A144,"DVD_DECLARED_DT")))</f>
        <v/>
      </c>
      <c r="D144" s="22">
        <f>IF(LEFT((_xll.BDP(A144,"DVD_EX_DT")),4)="#N/A",NA(),(_xll.BDP(A144,"DVD_EX_DT")))</f>
        <v/>
      </c>
      <c r="E144" s="22">
        <f>IF(LEFT((_xll.BDP(A144,"DVD_SH_LAST")), 4) = "#N/A", NA(), (_xll.BDP(A144,"DVD_SH_LAST")))</f>
        <v/>
      </c>
      <c r="F144" s="22">
        <f>IF(LEFT((_xll.BDP(A144,"DVD_TYP_LAST")), 4) = "#N/A", NA(), (_xll.BDP(A144,"DVD_TYP_LAST")))</f>
        <v/>
      </c>
      <c r="G144" s="16">
        <f>IF(ISNUMBER(C144),IF(C144&gt;=Settings!$B$5,"Y","N"),"")</f>
        <v/>
      </c>
      <c r="H144" s="16">
        <f>IF(G144="Y",IF(ISNUMBER(SEARCH("Special",F144)),"SPECIAL DIVIDEND","NEW DIVIDEND"),IF(ISNUMBER(SEARCH("Special",F144)),"SPECIAL DIVIDEND",""))</f>
        <v/>
      </c>
    </row>
    <row r="145">
      <c r="A145" s="16">
        <f>'Rest Universe'!A146</f>
        <v/>
      </c>
      <c r="B145" s="22">
        <f>IFERROR(_xll.BDP(A145,"NAME"),"")</f>
        <v/>
      </c>
      <c r="C145" s="22">
        <f>IF(LEFT((_xll.BDP(A145,"DVD_DECLARED_DT")),4)="#N/A",NA(),(_xll.BDP(A145,"DVD_DECLARED_DT")))</f>
        <v/>
      </c>
      <c r="D145" s="22">
        <f>IF(LEFT((_xll.BDP(A145,"DVD_EX_DT")),4)="#N/A",NA(),(_xll.BDP(A145,"DVD_EX_DT")))</f>
        <v/>
      </c>
      <c r="E145" s="22">
        <f>IF(LEFT((_xll.BDP(A145,"DVD_SH_LAST")), 4) = "#N/A", NA(), (_xll.BDP(A145,"DVD_SH_LAST")))</f>
        <v/>
      </c>
      <c r="F145" s="22">
        <f>IF(LEFT((_xll.BDP(A145,"DVD_TYP_LAST")), 4) = "#N/A", NA(), (_xll.BDP(A145,"DVD_TYP_LAST")))</f>
        <v/>
      </c>
      <c r="G145" s="16">
        <f>IF(ISNUMBER(C145),IF(C145&gt;=Settings!$B$5,"Y","N"),"")</f>
        <v/>
      </c>
      <c r="H145" s="16">
        <f>IF(G145="Y",IF(ISNUMBER(SEARCH("Special",F145)),"SPECIAL DIVIDEND","NEW DIVIDEND"),IF(ISNUMBER(SEARCH("Special",F145)),"SPECIAL DIVIDEND",""))</f>
        <v/>
      </c>
    </row>
    <row r="146">
      <c r="A146" s="16">
        <f>'Rest Universe'!A147</f>
        <v/>
      </c>
      <c r="B146" s="22">
        <f>IFERROR(_xll.BDP(A146,"NAME"),"")</f>
        <v/>
      </c>
      <c r="C146" s="22">
        <f>IF(LEFT((_xll.BDP(A146,"DVD_DECLARED_DT")),4)="#N/A",NA(),(_xll.BDP(A146,"DVD_DECLARED_DT")))</f>
        <v/>
      </c>
      <c r="D146" s="22">
        <f>IF(LEFT((_xll.BDP(A146,"DVD_EX_DT")),4)="#N/A",NA(),(_xll.BDP(A146,"DVD_EX_DT")))</f>
        <v/>
      </c>
      <c r="E146" s="22">
        <f>IF(LEFT((_xll.BDP(A146,"DVD_SH_LAST")), 4) = "#N/A", NA(), (_xll.BDP(A146,"DVD_SH_LAST")))</f>
        <v/>
      </c>
      <c r="F146" s="22">
        <f>IF(LEFT((_xll.BDP(A146,"DVD_TYP_LAST")), 4) = "#N/A", NA(), (_xll.BDP(A146,"DVD_TYP_LAST")))</f>
        <v/>
      </c>
      <c r="G146" s="16">
        <f>IF(ISNUMBER(C146),IF(C146&gt;=Settings!$B$5,"Y","N"),"")</f>
        <v/>
      </c>
      <c r="H146" s="16">
        <f>IF(G146="Y",IF(ISNUMBER(SEARCH("Special",F146)),"SPECIAL DIVIDEND","NEW DIVIDEND"),IF(ISNUMBER(SEARCH("Special",F146)),"SPECIAL DIVIDEND",""))</f>
        <v/>
      </c>
    </row>
    <row r="147">
      <c r="A147" s="16">
        <f>'Rest Universe'!A148</f>
        <v/>
      </c>
      <c r="B147" s="22">
        <f>IFERROR(_xll.BDP(A147,"NAME"),"")</f>
        <v/>
      </c>
      <c r="C147" s="22">
        <f>IF(LEFT((_xll.BDP(A147,"DVD_DECLARED_DT")),4)="#N/A",NA(),(_xll.BDP(A147,"DVD_DECLARED_DT")))</f>
        <v/>
      </c>
      <c r="D147" s="22">
        <f>IF(LEFT((_xll.BDP(A147,"DVD_EX_DT")),4)="#N/A",NA(),(_xll.BDP(A147,"DVD_EX_DT")))</f>
        <v/>
      </c>
      <c r="E147" s="22">
        <f>IF(LEFT((_xll.BDP(A147,"DVD_SH_LAST")), 4) = "#N/A", NA(), (_xll.BDP(A147,"DVD_SH_LAST")))</f>
        <v/>
      </c>
      <c r="F147" s="22">
        <f>IF(LEFT((_xll.BDP(A147,"DVD_TYP_LAST")), 4) = "#N/A", NA(), (_xll.BDP(A147,"DVD_TYP_LAST")))</f>
        <v/>
      </c>
      <c r="G147" s="16">
        <f>IF(ISNUMBER(C147),IF(C147&gt;=Settings!$B$5,"Y","N"),"")</f>
        <v/>
      </c>
      <c r="H147" s="16">
        <f>IF(G147="Y",IF(ISNUMBER(SEARCH("Special",F147)),"SPECIAL DIVIDEND","NEW DIVIDEND"),IF(ISNUMBER(SEARCH("Special",F147)),"SPECIAL DIVIDEND",""))</f>
        <v/>
      </c>
    </row>
    <row r="148">
      <c r="A148" s="16">
        <f>'Rest Universe'!A149</f>
        <v/>
      </c>
      <c r="B148" s="22">
        <f>IFERROR(_xll.BDP(A148,"NAME"),"")</f>
        <v/>
      </c>
      <c r="C148" s="22">
        <f>IF(LEFT((_xll.BDP(A148,"DVD_DECLARED_DT")),4)="#N/A",NA(),(_xll.BDP(A148,"DVD_DECLARED_DT")))</f>
        <v/>
      </c>
      <c r="D148" s="22">
        <f>IF(LEFT((_xll.BDP(A148,"DVD_EX_DT")),4)="#N/A",NA(),(_xll.BDP(A148,"DVD_EX_DT")))</f>
        <v/>
      </c>
      <c r="E148" s="22">
        <f>IF(LEFT((_xll.BDP(A148,"DVD_SH_LAST")), 4) = "#N/A", NA(), (_xll.BDP(A148,"DVD_SH_LAST")))</f>
        <v/>
      </c>
      <c r="F148" s="22">
        <f>IF(LEFT((_xll.BDP(A148,"DVD_TYP_LAST")), 4) = "#N/A", NA(), (_xll.BDP(A148,"DVD_TYP_LAST")))</f>
        <v/>
      </c>
      <c r="G148" s="16">
        <f>IF(ISNUMBER(C148),IF(C148&gt;=Settings!$B$5,"Y","N"),"")</f>
        <v/>
      </c>
      <c r="H148" s="16">
        <f>IF(G148="Y",IF(ISNUMBER(SEARCH("Special",F148)),"SPECIAL DIVIDEND","NEW DIVIDEND"),IF(ISNUMBER(SEARCH("Special",F148)),"SPECIAL DIVIDEND",""))</f>
        <v/>
      </c>
    </row>
    <row r="149">
      <c r="A149" s="16">
        <f>'Rest Universe'!A150</f>
        <v/>
      </c>
      <c r="B149" s="22">
        <f>IFERROR(_xll.BDP(A149,"NAME"),"")</f>
        <v/>
      </c>
      <c r="C149" s="22">
        <f>IF(LEFT((_xll.BDP(A149,"DVD_DECLARED_DT")),4)="#N/A",NA(),(_xll.BDP(A149,"DVD_DECLARED_DT")))</f>
        <v/>
      </c>
      <c r="D149" s="22">
        <f>IF(LEFT((_xll.BDP(A149,"DVD_EX_DT")),4)="#N/A",NA(),(_xll.BDP(A149,"DVD_EX_DT")))</f>
        <v/>
      </c>
      <c r="E149" s="22">
        <f>IF(LEFT((_xll.BDP(A149,"DVD_SH_LAST")), 4) = "#N/A", NA(), (_xll.BDP(A149,"DVD_SH_LAST")))</f>
        <v/>
      </c>
      <c r="F149" s="22">
        <f>IF(LEFT((_xll.BDP(A149,"DVD_TYP_LAST")), 4) = "#N/A", NA(), (_xll.BDP(A149,"DVD_TYP_LAST")))</f>
        <v/>
      </c>
      <c r="G149" s="16">
        <f>IF(ISNUMBER(C149),IF(C149&gt;=Settings!$B$5,"Y","N"),"")</f>
        <v/>
      </c>
      <c r="H149" s="16">
        <f>IF(G149="Y",IF(ISNUMBER(SEARCH("Special",F149)),"SPECIAL DIVIDEND","NEW DIVIDEND"),IF(ISNUMBER(SEARCH("Special",F149)),"SPECIAL DIVIDEND",""))</f>
        <v/>
      </c>
    </row>
    <row r="150">
      <c r="A150" s="16">
        <f>'Rest Universe'!A151</f>
        <v/>
      </c>
      <c r="B150" s="22">
        <f>IFERROR(_xll.BDP(A150,"NAME"),"")</f>
        <v/>
      </c>
      <c r="C150" s="22">
        <f>IF(LEFT((_xll.BDP(A150,"DVD_DECLARED_DT")),4)="#N/A",NA(),(_xll.BDP(A150,"DVD_DECLARED_DT")))</f>
        <v/>
      </c>
      <c r="D150" s="22">
        <f>IF(LEFT((_xll.BDP(A150,"DVD_EX_DT")),4)="#N/A",NA(),(_xll.BDP(A150,"DVD_EX_DT")))</f>
        <v/>
      </c>
      <c r="E150" s="22">
        <f>IF(LEFT((_xll.BDP(A150,"DVD_SH_LAST")), 4) = "#N/A", NA(), (_xll.BDP(A150,"DVD_SH_LAST")))</f>
        <v/>
      </c>
      <c r="F150" s="22">
        <f>IF(LEFT((_xll.BDP(A150,"DVD_TYP_LAST")), 4) = "#N/A", NA(), (_xll.BDP(A150,"DVD_TYP_LAST")))</f>
        <v/>
      </c>
      <c r="G150" s="16">
        <f>IF(ISNUMBER(C150),IF(C150&gt;=Settings!$B$5,"Y","N"),"")</f>
        <v/>
      </c>
      <c r="H150" s="16">
        <f>IF(G150="Y",IF(ISNUMBER(SEARCH("Special",F150)),"SPECIAL DIVIDEND","NEW DIVIDEND"),IF(ISNUMBER(SEARCH("Special",F150)),"SPECIAL DIVIDEND",""))</f>
        <v/>
      </c>
    </row>
    <row r="151">
      <c r="A151" s="16">
        <f>'Rest Universe'!A152</f>
        <v/>
      </c>
      <c r="B151" s="22">
        <f>IFERROR(_xll.BDP(A151,"NAME"),"")</f>
        <v/>
      </c>
      <c r="C151" s="22">
        <f>IF(LEFT((_xll.BDP(A151,"DVD_DECLARED_DT")),4)="#N/A",NA(),(_xll.BDP(A151,"DVD_DECLARED_DT")))</f>
        <v/>
      </c>
      <c r="D151" s="22">
        <f>IF(LEFT((_xll.BDP(A151,"DVD_EX_DT")),4)="#N/A",NA(),(_xll.BDP(A151,"DVD_EX_DT")))</f>
        <v/>
      </c>
      <c r="E151" s="22">
        <f>IF(LEFT((_xll.BDP(A151,"DVD_SH_LAST")), 4) = "#N/A", NA(), (_xll.BDP(A151,"DVD_SH_LAST")))</f>
        <v/>
      </c>
      <c r="F151" s="22">
        <f>IF(LEFT((_xll.BDP(A151,"DVD_TYP_LAST")), 4) = "#N/A", NA(), (_xll.BDP(A151,"DVD_TYP_LAST")))</f>
        <v/>
      </c>
      <c r="G151" s="16">
        <f>IF(ISNUMBER(C151),IF(C151&gt;=Settings!$B$5,"Y","N"),"")</f>
        <v/>
      </c>
      <c r="H151" s="16">
        <f>IF(G151="Y",IF(ISNUMBER(SEARCH("Special",F151)),"SPECIAL DIVIDEND","NEW DIVIDEND"),IF(ISNUMBER(SEARCH("Special",F151)),"SPECIAL DIVIDEND",""))</f>
        <v/>
      </c>
    </row>
    <row r="152">
      <c r="A152" s="16">
        <f>'Rest Universe'!A153</f>
        <v/>
      </c>
      <c r="B152" s="22">
        <f>IFERROR(_xll.BDP(A152,"NAME"),"")</f>
        <v/>
      </c>
      <c r="C152" s="22">
        <f>IF(LEFT((_xll.BDP(A152,"DVD_DECLARED_DT")),4)="#N/A",NA(),(_xll.BDP(A152,"DVD_DECLARED_DT")))</f>
        <v/>
      </c>
      <c r="D152" s="22">
        <f>IF(LEFT((_xll.BDP(A152,"DVD_EX_DT")),4)="#N/A",NA(),(_xll.BDP(A152,"DVD_EX_DT")))</f>
        <v/>
      </c>
      <c r="E152" s="22">
        <f>IF(LEFT((_xll.BDP(A152,"DVD_SH_LAST")), 4) = "#N/A", NA(), (_xll.BDP(A152,"DVD_SH_LAST")))</f>
        <v/>
      </c>
      <c r="F152" s="22">
        <f>IF(LEFT((_xll.BDP(A152,"DVD_TYP_LAST")), 4) = "#N/A", NA(), (_xll.BDP(A152,"DVD_TYP_LAST")))</f>
        <v/>
      </c>
      <c r="G152" s="16">
        <f>IF(ISNUMBER(C152),IF(C152&gt;=Settings!$B$5,"Y","N"),"")</f>
        <v/>
      </c>
      <c r="H152" s="16">
        <f>IF(G152="Y",IF(ISNUMBER(SEARCH("Special",F152)),"SPECIAL DIVIDEND","NEW DIVIDEND"),IF(ISNUMBER(SEARCH("Special",F152)),"SPECIAL DIVIDEND",""))</f>
        <v/>
      </c>
    </row>
    <row r="153">
      <c r="A153" s="16">
        <f>'Rest Universe'!A154</f>
        <v/>
      </c>
      <c r="B153" s="22">
        <f>IFERROR(_xll.BDP(A153,"NAME"),"")</f>
        <v/>
      </c>
      <c r="C153" s="22">
        <f>IF(LEFT((_xll.BDP(A153,"DVD_DECLARED_DT")),4)="#N/A",NA(),(_xll.BDP(A153,"DVD_DECLARED_DT")))</f>
        <v/>
      </c>
      <c r="D153" s="22">
        <f>IF(LEFT((_xll.BDP(A153,"DVD_EX_DT")),4)="#N/A",NA(),(_xll.BDP(A153,"DVD_EX_DT")))</f>
        <v/>
      </c>
      <c r="E153" s="22">
        <f>IF(LEFT((_xll.BDP(A153,"DVD_SH_LAST")), 4) = "#N/A", NA(), (_xll.BDP(A153,"DVD_SH_LAST")))</f>
        <v/>
      </c>
      <c r="F153" s="22">
        <f>IF(LEFT((_xll.BDP(A153,"DVD_TYP_LAST")), 4) = "#N/A", NA(), (_xll.BDP(A153,"DVD_TYP_LAST")))</f>
        <v/>
      </c>
      <c r="G153" s="16">
        <f>IF(ISNUMBER(C153),IF(C153&gt;=Settings!$B$5,"Y","N"),"")</f>
        <v/>
      </c>
      <c r="H153" s="16">
        <f>IF(G153="Y",IF(ISNUMBER(SEARCH("Special",F153)),"SPECIAL DIVIDEND","NEW DIVIDEND"),IF(ISNUMBER(SEARCH("Special",F153)),"SPECIAL DIVIDEND",""))</f>
        <v/>
      </c>
    </row>
    <row r="154">
      <c r="A154" s="16">
        <f>'Rest Universe'!A155</f>
        <v/>
      </c>
      <c r="B154" s="22">
        <f>IFERROR(_xll.BDP(A154,"NAME"),"")</f>
        <v/>
      </c>
      <c r="C154" s="22">
        <f>IF(LEFT((_xll.BDP(A154,"DVD_DECLARED_DT")),4)="#N/A",NA(),(_xll.BDP(A154,"DVD_DECLARED_DT")))</f>
        <v/>
      </c>
      <c r="D154" s="22">
        <f>IF(LEFT((_xll.BDP(A154,"DVD_EX_DT")),4)="#N/A",NA(),(_xll.BDP(A154,"DVD_EX_DT")))</f>
        <v/>
      </c>
      <c r="E154" s="22">
        <f>IF(LEFT((_xll.BDP(A154,"DVD_SH_LAST")), 4) = "#N/A", NA(), (_xll.BDP(A154,"DVD_SH_LAST")))</f>
        <v/>
      </c>
      <c r="F154" s="22">
        <f>IF(LEFT((_xll.BDP(A154,"DVD_TYP_LAST")), 4) = "#N/A", NA(), (_xll.BDP(A154,"DVD_TYP_LAST")))</f>
        <v/>
      </c>
      <c r="G154" s="16">
        <f>IF(ISNUMBER(C154),IF(C154&gt;=Settings!$B$5,"Y","N"),"")</f>
        <v/>
      </c>
      <c r="H154" s="16">
        <f>IF(G154="Y",IF(ISNUMBER(SEARCH("Special",F154)),"SPECIAL DIVIDEND","NEW DIVIDEND"),IF(ISNUMBER(SEARCH("Special",F154)),"SPECIAL DIVIDEND",""))</f>
        <v/>
      </c>
    </row>
    <row r="155">
      <c r="A155" s="16">
        <f>'Rest Universe'!A156</f>
        <v/>
      </c>
      <c r="B155" s="22">
        <f>IFERROR(_xll.BDP(A155,"NAME"),"")</f>
        <v/>
      </c>
      <c r="C155" s="22">
        <f>IF(LEFT((_xll.BDP(A155,"DVD_DECLARED_DT")),4)="#N/A",NA(),(_xll.BDP(A155,"DVD_DECLARED_DT")))</f>
        <v/>
      </c>
      <c r="D155" s="22">
        <f>IF(LEFT((_xll.BDP(A155,"DVD_EX_DT")),4)="#N/A",NA(),(_xll.BDP(A155,"DVD_EX_DT")))</f>
        <v/>
      </c>
      <c r="E155" s="22">
        <f>IF(LEFT((_xll.BDP(A155,"DVD_SH_LAST")), 4) = "#N/A", NA(), (_xll.BDP(A155,"DVD_SH_LAST")))</f>
        <v/>
      </c>
      <c r="F155" s="22">
        <f>IF(LEFT((_xll.BDP(A155,"DVD_TYP_LAST")), 4) = "#N/A", NA(), (_xll.BDP(A155,"DVD_TYP_LAST")))</f>
        <v/>
      </c>
      <c r="G155" s="16">
        <f>IF(ISNUMBER(C155),IF(C155&gt;=Settings!$B$5,"Y","N"),"")</f>
        <v/>
      </c>
      <c r="H155" s="16">
        <f>IF(G155="Y",IF(ISNUMBER(SEARCH("Special",F155)),"SPECIAL DIVIDEND","NEW DIVIDEND"),IF(ISNUMBER(SEARCH("Special",F155)),"SPECIAL DIVIDEND",""))</f>
        <v/>
      </c>
    </row>
    <row r="156">
      <c r="A156" s="16">
        <f>'Rest Universe'!A157</f>
        <v/>
      </c>
      <c r="B156" s="22">
        <f>IFERROR(_xll.BDP(A156,"NAME"),"")</f>
        <v/>
      </c>
      <c r="C156" s="22">
        <f>IF(LEFT((_xll.BDP(A156,"DVD_DECLARED_DT")),4)="#N/A",NA(),(_xll.BDP(A156,"DVD_DECLARED_DT")))</f>
        <v/>
      </c>
      <c r="D156" s="22">
        <f>IF(LEFT((_xll.BDP(A156,"DVD_EX_DT")),4)="#N/A",NA(),(_xll.BDP(A156,"DVD_EX_DT")))</f>
        <v/>
      </c>
      <c r="E156" s="22">
        <f>IF(LEFT((_xll.BDP(A156,"DVD_SH_LAST")), 4) = "#N/A", NA(), (_xll.BDP(A156,"DVD_SH_LAST")))</f>
        <v/>
      </c>
      <c r="F156" s="22">
        <f>IF(LEFT((_xll.BDP(A156,"DVD_TYP_LAST")), 4) = "#N/A", NA(), (_xll.BDP(A156,"DVD_TYP_LAST")))</f>
        <v/>
      </c>
      <c r="G156" s="16">
        <f>IF(ISNUMBER(C156),IF(C156&gt;=Settings!$B$5,"Y","N"),"")</f>
        <v/>
      </c>
      <c r="H156" s="16">
        <f>IF(G156="Y",IF(ISNUMBER(SEARCH("Special",F156)),"SPECIAL DIVIDEND","NEW DIVIDEND"),IF(ISNUMBER(SEARCH("Special",F156)),"SPECIAL DIVIDEND",""))</f>
        <v/>
      </c>
    </row>
    <row r="157">
      <c r="A157" s="16">
        <f>'Rest Universe'!A158</f>
        <v/>
      </c>
      <c r="B157" s="22">
        <f>IFERROR(_xll.BDP(A157,"NAME"),"")</f>
        <v/>
      </c>
      <c r="C157" s="22">
        <f>IF(LEFT((_xll.BDP(A157,"DVD_DECLARED_DT")),4)="#N/A",NA(),(_xll.BDP(A157,"DVD_DECLARED_DT")))</f>
        <v/>
      </c>
      <c r="D157" s="22">
        <f>IF(LEFT((_xll.BDP(A157,"DVD_EX_DT")),4)="#N/A",NA(),(_xll.BDP(A157,"DVD_EX_DT")))</f>
        <v/>
      </c>
      <c r="E157" s="22">
        <f>IF(LEFT((_xll.BDP(A157,"DVD_SH_LAST")), 4) = "#N/A", NA(), (_xll.BDP(A157,"DVD_SH_LAST")))</f>
        <v/>
      </c>
      <c r="F157" s="22">
        <f>IF(LEFT((_xll.BDP(A157,"DVD_TYP_LAST")), 4) = "#N/A", NA(), (_xll.BDP(A157,"DVD_TYP_LAST")))</f>
        <v/>
      </c>
      <c r="G157" s="16">
        <f>IF(ISNUMBER(C157),IF(C157&gt;=Settings!$B$5,"Y","N"),"")</f>
        <v/>
      </c>
      <c r="H157" s="16">
        <f>IF(G157="Y",IF(ISNUMBER(SEARCH("Special",F157)),"SPECIAL DIVIDEND","NEW DIVIDEND"),IF(ISNUMBER(SEARCH("Special",F157)),"SPECIAL DIVIDEND",""))</f>
        <v/>
      </c>
    </row>
    <row r="158">
      <c r="A158" s="16">
        <f>'Rest Universe'!A159</f>
        <v/>
      </c>
      <c r="B158" s="22">
        <f>IFERROR(_xll.BDP(A158,"NAME"),"")</f>
        <v/>
      </c>
      <c r="C158" s="22">
        <f>IF(LEFT((_xll.BDP(A158,"DVD_DECLARED_DT")),4)="#N/A",NA(),(_xll.BDP(A158,"DVD_DECLARED_DT")))</f>
        <v/>
      </c>
      <c r="D158" s="22">
        <f>IF(LEFT((_xll.BDP(A158,"DVD_EX_DT")),4)="#N/A",NA(),(_xll.BDP(A158,"DVD_EX_DT")))</f>
        <v/>
      </c>
      <c r="E158" s="22">
        <f>IF(LEFT((_xll.BDP(A158,"DVD_SH_LAST")), 4) = "#N/A", NA(), (_xll.BDP(A158,"DVD_SH_LAST")))</f>
        <v/>
      </c>
      <c r="F158" s="22">
        <f>IF(LEFT((_xll.BDP(A158,"DVD_TYP_LAST")), 4) = "#N/A", NA(), (_xll.BDP(A158,"DVD_TYP_LAST")))</f>
        <v/>
      </c>
      <c r="G158" s="16">
        <f>IF(ISNUMBER(C158),IF(C158&gt;=Settings!$B$5,"Y","N"),"")</f>
        <v/>
      </c>
      <c r="H158" s="16">
        <f>IF(G158="Y",IF(ISNUMBER(SEARCH("Special",F158)),"SPECIAL DIVIDEND","NEW DIVIDEND"),IF(ISNUMBER(SEARCH("Special",F158)),"SPECIAL DIVIDEND",""))</f>
        <v/>
      </c>
    </row>
    <row r="159">
      <c r="A159" s="16">
        <f>'Rest Universe'!A160</f>
        <v/>
      </c>
      <c r="B159" s="22">
        <f>IFERROR(_xll.BDP(A159,"NAME"),"")</f>
        <v/>
      </c>
      <c r="C159" s="22">
        <f>IF(LEFT((_xll.BDP(A159,"DVD_DECLARED_DT")),4)="#N/A",NA(),(_xll.BDP(A159,"DVD_DECLARED_DT")))</f>
        <v/>
      </c>
      <c r="D159" s="22">
        <f>IF(LEFT((_xll.BDP(A159,"DVD_EX_DT")),4)="#N/A",NA(),(_xll.BDP(A159,"DVD_EX_DT")))</f>
        <v/>
      </c>
      <c r="E159" s="22">
        <f>IF(LEFT((_xll.BDP(A159,"DVD_SH_LAST")), 4) = "#N/A", NA(), (_xll.BDP(A159,"DVD_SH_LAST")))</f>
        <v/>
      </c>
      <c r="F159" s="22">
        <f>IF(LEFT((_xll.BDP(A159,"DVD_TYP_LAST")), 4) = "#N/A", NA(), (_xll.BDP(A159,"DVD_TYP_LAST")))</f>
        <v/>
      </c>
      <c r="G159" s="16">
        <f>IF(ISNUMBER(C159),IF(C159&gt;=Settings!$B$5,"Y","N"),"")</f>
        <v/>
      </c>
      <c r="H159" s="16">
        <f>IF(G159="Y",IF(ISNUMBER(SEARCH("Special",F159)),"SPECIAL DIVIDEND","NEW DIVIDEND"),IF(ISNUMBER(SEARCH("Special",F159)),"SPECIAL DIVIDEND",""))</f>
        <v/>
      </c>
    </row>
    <row r="160">
      <c r="A160" s="16">
        <f>'Rest Universe'!A161</f>
        <v/>
      </c>
      <c r="B160" s="22">
        <f>IFERROR(_xll.BDP(A160,"NAME"),"")</f>
        <v/>
      </c>
      <c r="C160" s="22">
        <f>IF(LEFT((_xll.BDP(A160,"DVD_DECLARED_DT")),4)="#N/A",NA(),(_xll.BDP(A160,"DVD_DECLARED_DT")))</f>
        <v/>
      </c>
      <c r="D160" s="22">
        <f>IF(LEFT((_xll.BDP(A160,"DVD_EX_DT")),4)="#N/A",NA(),(_xll.BDP(A160,"DVD_EX_DT")))</f>
        <v/>
      </c>
      <c r="E160" s="22">
        <f>IF(LEFT((_xll.BDP(A160,"DVD_SH_LAST")), 4) = "#N/A", NA(), (_xll.BDP(A160,"DVD_SH_LAST")))</f>
        <v/>
      </c>
      <c r="F160" s="22">
        <f>IF(LEFT((_xll.BDP(A160,"DVD_TYP_LAST")), 4) = "#N/A", NA(), (_xll.BDP(A160,"DVD_TYP_LAST")))</f>
        <v/>
      </c>
      <c r="G160" s="16">
        <f>IF(ISNUMBER(C160),IF(C160&gt;=Settings!$B$5,"Y","N"),"")</f>
        <v/>
      </c>
      <c r="H160" s="16">
        <f>IF(G160="Y",IF(ISNUMBER(SEARCH("Special",F160)),"SPECIAL DIVIDEND","NEW DIVIDEND"),IF(ISNUMBER(SEARCH("Special",F160)),"SPECIAL DIVIDEND",""))</f>
        <v/>
      </c>
    </row>
    <row r="161">
      <c r="A161" s="16">
        <f>'Rest Universe'!A162</f>
        <v/>
      </c>
      <c r="B161" s="22">
        <f>IFERROR(_xll.BDP(A161,"NAME"),"")</f>
        <v/>
      </c>
      <c r="C161" s="22">
        <f>IF(LEFT((_xll.BDP(A161,"DVD_DECLARED_DT")),4)="#N/A",NA(),(_xll.BDP(A161,"DVD_DECLARED_DT")))</f>
        <v/>
      </c>
      <c r="D161" s="22">
        <f>IF(LEFT((_xll.BDP(A161,"DVD_EX_DT")),4)="#N/A",NA(),(_xll.BDP(A161,"DVD_EX_DT")))</f>
        <v/>
      </c>
      <c r="E161" s="22">
        <f>IF(LEFT((_xll.BDP(A161,"DVD_SH_LAST")), 4) = "#N/A", NA(), (_xll.BDP(A161,"DVD_SH_LAST")))</f>
        <v/>
      </c>
      <c r="F161" s="22">
        <f>IF(LEFT((_xll.BDP(A161,"DVD_TYP_LAST")), 4) = "#N/A", NA(), (_xll.BDP(A161,"DVD_TYP_LAST")))</f>
        <v/>
      </c>
      <c r="G161" s="16">
        <f>IF(ISNUMBER(C161),IF(C161&gt;=Settings!$B$5,"Y","N"),"")</f>
        <v/>
      </c>
      <c r="H161" s="16">
        <f>IF(G161="Y",IF(ISNUMBER(SEARCH("Special",F161)),"SPECIAL DIVIDEND","NEW DIVIDEND"),IF(ISNUMBER(SEARCH("Special",F161)),"SPECIAL DIVIDEND",""))</f>
        <v/>
      </c>
    </row>
    <row r="162">
      <c r="A162" s="16">
        <f>'Rest Universe'!A163</f>
        <v/>
      </c>
      <c r="B162" s="22">
        <f>IFERROR(_xll.BDP(A162,"NAME"),"")</f>
        <v/>
      </c>
      <c r="C162" s="22">
        <f>IF(LEFT((_xll.BDP(A162,"DVD_DECLARED_DT")),4)="#N/A",NA(),(_xll.BDP(A162,"DVD_DECLARED_DT")))</f>
        <v/>
      </c>
      <c r="D162" s="22">
        <f>IF(LEFT((_xll.BDP(A162,"DVD_EX_DT")),4)="#N/A",NA(),(_xll.BDP(A162,"DVD_EX_DT")))</f>
        <v/>
      </c>
      <c r="E162" s="22">
        <f>IF(LEFT((_xll.BDP(A162,"DVD_SH_LAST")), 4) = "#N/A", NA(), (_xll.BDP(A162,"DVD_SH_LAST")))</f>
        <v/>
      </c>
      <c r="F162" s="22">
        <f>IF(LEFT((_xll.BDP(A162,"DVD_TYP_LAST")), 4) = "#N/A", NA(), (_xll.BDP(A162,"DVD_TYP_LAST")))</f>
        <v/>
      </c>
      <c r="G162" s="16">
        <f>IF(ISNUMBER(C162),IF(C162&gt;=Settings!$B$5,"Y","N"),"")</f>
        <v/>
      </c>
      <c r="H162" s="16">
        <f>IF(G162="Y",IF(ISNUMBER(SEARCH("Special",F162)),"SPECIAL DIVIDEND","NEW DIVIDEND"),IF(ISNUMBER(SEARCH("Special",F162)),"SPECIAL DIVIDEND",""))</f>
        <v/>
      </c>
    </row>
    <row r="163">
      <c r="A163" s="16">
        <f>'Rest Universe'!A164</f>
        <v/>
      </c>
      <c r="B163" s="22">
        <f>IFERROR(_xll.BDP(A163,"NAME"),"")</f>
        <v/>
      </c>
      <c r="C163" s="22">
        <f>IF(LEFT((_xll.BDP(A163,"DVD_DECLARED_DT")),4)="#N/A",NA(),(_xll.BDP(A163,"DVD_DECLARED_DT")))</f>
        <v/>
      </c>
      <c r="D163" s="22">
        <f>IF(LEFT((_xll.BDP(A163,"DVD_EX_DT")),4)="#N/A",NA(),(_xll.BDP(A163,"DVD_EX_DT")))</f>
        <v/>
      </c>
      <c r="E163" s="22">
        <f>IF(LEFT((_xll.BDP(A163,"DVD_SH_LAST")), 4) = "#N/A", NA(), (_xll.BDP(A163,"DVD_SH_LAST")))</f>
        <v/>
      </c>
      <c r="F163" s="22">
        <f>IF(LEFT((_xll.BDP(A163,"DVD_TYP_LAST")), 4) = "#N/A", NA(), (_xll.BDP(A163,"DVD_TYP_LAST")))</f>
        <v/>
      </c>
      <c r="G163" s="16">
        <f>IF(ISNUMBER(C163),IF(C163&gt;=Settings!$B$5,"Y","N"),"")</f>
        <v/>
      </c>
      <c r="H163" s="16">
        <f>IF(G163="Y",IF(ISNUMBER(SEARCH("Special",F163)),"SPECIAL DIVIDEND","NEW DIVIDEND"),IF(ISNUMBER(SEARCH("Special",F163)),"SPECIAL DIVIDEND",""))</f>
        <v/>
      </c>
    </row>
    <row r="164">
      <c r="A164" s="16">
        <f>'Rest Universe'!A165</f>
        <v/>
      </c>
      <c r="B164" s="22">
        <f>IFERROR(_xll.BDP(A164,"NAME"),"")</f>
        <v/>
      </c>
      <c r="C164" s="22">
        <f>IF(LEFT((_xll.BDP(A164,"DVD_DECLARED_DT")),4)="#N/A",NA(),(_xll.BDP(A164,"DVD_DECLARED_DT")))</f>
        <v/>
      </c>
      <c r="D164" s="22">
        <f>IF(LEFT((_xll.BDP(A164,"DVD_EX_DT")),4)="#N/A",NA(),(_xll.BDP(A164,"DVD_EX_DT")))</f>
        <v/>
      </c>
      <c r="E164" s="22">
        <f>IF(LEFT((_xll.BDP(A164,"DVD_SH_LAST")), 4) = "#N/A", NA(), (_xll.BDP(A164,"DVD_SH_LAST")))</f>
        <v/>
      </c>
      <c r="F164" s="22">
        <f>IF(LEFT((_xll.BDP(A164,"DVD_TYP_LAST")), 4) = "#N/A", NA(), (_xll.BDP(A164,"DVD_TYP_LAST")))</f>
        <v/>
      </c>
      <c r="G164" s="16">
        <f>IF(ISNUMBER(C164),IF(C164&gt;=Settings!$B$5,"Y","N"),"")</f>
        <v/>
      </c>
      <c r="H164" s="16">
        <f>IF(G164="Y",IF(ISNUMBER(SEARCH("Special",F164)),"SPECIAL DIVIDEND","NEW DIVIDEND"),IF(ISNUMBER(SEARCH("Special",F164)),"SPECIAL DIVIDEND",""))</f>
        <v/>
      </c>
    </row>
    <row r="165">
      <c r="A165" s="16">
        <f>'Rest Universe'!A166</f>
        <v/>
      </c>
      <c r="B165" s="22">
        <f>IFERROR(_xll.BDP(A165,"NAME"),"")</f>
        <v/>
      </c>
      <c r="C165" s="22">
        <f>IF(LEFT((_xll.BDP(A165,"DVD_DECLARED_DT")),4)="#N/A",NA(),(_xll.BDP(A165,"DVD_DECLARED_DT")))</f>
        <v/>
      </c>
      <c r="D165" s="22">
        <f>IF(LEFT((_xll.BDP(A165,"DVD_EX_DT")),4)="#N/A",NA(),(_xll.BDP(A165,"DVD_EX_DT")))</f>
        <v/>
      </c>
      <c r="E165" s="22">
        <f>IF(LEFT((_xll.BDP(A165,"DVD_SH_LAST")), 4) = "#N/A", NA(), (_xll.BDP(A165,"DVD_SH_LAST")))</f>
        <v/>
      </c>
      <c r="F165" s="22">
        <f>IF(LEFT((_xll.BDP(A165,"DVD_TYP_LAST")), 4) = "#N/A", NA(), (_xll.BDP(A165,"DVD_TYP_LAST")))</f>
        <v/>
      </c>
      <c r="G165" s="16">
        <f>IF(ISNUMBER(C165),IF(C165&gt;=Settings!$B$5,"Y","N"),"")</f>
        <v/>
      </c>
      <c r="H165" s="16">
        <f>IF(G165="Y",IF(ISNUMBER(SEARCH("Special",F165)),"SPECIAL DIVIDEND","NEW DIVIDEND"),IF(ISNUMBER(SEARCH("Special",F165)),"SPECIAL DIVIDEND",""))</f>
        <v/>
      </c>
    </row>
    <row r="166">
      <c r="A166" s="16">
        <f>'Rest Universe'!A167</f>
        <v/>
      </c>
      <c r="B166" s="22">
        <f>IFERROR(_xll.BDP(A166,"NAME"),"")</f>
        <v/>
      </c>
      <c r="C166" s="22">
        <f>IF(LEFT((_xll.BDP(A166,"DVD_DECLARED_DT")),4)="#N/A",NA(),(_xll.BDP(A166,"DVD_DECLARED_DT")))</f>
        <v/>
      </c>
      <c r="D166" s="22">
        <f>IF(LEFT((_xll.BDP(A166,"DVD_EX_DT")),4)="#N/A",NA(),(_xll.BDP(A166,"DVD_EX_DT")))</f>
        <v/>
      </c>
      <c r="E166" s="22">
        <f>IF(LEFT((_xll.BDP(A166,"DVD_SH_LAST")), 4) = "#N/A", NA(), (_xll.BDP(A166,"DVD_SH_LAST")))</f>
        <v/>
      </c>
      <c r="F166" s="22">
        <f>IF(LEFT((_xll.BDP(A166,"DVD_TYP_LAST")), 4) = "#N/A", NA(), (_xll.BDP(A166,"DVD_TYP_LAST")))</f>
        <v/>
      </c>
      <c r="G166" s="16">
        <f>IF(ISNUMBER(C166),IF(C166&gt;=Settings!$B$5,"Y","N"),"")</f>
        <v/>
      </c>
      <c r="H166" s="16">
        <f>IF(G166="Y",IF(ISNUMBER(SEARCH("Special",F166)),"SPECIAL DIVIDEND","NEW DIVIDEND"),IF(ISNUMBER(SEARCH("Special",F166)),"SPECIAL DIVIDEND",""))</f>
        <v/>
      </c>
    </row>
    <row r="167">
      <c r="A167" s="16">
        <f>'Rest Universe'!A168</f>
        <v/>
      </c>
      <c r="B167" s="22">
        <f>IFERROR(_xll.BDP(A167,"NAME"),"")</f>
        <v/>
      </c>
      <c r="C167" s="22">
        <f>IF(LEFT((_xll.BDP(A167,"DVD_DECLARED_DT")),4)="#N/A",NA(),(_xll.BDP(A167,"DVD_DECLARED_DT")))</f>
        <v/>
      </c>
      <c r="D167" s="22">
        <f>IF(LEFT((_xll.BDP(A167,"DVD_EX_DT")),4)="#N/A",NA(),(_xll.BDP(A167,"DVD_EX_DT")))</f>
        <v/>
      </c>
      <c r="E167" s="22">
        <f>IF(LEFT((_xll.BDP(A167,"DVD_SH_LAST")), 4) = "#N/A", NA(), (_xll.BDP(A167,"DVD_SH_LAST")))</f>
        <v/>
      </c>
      <c r="F167" s="22">
        <f>IF(LEFT((_xll.BDP(A167,"DVD_TYP_LAST")), 4) = "#N/A", NA(), (_xll.BDP(A167,"DVD_TYP_LAST")))</f>
        <v/>
      </c>
      <c r="G167" s="16">
        <f>IF(ISNUMBER(C167),IF(C167&gt;=Settings!$B$5,"Y","N"),"")</f>
        <v/>
      </c>
      <c r="H167" s="16">
        <f>IF(G167="Y",IF(ISNUMBER(SEARCH("Special",F167)),"SPECIAL DIVIDEND","NEW DIVIDEND"),IF(ISNUMBER(SEARCH("Special",F167)),"SPECIAL DIVIDEND",""))</f>
        <v/>
      </c>
    </row>
    <row r="168">
      <c r="A168" s="16">
        <f>'Rest Universe'!A169</f>
        <v/>
      </c>
      <c r="B168" s="22">
        <f>IFERROR(_xll.BDP(A168,"NAME"),"")</f>
        <v/>
      </c>
      <c r="C168" s="22">
        <f>IF(LEFT((_xll.BDP(A168,"DVD_DECLARED_DT")),4)="#N/A",NA(),(_xll.BDP(A168,"DVD_DECLARED_DT")))</f>
        <v/>
      </c>
      <c r="D168" s="22">
        <f>IF(LEFT((_xll.BDP(A168,"DVD_EX_DT")),4)="#N/A",NA(),(_xll.BDP(A168,"DVD_EX_DT")))</f>
        <v/>
      </c>
      <c r="E168" s="22">
        <f>IF(LEFT((_xll.BDP(A168,"DVD_SH_LAST")), 4) = "#N/A", NA(), (_xll.BDP(A168,"DVD_SH_LAST")))</f>
        <v/>
      </c>
      <c r="F168" s="22">
        <f>IF(LEFT((_xll.BDP(A168,"DVD_TYP_LAST")), 4) = "#N/A", NA(), (_xll.BDP(A168,"DVD_TYP_LAST")))</f>
        <v/>
      </c>
      <c r="G168" s="16">
        <f>IF(ISNUMBER(C168),IF(C168&gt;=Settings!$B$5,"Y","N"),"")</f>
        <v/>
      </c>
      <c r="H168" s="16">
        <f>IF(G168="Y",IF(ISNUMBER(SEARCH("Special",F168)),"SPECIAL DIVIDEND","NEW DIVIDEND"),IF(ISNUMBER(SEARCH("Special",F168)),"SPECIAL DIVIDEND",""))</f>
        <v/>
      </c>
    </row>
    <row r="169">
      <c r="A169" s="16">
        <f>'Rest Universe'!A170</f>
        <v/>
      </c>
      <c r="B169" s="22">
        <f>IFERROR(_xll.BDP(A169,"NAME"),"")</f>
        <v/>
      </c>
      <c r="C169" s="22">
        <f>IF(LEFT((_xll.BDP(A169,"DVD_DECLARED_DT")),4)="#N/A",NA(),(_xll.BDP(A169,"DVD_DECLARED_DT")))</f>
        <v/>
      </c>
      <c r="D169" s="22">
        <f>IF(LEFT((_xll.BDP(A169,"DVD_EX_DT")),4)="#N/A",NA(),(_xll.BDP(A169,"DVD_EX_DT")))</f>
        <v/>
      </c>
      <c r="E169" s="22">
        <f>IF(LEFT((_xll.BDP(A169,"DVD_SH_LAST")), 4) = "#N/A", NA(), (_xll.BDP(A169,"DVD_SH_LAST")))</f>
        <v/>
      </c>
      <c r="F169" s="22">
        <f>IF(LEFT((_xll.BDP(A169,"DVD_TYP_LAST")), 4) = "#N/A", NA(), (_xll.BDP(A169,"DVD_TYP_LAST")))</f>
        <v/>
      </c>
      <c r="G169" s="16">
        <f>IF(ISNUMBER(C169),IF(C169&gt;=Settings!$B$5,"Y","N"),"")</f>
        <v/>
      </c>
      <c r="H169" s="16">
        <f>IF(G169="Y",IF(ISNUMBER(SEARCH("Special",F169)),"SPECIAL DIVIDEND","NEW DIVIDEND"),IF(ISNUMBER(SEARCH("Special",F169)),"SPECIAL DIVIDEND",""))</f>
        <v/>
      </c>
    </row>
    <row r="170">
      <c r="A170" s="16">
        <f>'Rest Universe'!A171</f>
        <v/>
      </c>
      <c r="B170" s="22">
        <f>IFERROR(_xll.BDP(A170,"NAME"),"")</f>
        <v/>
      </c>
      <c r="C170" s="22">
        <f>IF(LEFT((_xll.BDP(A170,"DVD_DECLARED_DT")),4)="#N/A",NA(),(_xll.BDP(A170,"DVD_DECLARED_DT")))</f>
        <v/>
      </c>
      <c r="D170" s="22">
        <f>IF(LEFT((_xll.BDP(A170,"DVD_EX_DT")),4)="#N/A",NA(),(_xll.BDP(A170,"DVD_EX_DT")))</f>
        <v/>
      </c>
      <c r="E170" s="22">
        <f>IF(LEFT((_xll.BDP(A170,"DVD_SH_LAST")), 4) = "#N/A", NA(), (_xll.BDP(A170,"DVD_SH_LAST")))</f>
        <v/>
      </c>
      <c r="F170" s="22">
        <f>IF(LEFT((_xll.BDP(A170,"DVD_TYP_LAST")), 4) = "#N/A", NA(), (_xll.BDP(A170,"DVD_TYP_LAST")))</f>
        <v/>
      </c>
      <c r="G170" s="16">
        <f>IF(ISNUMBER(C170),IF(C170&gt;=Settings!$B$5,"Y","N"),"")</f>
        <v/>
      </c>
      <c r="H170" s="16">
        <f>IF(G170="Y",IF(ISNUMBER(SEARCH("Special",F170)),"SPECIAL DIVIDEND","NEW DIVIDEND"),IF(ISNUMBER(SEARCH("Special",F170)),"SPECIAL DIVIDEND",""))</f>
        <v/>
      </c>
    </row>
    <row r="171">
      <c r="A171" s="16">
        <f>'Rest Universe'!A172</f>
        <v/>
      </c>
      <c r="B171" s="22">
        <f>IFERROR(_xll.BDP(A171,"NAME"),"")</f>
        <v/>
      </c>
      <c r="C171" s="22">
        <f>IF(LEFT((_xll.BDP(A171,"DVD_DECLARED_DT")),4)="#N/A",NA(),(_xll.BDP(A171,"DVD_DECLARED_DT")))</f>
        <v/>
      </c>
      <c r="D171" s="22">
        <f>IF(LEFT((_xll.BDP(A171,"DVD_EX_DT")),4)="#N/A",NA(),(_xll.BDP(A171,"DVD_EX_DT")))</f>
        <v/>
      </c>
      <c r="E171" s="22">
        <f>IF(LEFT((_xll.BDP(A171,"DVD_SH_LAST")), 4) = "#N/A", NA(), (_xll.BDP(A171,"DVD_SH_LAST")))</f>
        <v/>
      </c>
      <c r="F171" s="22">
        <f>IF(LEFT((_xll.BDP(A171,"DVD_TYP_LAST")), 4) = "#N/A", NA(), (_xll.BDP(A171,"DVD_TYP_LAST")))</f>
        <v/>
      </c>
      <c r="G171" s="16">
        <f>IF(ISNUMBER(C171),IF(C171&gt;=Settings!$B$5,"Y","N"),"")</f>
        <v/>
      </c>
      <c r="H171" s="16">
        <f>IF(G171="Y",IF(ISNUMBER(SEARCH("Special",F171)),"SPECIAL DIVIDEND","NEW DIVIDEND"),IF(ISNUMBER(SEARCH("Special",F171)),"SPECIAL DIVIDEND",""))</f>
        <v/>
      </c>
    </row>
    <row r="172">
      <c r="A172" s="16">
        <f>'Rest Universe'!A173</f>
        <v/>
      </c>
      <c r="B172" s="22">
        <f>IFERROR(_xll.BDP(A172,"NAME"),"")</f>
        <v/>
      </c>
      <c r="C172" s="22">
        <f>IF(LEFT((_xll.BDP(A172,"DVD_DECLARED_DT")),4)="#N/A",NA(),(_xll.BDP(A172,"DVD_DECLARED_DT")))</f>
        <v/>
      </c>
      <c r="D172" s="22">
        <f>IF(LEFT((_xll.BDP(A172,"DVD_EX_DT")),4)="#N/A",NA(),(_xll.BDP(A172,"DVD_EX_DT")))</f>
        <v/>
      </c>
      <c r="E172" s="22">
        <f>IF(LEFT((_xll.BDP(A172,"DVD_SH_LAST")), 4) = "#N/A", NA(), (_xll.BDP(A172,"DVD_SH_LAST")))</f>
        <v/>
      </c>
      <c r="F172" s="22">
        <f>IF(LEFT((_xll.BDP(A172,"DVD_TYP_LAST")), 4) = "#N/A", NA(), (_xll.BDP(A172,"DVD_TYP_LAST")))</f>
        <v/>
      </c>
      <c r="G172" s="16">
        <f>IF(ISNUMBER(C172),IF(C172&gt;=Settings!$B$5,"Y","N"),"")</f>
        <v/>
      </c>
      <c r="H172" s="16">
        <f>IF(G172="Y",IF(ISNUMBER(SEARCH("Special",F172)),"SPECIAL DIVIDEND","NEW DIVIDEND"),IF(ISNUMBER(SEARCH("Special",F172)),"SPECIAL DIVIDEND",""))</f>
        <v/>
      </c>
    </row>
    <row r="173">
      <c r="A173" s="16">
        <f>'Rest Universe'!A174</f>
        <v/>
      </c>
      <c r="B173" s="22">
        <f>IFERROR(_xll.BDP(A173,"NAME"),"")</f>
        <v/>
      </c>
      <c r="C173" s="22">
        <f>IF(LEFT((_xll.BDP(A173,"DVD_DECLARED_DT")),4)="#N/A",NA(),(_xll.BDP(A173,"DVD_DECLARED_DT")))</f>
        <v/>
      </c>
      <c r="D173" s="22">
        <f>IF(LEFT((_xll.BDP(A173,"DVD_EX_DT")),4)="#N/A",NA(),(_xll.BDP(A173,"DVD_EX_DT")))</f>
        <v/>
      </c>
      <c r="E173" s="22">
        <f>IF(LEFT((_xll.BDP(A173,"DVD_SH_LAST")), 4) = "#N/A", NA(), (_xll.BDP(A173,"DVD_SH_LAST")))</f>
        <v/>
      </c>
      <c r="F173" s="22">
        <f>IF(LEFT((_xll.BDP(A173,"DVD_TYP_LAST")), 4) = "#N/A", NA(), (_xll.BDP(A173,"DVD_TYP_LAST")))</f>
        <v/>
      </c>
      <c r="G173" s="16">
        <f>IF(ISNUMBER(C173),IF(C173&gt;=Settings!$B$5,"Y","N"),"")</f>
        <v/>
      </c>
      <c r="H173" s="16">
        <f>IF(G173="Y",IF(ISNUMBER(SEARCH("Special",F173)),"SPECIAL DIVIDEND","NEW DIVIDEND"),IF(ISNUMBER(SEARCH("Special",F173)),"SPECIAL DIVIDEND",""))</f>
        <v/>
      </c>
    </row>
    <row r="174">
      <c r="A174" s="16">
        <f>'Rest Universe'!A175</f>
        <v/>
      </c>
      <c r="B174" s="22">
        <f>IFERROR(_xll.BDP(A174,"NAME"),"")</f>
        <v/>
      </c>
      <c r="C174" s="22">
        <f>IF(LEFT((_xll.BDP(A174,"DVD_DECLARED_DT")),4)="#N/A",NA(),(_xll.BDP(A174,"DVD_DECLARED_DT")))</f>
        <v/>
      </c>
      <c r="D174" s="22">
        <f>IF(LEFT((_xll.BDP(A174,"DVD_EX_DT")),4)="#N/A",NA(),(_xll.BDP(A174,"DVD_EX_DT")))</f>
        <v/>
      </c>
      <c r="E174" s="22">
        <f>IF(LEFT((_xll.BDP(A174,"DVD_SH_LAST")), 4) = "#N/A", NA(), (_xll.BDP(A174,"DVD_SH_LAST")))</f>
        <v/>
      </c>
      <c r="F174" s="22">
        <f>IF(LEFT((_xll.BDP(A174,"DVD_TYP_LAST")), 4) = "#N/A", NA(), (_xll.BDP(A174,"DVD_TYP_LAST")))</f>
        <v/>
      </c>
      <c r="G174" s="16">
        <f>IF(ISNUMBER(C174),IF(C174&gt;=Settings!$B$5,"Y","N"),"")</f>
        <v/>
      </c>
      <c r="H174" s="16">
        <f>IF(G174="Y",IF(ISNUMBER(SEARCH("Special",F174)),"SPECIAL DIVIDEND","NEW DIVIDEND"),IF(ISNUMBER(SEARCH("Special",F174)),"SPECIAL DIVIDEND",""))</f>
        <v/>
      </c>
    </row>
    <row r="175">
      <c r="A175" s="16">
        <f>'Rest Universe'!A176</f>
        <v/>
      </c>
      <c r="B175" s="22">
        <f>IFERROR(_xll.BDP(A175,"NAME"),"")</f>
        <v/>
      </c>
      <c r="C175" s="22">
        <f>IF(LEFT((_xll.BDP(A175,"DVD_DECLARED_DT")),4)="#N/A",NA(),(_xll.BDP(A175,"DVD_DECLARED_DT")))</f>
        <v/>
      </c>
      <c r="D175" s="22">
        <f>IF(LEFT((_xll.BDP(A175,"DVD_EX_DT")),4)="#N/A",NA(),(_xll.BDP(A175,"DVD_EX_DT")))</f>
        <v/>
      </c>
      <c r="E175" s="22">
        <f>IF(LEFT((_xll.BDP(A175,"DVD_SH_LAST")), 4) = "#N/A", NA(), (_xll.BDP(A175,"DVD_SH_LAST")))</f>
        <v/>
      </c>
      <c r="F175" s="22">
        <f>IF(LEFT((_xll.BDP(A175,"DVD_TYP_LAST")), 4) = "#N/A", NA(), (_xll.BDP(A175,"DVD_TYP_LAST")))</f>
        <v/>
      </c>
      <c r="G175" s="16">
        <f>IF(ISNUMBER(C175),IF(C175&gt;=Settings!$B$5,"Y","N"),"")</f>
        <v/>
      </c>
      <c r="H175" s="16">
        <f>IF(G175="Y",IF(ISNUMBER(SEARCH("Special",F175)),"SPECIAL DIVIDEND","NEW DIVIDEND"),IF(ISNUMBER(SEARCH("Special",F175)),"SPECIAL DIVIDEND",""))</f>
        <v/>
      </c>
    </row>
    <row r="176">
      <c r="A176" s="16">
        <f>'Rest Universe'!A177</f>
        <v/>
      </c>
      <c r="B176" s="22">
        <f>IFERROR(_xll.BDP(A176,"NAME"),"")</f>
        <v/>
      </c>
      <c r="C176" s="22">
        <f>IF(LEFT((_xll.BDP(A176,"DVD_DECLARED_DT")),4)="#N/A",NA(),(_xll.BDP(A176,"DVD_DECLARED_DT")))</f>
        <v/>
      </c>
      <c r="D176" s="22">
        <f>IF(LEFT((_xll.BDP(A176,"DVD_EX_DT")),4)="#N/A",NA(),(_xll.BDP(A176,"DVD_EX_DT")))</f>
        <v/>
      </c>
      <c r="E176" s="22">
        <f>IF(LEFT((_xll.BDP(A176,"DVD_SH_LAST")), 4) = "#N/A", NA(), (_xll.BDP(A176,"DVD_SH_LAST")))</f>
        <v/>
      </c>
      <c r="F176" s="22">
        <f>IF(LEFT((_xll.BDP(A176,"DVD_TYP_LAST")), 4) = "#N/A", NA(), (_xll.BDP(A176,"DVD_TYP_LAST")))</f>
        <v/>
      </c>
      <c r="G176" s="16">
        <f>IF(ISNUMBER(C176),IF(C176&gt;=Settings!$B$5,"Y","N"),"")</f>
        <v/>
      </c>
      <c r="H176" s="16">
        <f>IF(G176="Y",IF(ISNUMBER(SEARCH("Special",F176)),"SPECIAL DIVIDEND","NEW DIVIDEND"),IF(ISNUMBER(SEARCH("Special",F176)),"SPECIAL DIVIDEND",""))</f>
        <v/>
      </c>
    </row>
    <row r="177">
      <c r="A177" s="16">
        <f>'Rest Universe'!A178</f>
        <v/>
      </c>
      <c r="B177" s="22">
        <f>IFERROR(_xll.BDP(A177,"NAME"),"")</f>
        <v/>
      </c>
      <c r="C177" s="22">
        <f>IF(LEFT((_xll.BDP(A177,"DVD_DECLARED_DT")),4)="#N/A",NA(),(_xll.BDP(A177,"DVD_DECLARED_DT")))</f>
        <v/>
      </c>
      <c r="D177" s="22">
        <f>IF(LEFT((_xll.BDP(A177,"DVD_EX_DT")),4)="#N/A",NA(),(_xll.BDP(A177,"DVD_EX_DT")))</f>
        <v/>
      </c>
      <c r="E177" s="22">
        <f>IF(LEFT((_xll.BDP(A177,"DVD_SH_LAST")), 4) = "#N/A", NA(), (_xll.BDP(A177,"DVD_SH_LAST")))</f>
        <v/>
      </c>
      <c r="F177" s="22">
        <f>IF(LEFT((_xll.BDP(A177,"DVD_TYP_LAST")), 4) = "#N/A", NA(), (_xll.BDP(A177,"DVD_TYP_LAST")))</f>
        <v/>
      </c>
      <c r="G177" s="16">
        <f>IF(ISNUMBER(C177),IF(C177&gt;=Settings!$B$5,"Y","N"),"")</f>
        <v/>
      </c>
      <c r="H177" s="16">
        <f>IF(G177="Y",IF(ISNUMBER(SEARCH("Special",F177)),"SPECIAL DIVIDEND","NEW DIVIDEND"),IF(ISNUMBER(SEARCH("Special",F177)),"SPECIAL DIVIDEND",""))</f>
        <v/>
      </c>
    </row>
    <row r="178">
      <c r="A178" s="16">
        <f>'Rest Universe'!A179</f>
        <v/>
      </c>
      <c r="B178" s="22">
        <f>IFERROR(_xll.BDP(A178,"NAME"),"")</f>
        <v/>
      </c>
      <c r="C178" s="22">
        <f>IF(LEFT((_xll.BDP(A178,"DVD_DECLARED_DT")),4)="#N/A",NA(),(_xll.BDP(A178,"DVD_DECLARED_DT")))</f>
        <v/>
      </c>
      <c r="D178" s="22">
        <f>IF(LEFT((_xll.BDP(A178,"DVD_EX_DT")),4)="#N/A",NA(),(_xll.BDP(A178,"DVD_EX_DT")))</f>
        <v/>
      </c>
      <c r="E178" s="22">
        <f>IF(LEFT((_xll.BDP(A178,"DVD_SH_LAST")), 4) = "#N/A", NA(), (_xll.BDP(A178,"DVD_SH_LAST")))</f>
        <v/>
      </c>
      <c r="F178" s="22">
        <f>IF(LEFT((_xll.BDP(A178,"DVD_TYP_LAST")), 4) = "#N/A", NA(), (_xll.BDP(A178,"DVD_TYP_LAST")))</f>
        <v/>
      </c>
      <c r="G178" s="16">
        <f>IF(ISNUMBER(C178),IF(C178&gt;=Settings!$B$5,"Y","N"),"")</f>
        <v/>
      </c>
      <c r="H178" s="16">
        <f>IF(G178="Y",IF(ISNUMBER(SEARCH("Special",F178)),"SPECIAL DIVIDEND","NEW DIVIDEND"),IF(ISNUMBER(SEARCH("Special",F178)),"SPECIAL DIVIDEND",""))</f>
        <v/>
      </c>
    </row>
    <row r="179">
      <c r="A179" s="16">
        <f>'Rest Universe'!A180</f>
        <v/>
      </c>
      <c r="B179" s="22">
        <f>IFERROR(_xll.BDP(A179,"NAME"),"")</f>
        <v/>
      </c>
      <c r="C179" s="22">
        <f>IF(LEFT((_xll.BDP(A179,"DVD_DECLARED_DT")),4)="#N/A",NA(),(_xll.BDP(A179,"DVD_DECLARED_DT")))</f>
        <v/>
      </c>
      <c r="D179" s="22">
        <f>IF(LEFT((_xll.BDP(A179,"DVD_EX_DT")),4)="#N/A",NA(),(_xll.BDP(A179,"DVD_EX_DT")))</f>
        <v/>
      </c>
      <c r="E179" s="22">
        <f>IF(LEFT((_xll.BDP(A179,"DVD_SH_LAST")), 4) = "#N/A", NA(), (_xll.BDP(A179,"DVD_SH_LAST")))</f>
        <v/>
      </c>
      <c r="F179" s="22">
        <f>IF(LEFT((_xll.BDP(A179,"DVD_TYP_LAST")), 4) = "#N/A", NA(), (_xll.BDP(A179,"DVD_TYP_LAST")))</f>
        <v/>
      </c>
      <c r="G179" s="16">
        <f>IF(ISNUMBER(C179),IF(C179&gt;=Settings!$B$5,"Y","N"),"")</f>
        <v/>
      </c>
      <c r="H179" s="16">
        <f>IF(G179="Y",IF(ISNUMBER(SEARCH("Special",F179)),"SPECIAL DIVIDEND","NEW DIVIDEND"),IF(ISNUMBER(SEARCH("Special",F179)),"SPECIAL DIVIDEND",""))</f>
        <v/>
      </c>
    </row>
    <row r="180">
      <c r="A180" s="16">
        <f>'Rest Universe'!A181</f>
        <v/>
      </c>
      <c r="B180" s="22">
        <f>IFERROR(_xll.BDP(A180,"NAME"),"")</f>
        <v/>
      </c>
      <c r="C180" s="22">
        <f>IF(LEFT((_xll.BDP(A180,"DVD_DECLARED_DT")),4)="#N/A",NA(),(_xll.BDP(A180,"DVD_DECLARED_DT")))</f>
        <v/>
      </c>
      <c r="D180" s="22">
        <f>IF(LEFT((_xll.BDP(A180,"DVD_EX_DT")),4)="#N/A",NA(),(_xll.BDP(A180,"DVD_EX_DT")))</f>
        <v/>
      </c>
      <c r="E180" s="22">
        <f>IF(LEFT((_xll.BDP(A180,"DVD_SH_LAST")), 4) = "#N/A", NA(), (_xll.BDP(A180,"DVD_SH_LAST")))</f>
        <v/>
      </c>
      <c r="F180" s="22">
        <f>IF(LEFT((_xll.BDP(A180,"DVD_TYP_LAST")), 4) = "#N/A", NA(), (_xll.BDP(A180,"DVD_TYP_LAST")))</f>
        <v/>
      </c>
      <c r="G180" s="16">
        <f>IF(ISNUMBER(C180),IF(C180&gt;=Settings!$B$5,"Y","N"),"")</f>
        <v/>
      </c>
      <c r="H180" s="16">
        <f>IF(G180="Y",IF(ISNUMBER(SEARCH("Special",F180)),"SPECIAL DIVIDEND","NEW DIVIDEND"),IF(ISNUMBER(SEARCH("Special",F180)),"SPECIAL DIVIDEND",""))</f>
        <v/>
      </c>
    </row>
    <row r="181">
      <c r="A181" s="16">
        <f>'Rest Universe'!A182</f>
        <v/>
      </c>
      <c r="B181" s="22">
        <f>IFERROR(_xll.BDP(A181,"NAME"),"")</f>
        <v/>
      </c>
      <c r="C181" s="22">
        <f>IF(LEFT((_xll.BDP(A181,"DVD_DECLARED_DT")),4)="#N/A",NA(),(_xll.BDP(A181,"DVD_DECLARED_DT")))</f>
        <v/>
      </c>
      <c r="D181" s="22">
        <f>IF(LEFT((_xll.BDP(A181,"DVD_EX_DT")),4)="#N/A",NA(),(_xll.BDP(A181,"DVD_EX_DT")))</f>
        <v/>
      </c>
      <c r="E181" s="22">
        <f>IF(LEFT((_xll.BDP(A181,"DVD_SH_LAST")), 4) = "#N/A", NA(), (_xll.BDP(A181,"DVD_SH_LAST")))</f>
        <v/>
      </c>
      <c r="F181" s="22">
        <f>IF(LEFT((_xll.BDP(A181,"DVD_TYP_LAST")), 4) = "#N/A", NA(), (_xll.BDP(A181,"DVD_TYP_LAST")))</f>
        <v/>
      </c>
      <c r="G181" s="16">
        <f>IF(ISNUMBER(C181),IF(C181&gt;=Settings!$B$5,"Y","N"),"")</f>
        <v/>
      </c>
      <c r="H181" s="16">
        <f>IF(G181="Y",IF(ISNUMBER(SEARCH("Special",F181)),"SPECIAL DIVIDEND","NEW DIVIDEND"),IF(ISNUMBER(SEARCH("Special",F181)),"SPECIAL DIVIDEND",""))</f>
        <v/>
      </c>
    </row>
    <row r="182">
      <c r="A182" s="16">
        <f>'Rest Universe'!A183</f>
        <v/>
      </c>
      <c r="B182" s="22">
        <f>IFERROR(_xll.BDP(A182,"NAME"),"")</f>
        <v/>
      </c>
      <c r="C182" s="22">
        <f>IF(LEFT((_xll.BDP(A182,"DVD_DECLARED_DT")),4)="#N/A",NA(),(_xll.BDP(A182,"DVD_DECLARED_DT")))</f>
        <v/>
      </c>
      <c r="D182" s="22">
        <f>IF(LEFT((_xll.BDP(A182,"DVD_EX_DT")),4)="#N/A",NA(),(_xll.BDP(A182,"DVD_EX_DT")))</f>
        <v/>
      </c>
      <c r="E182" s="22">
        <f>IF(LEFT((_xll.BDP(A182,"DVD_SH_LAST")), 4) = "#N/A", NA(), (_xll.BDP(A182,"DVD_SH_LAST")))</f>
        <v/>
      </c>
      <c r="F182" s="22">
        <f>IF(LEFT((_xll.BDP(A182,"DVD_TYP_LAST")), 4) = "#N/A", NA(), (_xll.BDP(A182,"DVD_TYP_LAST")))</f>
        <v/>
      </c>
      <c r="G182" s="16">
        <f>IF(ISNUMBER(C182),IF(C182&gt;=Settings!$B$5,"Y","N"),"")</f>
        <v/>
      </c>
      <c r="H182" s="16">
        <f>IF(G182="Y",IF(ISNUMBER(SEARCH("Special",F182)),"SPECIAL DIVIDEND","NEW DIVIDEND"),IF(ISNUMBER(SEARCH("Special",F182)),"SPECIAL DIVIDEND",""))</f>
        <v/>
      </c>
    </row>
    <row r="183">
      <c r="A183" s="16">
        <f>'Rest Universe'!A184</f>
        <v/>
      </c>
      <c r="B183" s="22">
        <f>IFERROR(_xll.BDP(A183,"NAME"),"")</f>
        <v/>
      </c>
      <c r="C183" s="22">
        <f>IF(LEFT((_xll.BDP(A183,"DVD_DECLARED_DT")),4)="#N/A",NA(),(_xll.BDP(A183,"DVD_DECLARED_DT")))</f>
        <v/>
      </c>
      <c r="D183" s="22">
        <f>IF(LEFT((_xll.BDP(A183,"DVD_EX_DT")),4)="#N/A",NA(),(_xll.BDP(A183,"DVD_EX_DT")))</f>
        <v/>
      </c>
      <c r="E183" s="22">
        <f>IF(LEFT((_xll.BDP(A183,"DVD_SH_LAST")), 4) = "#N/A", NA(), (_xll.BDP(A183,"DVD_SH_LAST")))</f>
        <v/>
      </c>
      <c r="F183" s="22">
        <f>IF(LEFT((_xll.BDP(A183,"DVD_TYP_LAST")), 4) = "#N/A", NA(), (_xll.BDP(A183,"DVD_TYP_LAST")))</f>
        <v/>
      </c>
      <c r="G183" s="16">
        <f>IF(ISNUMBER(C183),IF(C183&gt;=Settings!$B$5,"Y","N"),"")</f>
        <v/>
      </c>
      <c r="H183" s="16">
        <f>IF(G183="Y",IF(ISNUMBER(SEARCH("Special",F183)),"SPECIAL DIVIDEND","NEW DIVIDEND"),IF(ISNUMBER(SEARCH("Special",F183)),"SPECIAL DIVIDEND",""))</f>
        <v/>
      </c>
    </row>
    <row r="184">
      <c r="A184" s="16">
        <f>'Rest Universe'!A185</f>
        <v/>
      </c>
      <c r="B184" s="22">
        <f>IFERROR(_xll.BDP(A184,"NAME"),"")</f>
        <v/>
      </c>
      <c r="C184" s="22">
        <f>IF(LEFT((_xll.BDP(A184,"DVD_DECLARED_DT")),4)="#N/A",NA(),(_xll.BDP(A184,"DVD_DECLARED_DT")))</f>
        <v/>
      </c>
      <c r="D184" s="22">
        <f>IF(LEFT((_xll.BDP(A184,"DVD_EX_DT")),4)="#N/A",NA(),(_xll.BDP(A184,"DVD_EX_DT")))</f>
        <v/>
      </c>
      <c r="E184" s="22">
        <f>IF(LEFT((_xll.BDP(A184,"DVD_SH_LAST")), 4) = "#N/A", NA(), (_xll.BDP(A184,"DVD_SH_LAST")))</f>
        <v/>
      </c>
      <c r="F184" s="22">
        <f>IF(LEFT((_xll.BDP(A184,"DVD_TYP_LAST")), 4) = "#N/A", NA(), (_xll.BDP(A184,"DVD_TYP_LAST")))</f>
        <v/>
      </c>
      <c r="G184" s="16">
        <f>IF(ISNUMBER(C184),IF(C184&gt;=Settings!$B$5,"Y","N"),"")</f>
        <v/>
      </c>
      <c r="H184" s="16">
        <f>IF(G184="Y",IF(ISNUMBER(SEARCH("Special",F184)),"SPECIAL DIVIDEND","NEW DIVIDEND"),IF(ISNUMBER(SEARCH("Special",F184)),"SPECIAL DIVIDEND",""))</f>
        <v/>
      </c>
    </row>
    <row r="185">
      <c r="A185" s="16">
        <f>'Rest Universe'!A186</f>
        <v/>
      </c>
      <c r="B185" s="22">
        <f>IFERROR(_xll.BDP(A185,"NAME"),"")</f>
        <v/>
      </c>
      <c r="C185" s="22">
        <f>IF(LEFT((_xll.BDP(A185,"DVD_DECLARED_DT")),4)="#N/A",NA(),(_xll.BDP(A185,"DVD_DECLARED_DT")))</f>
        <v/>
      </c>
      <c r="D185" s="22">
        <f>IF(LEFT((_xll.BDP(A185,"DVD_EX_DT")),4)="#N/A",NA(),(_xll.BDP(A185,"DVD_EX_DT")))</f>
        <v/>
      </c>
      <c r="E185" s="22">
        <f>IF(LEFT((_xll.BDP(A185,"DVD_SH_LAST")), 4) = "#N/A", NA(), (_xll.BDP(A185,"DVD_SH_LAST")))</f>
        <v/>
      </c>
      <c r="F185" s="22">
        <f>IF(LEFT((_xll.BDP(A185,"DVD_TYP_LAST")), 4) = "#N/A", NA(), (_xll.BDP(A185,"DVD_TYP_LAST")))</f>
        <v/>
      </c>
      <c r="G185" s="16">
        <f>IF(ISNUMBER(C185),IF(C185&gt;=Settings!$B$5,"Y","N"),"")</f>
        <v/>
      </c>
      <c r="H185" s="16">
        <f>IF(G185="Y",IF(ISNUMBER(SEARCH("Special",F185)),"SPECIAL DIVIDEND","NEW DIVIDEND"),IF(ISNUMBER(SEARCH("Special",F185)),"SPECIAL DIVIDEND",""))</f>
        <v/>
      </c>
    </row>
    <row r="186">
      <c r="A186" s="16">
        <f>'Rest Universe'!A187</f>
        <v/>
      </c>
      <c r="B186" s="22">
        <f>IFERROR(_xll.BDP(A186,"NAME"),"")</f>
        <v/>
      </c>
      <c r="C186" s="22">
        <f>IF(LEFT((_xll.BDP(A186,"DVD_DECLARED_DT")),4)="#N/A",NA(),(_xll.BDP(A186,"DVD_DECLARED_DT")))</f>
        <v/>
      </c>
      <c r="D186" s="22">
        <f>IF(LEFT((_xll.BDP(A186,"DVD_EX_DT")),4)="#N/A",NA(),(_xll.BDP(A186,"DVD_EX_DT")))</f>
        <v/>
      </c>
      <c r="E186" s="22">
        <f>IF(LEFT((_xll.BDP(A186,"DVD_SH_LAST")), 4) = "#N/A", NA(), (_xll.BDP(A186,"DVD_SH_LAST")))</f>
        <v/>
      </c>
      <c r="F186" s="22">
        <f>IF(LEFT((_xll.BDP(A186,"DVD_TYP_LAST")), 4) = "#N/A", NA(), (_xll.BDP(A186,"DVD_TYP_LAST")))</f>
        <v/>
      </c>
      <c r="G186" s="16">
        <f>IF(ISNUMBER(C186),IF(C186&gt;=Settings!$B$5,"Y","N"),"")</f>
        <v/>
      </c>
      <c r="H186" s="16">
        <f>IF(G186="Y",IF(ISNUMBER(SEARCH("Special",F186)),"SPECIAL DIVIDEND","NEW DIVIDEND"),IF(ISNUMBER(SEARCH("Special",F186)),"SPECIAL DIVIDEND",""))</f>
        <v/>
      </c>
    </row>
    <row r="187">
      <c r="A187" s="16">
        <f>'Rest Universe'!A188</f>
        <v/>
      </c>
      <c r="B187" s="22">
        <f>IFERROR(_xll.BDP(A187,"NAME"),"")</f>
        <v/>
      </c>
      <c r="C187" s="22">
        <f>IF(LEFT((_xll.BDP(A187,"DVD_DECLARED_DT")),4)="#N/A",NA(),(_xll.BDP(A187,"DVD_DECLARED_DT")))</f>
        <v/>
      </c>
      <c r="D187" s="22">
        <f>IF(LEFT((_xll.BDP(A187,"DVD_EX_DT")),4)="#N/A",NA(),(_xll.BDP(A187,"DVD_EX_DT")))</f>
        <v/>
      </c>
      <c r="E187" s="22">
        <f>IF(LEFT((_xll.BDP(A187,"DVD_SH_LAST")), 4) = "#N/A", NA(), (_xll.BDP(A187,"DVD_SH_LAST")))</f>
        <v/>
      </c>
      <c r="F187" s="22">
        <f>IF(LEFT((_xll.BDP(A187,"DVD_TYP_LAST")), 4) = "#N/A", NA(), (_xll.BDP(A187,"DVD_TYP_LAST")))</f>
        <v/>
      </c>
      <c r="G187" s="16">
        <f>IF(ISNUMBER(C187),IF(C187&gt;=Settings!$B$5,"Y","N"),"")</f>
        <v/>
      </c>
      <c r="H187" s="16">
        <f>IF(G187="Y",IF(ISNUMBER(SEARCH("Special",F187)),"SPECIAL DIVIDEND","NEW DIVIDEND"),IF(ISNUMBER(SEARCH("Special",F187)),"SPECIAL DIVIDEND",""))</f>
        <v/>
      </c>
    </row>
    <row r="188">
      <c r="A188" s="16">
        <f>'Rest Universe'!A189</f>
        <v/>
      </c>
      <c r="B188" s="22">
        <f>IFERROR(_xll.BDP(A188,"NAME"),"")</f>
        <v/>
      </c>
      <c r="C188" s="22">
        <f>IF(LEFT((_xll.BDP(A188,"DVD_DECLARED_DT")),4)="#N/A",NA(),(_xll.BDP(A188,"DVD_DECLARED_DT")))</f>
        <v/>
      </c>
      <c r="D188" s="22">
        <f>IF(LEFT((_xll.BDP(A188,"DVD_EX_DT")),4)="#N/A",NA(),(_xll.BDP(A188,"DVD_EX_DT")))</f>
        <v/>
      </c>
      <c r="E188" s="22">
        <f>IF(LEFT((_xll.BDP(A188,"DVD_SH_LAST")), 4) = "#N/A", NA(), (_xll.BDP(A188,"DVD_SH_LAST")))</f>
        <v/>
      </c>
      <c r="F188" s="22">
        <f>IF(LEFT((_xll.BDP(A188,"DVD_TYP_LAST")), 4) = "#N/A", NA(), (_xll.BDP(A188,"DVD_TYP_LAST")))</f>
        <v/>
      </c>
      <c r="G188" s="16">
        <f>IF(ISNUMBER(C188),IF(C188&gt;=Settings!$B$5,"Y","N"),"")</f>
        <v/>
      </c>
      <c r="H188" s="16">
        <f>IF(G188="Y",IF(ISNUMBER(SEARCH("Special",F188)),"SPECIAL DIVIDEND","NEW DIVIDEND"),IF(ISNUMBER(SEARCH("Special",F188)),"SPECIAL DIVIDEND",""))</f>
        <v/>
      </c>
    </row>
    <row r="189">
      <c r="A189" s="16">
        <f>'Rest Universe'!A190</f>
        <v/>
      </c>
      <c r="B189" s="22">
        <f>IFERROR(_xll.BDP(A189,"NAME"),"")</f>
        <v/>
      </c>
      <c r="C189" s="22">
        <f>IF(LEFT((_xll.BDP(A189,"DVD_DECLARED_DT")),4)="#N/A",NA(),(_xll.BDP(A189,"DVD_DECLARED_DT")))</f>
        <v/>
      </c>
      <c r="D189" s="22">
        <f>IF(LEFT((_xll.BDP(A189,"DVD_EX_DT")),4)="#N/A",NA(),(_xll.BDP(A189,"DVD_EX_DT")))</f>
        <v/>
      </c>
      <c r="E189" s="22">
        <f>IF(LEFT((_xll.BDP(A189,"DVD_SH_LAST")), 4) = "#N/A", NA(), (_xll.BDP(A189,"DVD_SH_LAST")))</f>
        <v/>
      </c>
      <c r="F189" s="22">
        <f>IF(LEFT((_xll.BDP(A189,"DVD_TYP_LAST")), 4) = "#N/A", NA(), (_xll.BDP(A189,"DVD_TYP_LAST")))</f>
        <v/>
      </c>
      <c r="G189" s="16">
        <f>IF(ISNUMBER(C189),IF(C189&gt;=Settings!$B$5,"Y","N"),"")</f>
        <v/>
      </c>
      <c r="H189" s="16">
        <f>IF(G189="Y",IF(ISNUMBER(SEARCH("Special",F189)),"SPECIAL DIVIDEND","NEW DIVIDEND"),IF(ISNUMBER(SEARCH("Special",F189)),"SPECIAL DIVIDEND",""))</f>
        <v/>
      </c>
    </row>
    <row r="190">
      <c r="A190" s="16">
        <f>'Rest Universe'!A191</f>
        <v/>
      </c>
      <c r="B190" s="22">
        <f>IFERROR(_xll.BDP(A190,"NAME"),"")</f>
        <v/>
      </c>
      <c r="C190" s="22">
        <f>IF(LEFT((_xll.BDP(A190,"DVD_DECLARED_DT")),4)="#N/A",NA(),(_xll.BDP(A190,"DVD_DECLARED_DT")))</f>
        <v/>
      </c>
      <c r="D190" s="22">
        <f>IF(LEFT((_xll.BDP(A190,"DVD_EX_DT")),4)="#N/A",NA(),(_xll.BDP(A190,"DVD_EX_DT")))</f>
        <v/>
      </c>
      <c r="E190" s="22">
        <f>IF(LEFT((_xll.BDP(A190,"DVD_SH_LAST")), 4) = "#N/A", NA(), (_xll.BDP(A190,"DVD_SH_LAST")))</f>
        <v/>
      </c>
      <c r="F190" s="22">
        <f>IF(LEFT((_xll.BDP(A190,"DVD_TYP_LAST")), 4) = "#N/A", NA(), (_xll.BDP(A190,"DVD_TYP_LAST")))</f>
        <v/>
      </c>
      <c r="G190" s="16">
        <f>IF(ISNUMBER(C190),IF(C190&gt;=Settings!$B$5,"Y","N"),"")</f>
        <v/>
      </c>
      <c r="H190" s="16">
        <f>IF(G190="Y",IF(ISNUMBER(SEARCH("Special",F190)),"SPECIAL DIVIDEND","NEW DIVIDEND"),IF(ISNUMBER(SEARCH("Special",F190)),"SPECIAL DIVIDEND",""))</f>
        <v/>
      </c>
    </row>
    <row r="191">
      <c r="A191" s="16">
        <f>'Rest Universe'!A192</f>
        <v/>
      </c>
      <c r="B191" s="22">
        <f>IFERROR(_xll.BDP(A191,"NAME"),"")</f>
        <v/>
      </c>
      <c r="C191" s="22">
        <f>IF(LEFT((_xll.BDP(A191,"DVD_DECLARED_DT")),4)="#N/A",NA(),(_xll.BDP(A191,"DVD_DECLARED_DT")))</f>
        <v/>
      </c>
      <c r="D191" s="22">
        <f>IF(LEFT((_xll.BDP(A191,"DVD_EX_DT")),4)="#N/A",NA(),(_xll.BDP(A191,"DVD_EX_DT")))</f>
        <v/>
      </c>
      <c r="E191" s="22">
        <f>IF(LEFT((_xll.BDP(A191,"DVD_SH_LAST")), 4) = "#N/A", NA(), (_xll.BDP(A191,"DVD_SH_LAST")))</f>
        <v/>
      </c>
      <c r="F191" s="22">
        <f>IF(LEFT((_xll.BDP(A191,"DVD_TYP_LAST")), 4) = "#N/A", NA(), (_xll.BDP(A191,"DVD_TYP_LAST")))</f>
        <v/>
      </c>
      <c r="G191" s="16">
        <f>IF(ISNUMBER(C191),IF(C191&gt;=Settings!$B$5,"Y","N"),"")</f>
        <v/>
      </c>
      <c r="H191" s="16">
        <f>IF(G191="Y",IF(ISNUMBER(SEARCH("Special",F191)),"SPECIAL DIVIDEND","NEW DIVIDEND"),IF(ISNUMBER(SEARCH("Special",F191)),"SPECIAL DIVIDEND",""))</f>
        <v/>
      </c>
    </row>
    <row r="192">
      <c r="A192" s="16">
        <f>'Rest Universe'!A193</f>
        <v/>
      </c>
      <c r="B192" s="22">
        <f>IFERROR(_xll.BDP(A192,"NAME"),"")</f>
        <v/>
      </c>
      <c r="C192" s="22">
        <f>IF(LEFT((_xll.BDP(A192,"DVD_DECLARED_DT")),4)="#N/A",NA(),(_xll.BDP(A192,"DVD_DECLARED_DT")))</f>
        <v/>
      </c>
      <c r="D192" s="22">
        <f>IF(LEFT((_xll.BDP(A192,"DVD_EX_DT")),4)="#N/A",NA(),(_xll.BDP(A192,"DVD_EX_DT")))</f>
        <v/>
      </c>
      <c r="E192" s="22">
        <f>IF(LEFT((_xll.BDP(A192,"DVD_SH_LAST")), 4) = "#N/A", NA(), (_xll.BDP(A192,"DVD_SH_LAST")))</f>
        <v/>
      </c>
      <c r="F192" s="22">
        <f>IF(LEFT((_xll.BDP(A192,"DVD_TYP_LAST")), 4) = "#N/A", NA(), (_xll.BDP(A192,"DVD_TYP_LAST")))</f>
        <v/>
      </c>
      <c r="G192" s="16">
        <f>IF(ISNUMBER(C192),IF(C192&gt;=Settings!$B$5,"Y","N"),"")</f>
        <v/>
      </c>
      <c r="H192" s="16">
        <f>IF(G192="Y",IF(ISNUMBER(SEARCH("Special",F192)),"SPECIAL DIVIDEND","NEW DIVIDEND"),IF(ISNUMBER(SEARCH("Special",F192)),"SPECIAL DIVIDEND",""))</f>
        <v/>
      </c>
    </row>
    <row r="193">
      <c r="A193" s="16">
        <f>'Rest Universe'!A194</f>
        <v/>
      </c>
      <c r="B193" s="22">
        <f>IFERROR(_xll.BDP(A193,"NAME"),"")</f>
        <v/>
      </c>
      <c r="C193" s="22">
        <f>IF(LEFT((_xll.BDP(A193,"DVD_DECLARED_DT")),4)="#N/A",NA(),(_xll.BDP(A193,"DVD_DECLARED_DT")))</f>
        <v/>
      </c>
      <c r="D193" s="22">
        <f>IF(LEFT((_xll.BDP(A193,"DVD_EX_DT")),4)="#N/A",NA(),(_xll.BDP(A193,"DVD_EX_DT")))</f>
        <v/>
      </c>
      <c r="E193" s="22">
        <f>IF(LEFT((_xll.BDP(A193,"DVD_SH_LAST")), 4) = "#N/A", NA(), (_xll.BDP(A193,"DVD_SH_LAST")))</f>
        <v/>
      </c>
      <c r="F193" s="22">
        <f>IF(LEFT((_xll.BDP(A193,"DVD_TYP_LAST")), 4) = "#N/A", NA(), (_xll.BDP(A193,"DVD_TYP_LAST")))</f>
        <v/>
      </c>
      <c r="G193" s="16">
        <f>IF(ISNUMBER(C193),IF(C193&gt;=Settings!$B$5,"Y","N"),"")</f>
        <v/>
      </c>
      <c r="H193" s="16">
        <f>IF(G193="Y",IF(ISNUMBER(SEARCH("Special",F193)),"SPECIAL DIVIDEND","NEW DIVIDEND"),IF(ISNUMBER(SEARCH("Special",F193)),"SPECIAL DIVIDEND",""))</f>
        <v/>
      </c>
    </row>
    <row r="194">
      <c r="A194" s="16">
        <f>'Rest Universe'!A195</f>
        <v/>
      </c>
      <c r="B194" s="22">
        <f>IFERROR(_xll.BDP(A194,"NAME"),"")</f>
        <v/>
      </c>
      <c r="C194" s="22">
        <f>IF(LEFT((_xll.BDP(A194,"DVD_DECLARED_DT")),4)="#N/A",NA(),(_xll.BDP(A194,"DVD_DECLARED_DT")))</f>
        <v/>
      </c>
      <c r="D194" s="22">
        <f>IF(LEFT((_xll.BDP(A194,"DVD_EX_DT")),4)="#N/A",NA(),(_xll.BDP(A194,"DVD_EX_DT")))</f>
        <v/>
      </c>
      <c r="E194" s="22">
        <f>IF(LEFT((_xll.BDP(A194,"DVD_SH_LAST")), 4) = "#N/A", NA(), (_xll.BDP(A194,"DVD_SH_LAST")))</f>
        <v/>
      </c>
      <c r="F194" s="22">
        <f>IF(LEFT((_xll.BDP(A194,"DVD_TYP_LAST")), 4) = "#N/A", NA(), (_xll.BDP(A194,"DVD_TYP_LAST")))</f>
        <v/>
      </c>
      <c r="G194" s="16">
        <f>IF(ISNUMBER(C194),IF(C194&gt;=Settings!$B$5,"Y","N"),"")</f>
        <v/>
      </c>
      <c r="H194" s="16">
        <f>IF(G194="Y",IF(ISNUMBER(SEARCH("Special",F194)),"SPECIAL DIVIDEND","NEW DIVIDEND"),IF(ISNUMBER(SEARCH("Special",F194)),"SPECIAL DIVIDEND",""))</f>
        <v/>
      </c>
    </row>
    <row r="195">
      <c r="A195" s="16">
        <f>'Rest Universe'!A196</f>
        <v/>
      </c>
      <c r="B195" s="22">
        <f>IFERROR(_xll.BDP(A195,"NAME"),"")</f>
        <v/>
      </c>
      <c r="C195" s="22">
        <f>IF(LEFT((_xll.BDP(A195,"DVD_DECLARED_DT")),4)="#N/A",NA(),(_xll.BDP(A195,"DVD_DECLARED_DT")))</f>
        <v/>
      </c>
      <c r="D195" s="22">
        <f>IF(LEFT((_xll.BDP(A195,"DVD_EX_DT")),4)="#N/A",NA(),(_xll.BDP(A195,"DVD_EX_DT")))</f>
        <v/>
      </c>
      <c r="E195" s="22">
        <f>IF(LEFT((_xll.BDP(A195,"DVD_SH_LAST")), 4) = "#N/A", NA(), (_xll.BDP(A195,"DVD_SH_LAST")))</f>
        <v/>
      </c>
      <c r="F195" s="22">
        <f>IF(LEFT((_xll.BDP(A195,"DVD_TYP_LAST")), 4) = "#N/A", NA(), (_xll.BDP(A195,"DVD_TYP_LAST")))</f>
        <v/>
      </c>
      <c r="G195" s="16">
        <f>IF(ISNUMBER(C195),IF(C195&gt;=Settings!$B$5,"Y","N"),"")</f>
        <v/>
      </c>
      <c r="H195" s="16">
        <f>IF(G195="Y",IF(ISNUMBER(SEARCH("Special",F195)),"SPECIAL DIVIDEND","NEW DIVIDEND"),IF(ISNUMBER(SEARCH("Special",F195)),"SPECIAL DIVIDEND",""))</f>
        <v/>
      </c>
    </row>
    <row r="196">
      <c r="A196" s="16">
        <f>'Rest Universe'!A197</f>
        <v/>
      </c>
      <c r="B196" s="22">
        <f>IFERROR(_xll.BDP(A196,"NAME"),"")</f>
        <v/>
      </c>
      <c r="C196" s="22">
        <f>IF(LEFT((_xll.BDP(A196,"DVD_DECLARED_DT")),4)="#N/A",NA(),(_xll.BDP(A196,"DVD_DECLARED_DT")))</f>
        <v/>
      </c>
      <c r="D196" s="22">
        <f>IF(LEFT((_xll.BDP(A196,"DVD_EX_DT")),4)="#N/A",NA(),(_xll.BDP(A196,"DVD_EX_DT")))</f>
        <v/>
      </c>
      <c r="E196" s="22">
        <f>IF(LEFT((_xll.BDP(A196,"DVD_SH_LAST")), 4) = "#N/A", NA(), (_xll.BDP(A196,"DVD_SH_LAST")))</f>
        <v/>
      </c>
      <c r="F196" s="22">
        <f>IF(LEFT((_xll.BDP(A196,"DVD_TYP_LAST")), 4) = "#N/A", NA(), (_xll.BDP(A196,"DVD_TYP_LAST")))</f>
        <v/>
      </c>
      <c r="G196" s="16">
        <f>IF(ISNUMBER(C196),IF(C196&gt;=Settings!$B$5,"Y","N"),"")</f>
        <v/>
      </c>
      <c r="H196" s="16">
        <f>IF(G196="Y",IF(ISNUMBER(SEARCH("Special",F196)),"SPECIAL DIVIDEND","NEW DIVIDEND"),IF(ISNUMBER(SEARCH("Special",F196)),"SPECIAL DIVIDEND",""))</f>
        <v/>
      </c>
    </row>
    <row r="197">
      <c r="A197" s="16">
        <f>'Rest Universe'!A198</f>
        <v/>
      </c>
      <c r="B197" s="22">
        <f>IFERROR(_xll.BDP(A197,"NAME"),"")</f>
        <v/>
      </c>
      <c r="C197" s="22">
        <f>IF(LEFT((_xll.BDP(A197,"DVD_DECLARED_DT")),4)="#N/A",NA(),(_xll.BDP(A197,"DVD_DECLARED_DT")))</f>
        <v/>
      </c>
      <c r="D197" s="22">
        <f>IF(LEFT((_xll.BDP(A197,"DVD_EX_DT")),4)="#N/A",NA(),(_xll.BDP(A197,"DVD_EX_DT")))</f>
        <v/>
      </c>
      <c r="E197" s="22">
        <f>IF(LEFT((_xll.BDP(A197,"DVD_SH_LAST")), 4) = "#N/A", NA(), (_xll.BDP(A197,"DVD_SH_LAST")))</f>
        <v/>
      </c>
      <c r="F197" s="22">
        <f>IF(LEFT((_xll.BDP(A197,"DVD_TYP_LAST")), 4) = "#N/A", NA(), (_xll.BDP(A197,"DVD_TYP_LAST")))</f>
        <v/>
      </c>
      <c r="G197" s="16">
        <f>IF(ISNUMBER(C197),IF(C197&gt;=Settings!$B$5,"Y","N"),"")</f>
        <v/>
      </c>
      <c r="H197" s="16">
        <f>IF(G197="Y",IF(ISNUMBER(SEARCH("Special",F197)),"SPECIAL DIVIDEND","NEW DIVIDEND"),IF(ISNUMBER(SEARCH("Special",F197)),"SPECIAL DIVIDEND",""))</f>
        <v/>
      </c>
    </row>
    <row r="198">
      <c r="A198" s="16">
        <f>'Rest Universe'!A199</f>
        <v/>
      </c>
      <c r="B198" s="22">
        <f>IFERROR(_xll.BDP(A198,"NAME"),"")</f>
        <v/>
      </c>
      <c r="C198" s="22">
        <f>IF(LEFT((_xll.BDP(A198,"DVD_DECLARED_DT")),4)="#N/A",NA(),(_xll.BDP(A198,"DVD_DECLARED_DT")))</f>
        <v/>
      </c>
      <c r="D198" s="22">
        <f>IF(LEFT((_xll.BDP(A198,"DVD_EX_DT")),4)="#N/A",NA(),(_xll.BDP(A198,"DVD_EX_DT")))</f>
        <v/>
      </c>
      <c r="E198" s="22">
        <f>IF(LEFT((_xll.BDP(A198,"DVD_SH_LAST")), 4) = "#N/A", NA(), (_xll.BDP(A198,"DVD_SH_LAST")))</f>
        <v/>
      </c>
      <c r="F198" s="22">
        <f>IF(LEFT((_xll.BDP(A198,"DVD_TYP_LAST")), 4) = "#N/A", NA(), (_xll.BDP(A198,"DVD_TYP_LAST")))</f>
        <v/>
      </c>
      <c r="G198" s="16">
        <f>IF(ISNUMBER(C198),IF(C198&gt;=Settings!$B$5,"Y","N"),"")</f>
        <v/>
      </c>
      <c r="H198" s="16">
        <f>IF(G198="Y",IF(ISNUMBER(SEARCH("Special",F198)),"SPECIAL DIVIDEND","NEW DIVIDEND"),IF(ISNUMBER(SEARCH("Special",F198)),"SPECIAL DIVIDEND",""))</f>
        <v/>
      </c>
    </row>
    <row r="199">
      <c r="A199" s="16">
        <f>'Rest Universe'!A200</f>
        <v/>
      </c>
      <c r="B199" s="22">
        <f>IFERROR(_xll.BDP(A199,"NAME"),"")</f>
        <v/>
      </c>
      <c r="C199" s="22">
        <f>IF(LEFT((_xll.BDP(A199,"DVD_DECLARED_DT")),4)="#N/A",NA(),(_xll.BDP(A199,"DVD_DECLARED_DT")))</f>
        <v/>
      </c>
      <c r="D199" s="22">
        <f>IF(LEFT((_xll.BDP(A199,"DVD_EX_DT")),4)="#N/A",NA(),(_xll.BDP(A199,"DVD_EX_DT")))</f>
        <v/>
      </c>
      <c r="E199" s="22">
        <f>IF(LEFT((_xll.BDP(A199,"DVD_SH_LAST")), 4) = "#N/A", NA(), (_xll.BDP(A199,"DVD_SH_LAST")))</f>
        <v/>
      </c>
      <c r="F199" s="22">
        <f>IF(LEFT((_xll.BDP(A199,"DVD_TYP_LAST")), 4) = "#N/A", NA(), (_xll.BDP(A199,"DVD_TYP_LAST")))</f>
        <v/>
      </c>
      <c r="G199" s="16">
        <f>IF(ISNUMBER(C199),IF(C199&gt;=Settings!$B$5,"Y","N"),"")</f>
        <v/>
      </c>
      <c r="H199" s="16">
        <f>IF(G199="Y",IF(ISNUMBER(SEARCH("Special",F199)),"SPECIAL DIVIDEND","NEW DIVIDEND"),IF(ISNUMBER(SEARCH("Special",F199)),"SPECIAL DIVIDEND",""))</f>
        <v/>
      </c>
    </row>
    <row r="200">
      <c r="A200" s="16">
        <f>'Rest Universe'!A201</f>
        <v/>
      </c>
      <c r="B200" s="22">
        <f>IFERROR(_xll.BDP(A200,"NAME"),"")</f>
        <v/>
      </c>
      <c r="C200" s="22">
        <f>IF(LEFT((_xll.BDP(A200,"DVD_DECLARED_DT")),4)="#N/A",NA(),(_xll.BDP(A200,"DVD_DECLARED_DT")))</f>
        <v/>
      </c>
      <c r="D200" s="22">
        <f>IF(LEFT((_xll.BDP(A200,"DVD_EX_DT")),4)="#N/A",NA(),(_xll.BDP(A200,"DVD_EX_DT")))</f>
        <v/>
      </c>
      <c r="E200" s="22">
        <f>IF(LEFT((_xll.BDP(A200,"DVD_SH_LAST")), 4) = "#N/A", NA(), (_xll.BDP(A200,"DVD_SH_LAST")))</f>
        <v/>
      </c>
      <c r="F200" s="22">
        <f>IF(LEFT((_xll.BDP(A200,"DVD_TYP_LAST")), 4) = "#N/A", NA(), (_xll.BDP(A200,"DVD_TYP_LAST")))</f>
        <v/>
      </c>
      <c r="G200" s="16">
        <f>IF(ISNUMBER(C200),IF(C200&gt;=Settings!$B$5,"Y","N"),"")</f>
        <v/>
      </c>
      <c r="H200" s="16">
        <f>IF(G200="Y",IF(ISNUMBER(SEARCH("Special",F200)),"SPECIAL DIVIDEND","NEW DIVIDEND"),IF(ISNUMBER(SEARCH("Special",F200)),"SPECIAL DIVIDEND",""))</f>
        <v/>
      </c>
    </row>
    <row r="201">
      <c r="A201" s="16">
        <f>'Rest Universe'!A202</f>
        <v/>
      </c>
      <c r="B201" s="22">
        <f>IFERROR(_xll.BDP(A201,"NAME"),"")</f>
        <v/>
      </c>
      <c r="C201" s="22">
        <f>IF(LEFT((_xll.BDP(A201,"DVD_DECLARED_DT")),4)="#N/A",NA(),(_xll.BDP(A201,"DVD_DECLARED_DT")))</f>
        <v/>
      </c>
      <c r="D201" s="22">
        <f>IF(LEFT((_xll.BDP(A201,"DVD_EX_DT")),4)="#N/A",NA(),(_xll.BDP(A201,"DVD_EX_DT")))</f>
        <v/>
      </c>
      <c r="E201" s="22">
        <f>IF(LEFT((_xll.BDP(A201,"DVD_SH_LAST")), 4) = "#N/A", NA(), (_xll.BDP(A201,"DVD_SH_LAST")))</f>
        <v/>
      </c>
      <c r="F201" s="22">
        <f>IF(LEFT((_xll.BDP(A201,"DVD_TYP_LAST")), 4) = "#N/A", NA(), (_xll.BDP(A201,"DVD_TYP_LAST")))</f>
        <v/>
      </c>
      <c r="G201" s="16">
        <f>IF(ISNUMBER(C201),IF(C201&gt;=Settings!$B$5,"Y","N"),"")</f>
        <v/>
      </c>
      <c r="H201" s="16">
        <f>IF(G201="Y",IF(ISNUMBER(SEARCH("Special",F201)),"SPECIAL DIVIDEND","NEW DIVIDEND"),IF(ISNUMBER(SEARCH("Special",F201)),"SPECIAL DIVIDEND",""))</f>
        <v/>
      </c>
    </row>
    <row r="202">
      <c r="A202" s="16">
        <f>'Rest Universe'!A203</f>
        <v/>
      </c>
      <c r="B202" s="22">
        <f>IFERROR(_xll.BDP(A202,"NAME"),"")</f>
        <v/>
      </c>
      <c r="C202" s="22">
        <f>IF(LEFT((_xll.BDP(A202,"DVD_DECLARED_DT")),4)="#N/A",NA(),(_xll.BDP(A202,"DVD_DECLARED_DT")))</f>
        <v/>
      </c>
      <c r="D202" s="22">
        <f>IF(LEFT((_xll.BDP(A202,"DVD_EX_DT")),4)="#N/A",NA(),(_xll.BDP(A202,"DVD_EX_DT")))</f>
        <v/>
      </c>
      <c r="E202" s="22">
        <f>IF(LEFT((_xll.BDP(A202,"DVD_SH_LAST")), 4) = "#N/A", NA(), (_xll.BDP(A202,"DVD_SH_LAST")))</f>
        <v/>
      </c>
      <c r="F202" s="22">
        <f>IF(LEFT((_xll.BDP(A202,"DVD_TYP_LAST")), 4) = "#N/A", NA(), (_xll.BDP(A202,"DVD_TYP_LAST")))</f>
        <v/>
      </c>
      <c r="G202" s="16">
        <f>IF(ISNUMBER(C202),IF(C202&gt;=Settings!$B$5,"Y","N"),"")</f>
        <v/>
      </c>
      <c r="H202" s="16">
        <f>IF(G202="Y",IF(ISNUMBER(SEARCH("Special",F202)),"SPECIAL DIVIDEND","NEW DIVIDEND"),IF(ISNUMBER(SEARCH("Special",F202)),"SPECIAL DIVIDEND",""))</f>
        <v/>
      </c>
    </row>
    <row r="203">
      <c r="A203" s="16">
        <f>'Rest Universe'!A204</f>
        <v/>
      </c>
      <c r="B203" s="22">
        <f>IFERROR(_xll.BDP(A203,"NAME"),"")</f>
        <v/>
      </c>
      <c r="C203" s="22">
        <f>IF(LEFT((_xll.BDP(A203,"DVD_DECLARED_DT")),4)="#N/A",NA(),(_xll.BDP(A203,"DVD_DECLARED_DT")))</f>
        <v/>
      </c>
      <c r="D203" s="22">
        <f>IF(LEFT((_xll.BDP(A203,"DVD_EX_DT")),4)="#N/A",NA(),(_xll.BDP(A203,"DVD_EX_DT")))</f>
        <v/>
      </c>
      <c r="E203" s="22">
        <f>IF(LEFT((_xll.BDP(A203,"DVD_SH_LAST")), 4) = "#N/A", NA(), (_xll.BDP(A203,"DVD_SH_LAST")))</f>
        <v/>
      </c>
      <c r="F203" s="22">
        <f>IF(LEFT((_xll.BDP(A203,"DVD_TYP_LAST")), 4) = "#N/A", NA(), (_xll.BDP(A203,"DVD_TYP_LAST")))</f>
        <v/>
      </c>
      <c r="G203" s="16">
        <f>IF(ISNUMBER(C203),IF(C203&gt;=Settings!$B$5,"Y","N"),"")</f>
        <v/>
      </c>
      <c r="H203" s="16">
        <f>IF(G203="Y",IF(ISNUMBER(SEARCH("Special",F203)),"SPECIAL DIVIDEND","NEW DIVIDEND"),IF(ISNUMBER(SEARCH("Special",F203)),"SPECIAL DIVIDEND",""))</f>
        <v/>
      </c>
    </row>
    <row r="204">
      <c r="A204" s="16">
        <f>'Rest Universe'!A205</f>
        <v/>
      </c>
      <c r="B204" s="22">
        <f>IFERROR(_xll.BDP(A204,"NAME"),"")</f>
        <v/>
      </c>
      <c r="C204" s="22">
        <f>IF(LEFT((_xll.BDP(A204,"DVD_DECLARED_DT")),4)="#N/A",NA(),(_xll.BDP(A204,"DVD_DECLARED_DT")))</f>
        <v/>
      </c>
      <c r="D204" s="22">
        <f>IF(LEFT((_xll.BDP(A204,"DVD_EX_DT")),4)="#N/A",NA(),(_xll.BDP(A204,"DVD_EX_DT")))</f>
        <v/>
      </c>
      <c r="E204" s="22">
        <f>IF(LEFT((_xll.BDP(A204,"DVD_SH_LAST")), 4) = "#N/A", NA(), (_xll.BDP(A204,"DVD_SH_LAST")))</f>
        <v/>
      </c>
      <c r="F204" s="22">
        <f>IF(LEFT((_xll.BDP(A204,"DVD_TYP_LAST")), 4) = "#N/A", NA(), (_xll.BDP(A204,"DVD_TYP_LAST")))</f>
        <v/>
      </c>
      <c r="G204" s="16">
        <f>IF(ISNUMBER(C204),IF(C204&gt;=Settings!$B$5,"Y","N"),"")</f>
        <v/>
      </c>
      <c r="H204" s="16">
        <f>IF(G204="Y",IF(ISNUMBER(SEARCH("Special",F204)),"SPECIAL DIVIDEND","NEW DIVIDEND"),IF(ISNUMBER(SEARCH("Special",F204)),"SPECIAL DIVIDEND",""))</f>
        <v/>
      </c>
    </row>
    <row r="205">
      <c r="A205" s="16">
        <f>'Rest Universe'!A206</f>
        <v/>
      </c>
      <c r="B205" s="22">
        <f>IFERROR(_xll.BDP(A205,"NAME"),"")</f>
        <v/>
      </c>
      <c r="C205" s="22">
        <f>IF(LEFT((_xll.BDP(A205,"DVD_DECLARED_DT")),4)="#N/A",NA(),(_xll.BDP(A205,"DVD_DECLARED_DT")))</f>
        <v/>
      </c>
      <c r="D205" s="22">
        <f>IF(LEFT((_xll.BDP(A205,"DVD_EX_DT")),4)="#N/A",NA(),(_xll.BDP(A205,"DVD_EX_DT")))</f>
        <v/>
      </c>
      <c r="E205" s="22">
        <f>IF(LEFT((_xll.BDP(A205,"DVD_SH_LAST")), 4) = "#N/A", NA(), (_xll.BDP(A205,"DVD_SH_LAST")))</f>
        <v/>
      </c>
      <c r="F205" s="22">
        <f>IF(LEFT((_xll.BDP(A205,"DVD_TYP_LAST")), 4) = "#N/A", NA(), (_xll.BDP(A205,"DVD_TYP_LAST")))</f>
        <v/>
      </c>
      <c r="G205" s="16">
        <f>IF(ISNUMBER(C205),IF(C205&gt;=Settings!$B$5,"Y","N"),"")</f>
        <v/>
      </c>
      <c r="H205" s="16">
        <f>IF(G205="Y",IF(ISNUMBER(SEARCH("Special",F205)),"SPECIAL DIVIDEND","NEW DIVIDEND"),IF(ISNUMBER(SEARCH("Special",F205)),"SPECIAL DIVIDEND",""))</f>
        <v/>
      </c>
    </row>
    <row r="206">
      <c r="A206" s="16">
        <f>'Rest Universe'!A207</f>
        <v/>
      </c>
      <c r="B206" s="22">
        <f>IFERROR(_xll.BDP(A206,"NAME"),"")</f>
        <v/>
      </c>
      <c r="C206" s="22">
        <f>IF(LEFT((_xll.BDP(A206,"DVD_DECLARED_DT")),4)="#N/A",NA(),(_xll.BDP(A206,"DVD_DECLARED_DT")))</f>
        <v/>
      </c>
      <c r="D206" s="22">
        <f>IF(LEFT((_xll.BDP(A206,"DVD_EX_DT")),4)="#N/A",NA(),(_xll.BDP(A206,"DVD_EX_DT")))</f>
        <v/>
      </c>
      <c r="E206" s="22">
        <f>IF(LEFT((_xll.BDP(A206,"DVD_SH_LAST")), 4) = "#N/A", NA(), (_xll.BDP(A206,"DVD_SH_LAST")))</f>
        <v/>
      </c>
      <c r="F206" s="22">
        <f>IF(LEFT((_xll.BDP(A206,"DVD_TYP_LAST")), 4) = "#N/A", NA(), (_xll.BDP(A206,"DVD_TYP_LAST")))</f>
        <v/>
      </c>
      <c r="G206" s="16">
        <f>IF(ISNUMBER(C206),IF(C206&gt;=Settings!$B$5,"Y","N"),"")</f>
        <v/>
      </c>
      <c r="H206" s="16">
        <f>IF(G206="Y",IF(ISNUMBER(SEARCH("Special",F206)),"SPECIAL DIVIDEND","NEW DIVIDEND"),IF(ISNUMBER(SEARCH("Special",F206)),"SPECIAL DIVIDEND",""))</f>
        <v/>
      </c>
    </row>
    <row r="207">
      <c r="A207" s="16">
        <f>'Rest Universe'!A208</f>
        <v/>
      </c>
      <c r="B207" s="22">
        <f>IFERROR(_xll.BDP(A207,"NAME"),"")</f>
        <v/>
      </c>
      <c r="C207" s="22">
        <f>IF(LEFT((_xll.BDP(A207,"DVD_DECLARED_DT")),4)="#N/A",NA(),(_xll.BDP(A207,"DVD_DECLARED_DT")))</f>
        <v/>
      </c>
      <c r="D207" s="22">
        <f>IF(LEFT((_xll.BDP(A207,"DVD_EX_DT")),4)="#N/A",NA(),(_xll.BDP(A207,"DVD_EX_DT")))</f>
        <v/>
      </c>
      <c r="E207" s="22">
        <f>IF(LEFT((_xll.BDP(A207,"DVD_SH_LAST")), 4) = "#N/A", NA(), (_xll.BDP(A207,"DVD_SH_LAST")))</f>
        <v/>
      </c>
      <c r="F207" s="22">
        <f>IF(LEFT((_xll.BDP(A207,"DVD_TYP_LAST")), 4) = "#N/A", NA(), (_xll.BDP(A207,"DVD_TYP_LAST")))</f>
        <v/>
      </c>
      <c r="G207" s="16">
        <f>IF(ISNUMBER(C207),IF(C207&gt;=Settings!$B$5,"Y","N"),"")</f>
        <v/>
      </c>
      <c r="H207" s="16">
        <f>IF(G207="Y",IF(ISNUMBER(SEARCH("Special",F207)),"SPECIAL DIVIDEND","NEW DIVIDEND"),IF(ISNUMBER(SEARCH("Special",F207)),"SPECIAL DIVIDEND",""))</f>
        <v/>
      </c>
    </row>
    <row r="208">
      <c r="A208" s="16">
        <f>'Rest Universe'!A209</f>
        <v/>
      </c>
      <c r="B208" s="22">
        <f>IFERROR(_xll.BDP(A208,"NAME"),"")</f>
        <v/>
      </c>
      <c r="C208" s="22">
        <f>IF(LEFT((_xll.BDP(A208,"DVD_DECLARED_DT")),4)="#N/A",NA(),(_xll.BDP(A208,"DVD_DECLARED_DT")))</f>
        <v/>
      </c>
      <c r="D208" s="22">
        <f>IF(LEFT((_xll.BDP(A208,"DVD_EX_DT")),4)="#N/A",NA(),(_xll.BDP(A208,"DVD_EX_DT")))</f>
        <v/>
      </c>
      <c r="E208" s="22">
        <f>IF(LEFT((_xll.BDP(A208,"DVD_SH_LAST")), 4) = "#N/A", NA(), (_xll.BDP(A208,"DVD_SH_LAST")))</f>
        <v/>
      </c>
      <c r="F208" s="22">
        <f>IF(LEFT((_xll.BDP(A208,"DVD_TYP_LAST")), 4) = "#N/A", NA(), (_xll.BDP(A208,"DVD_TYP_LAST")))</f>
        <v/>
      </c>
      <c r="G208" s="16">
        <f>IF(ISNUMBER(C208),IF(C208&gt;=Settings!$B$5,"Y","N"),"")</f>
        <v/>
      </c>
      <c r="H208" s="16">
        <f>IF(G208="Y",IF(ISNUMBER(SEARCH("Special",F208)),"SPECIAL DIVIDEND","NEW DIVIDEND"),IF(ISNUMBER(SEARCH("Special",F208)),"SPECIAL DIVIDEND",""))</f>
        <v/>
      </c>
    </row>
    <row r="209">
      <c r="A209" s="16">
        <f>'Rest Universe'!A210</f>
        <v/>
      </c>
      <c r="B209" s="22">
        <f>IFERROR(_xll.BDP(A209,"NAME"),"")</f>
        <v/>
      </c>
      <c r="C209" s="22">
        <f>IF(LEFT((_xll.BDP(A209,"DVD_DECLARED_DT")),4)="#N/A",NA(),(_xll.BDP(A209,"DVD_DECLARED_DT")))</f>
        <v/>
      </c>
      <c r="D209" s="22">
        <f>IF(LEFT((_xll.BDP(A209,"DVD_EX_DT")),4)="#N/A",NA(),(_xll.BDP(A209,"DVD_EX_DT")))</f>
        <v/>
      </c>
      <c r="E209" s="22">
        <f>IF(LEFT((_xll.BDP(A209,"DVD_SH_LAST")), 4) = "#N/A", NA(), (_xll.BDP(A209,"DVD_SH_LAST")))</f>
        <v/>
      </c>
      <c r="F209" s="22">
        <f>IF(LEFT((_xll.BDP(A209,"DVD_TYP_LAST")), 4) = "#N/A", NA(), (_xll.BDP(A209,"DVD_TYP_LAST")))</f>
        <v/>
      </c>
      <c r="G209" s="16">
        <f>IF(ISNUMBER(C209),IF(C209&gt;=Settings!$B$5,"Y","N"),"")</f>
        <v/>
      </c>
      <c r="H209" s="16">
        <f>IF(G209="Y",IF(ISNUMBER(SEARCH("Special",F209)),"SPECIAL DIVIDEND","NEW DIVIDEND"),IF(ISNUMBER(SEARCH("Special",F209)),"SPECIAL DIVIDEND",""))</f>
        <v/>
      </c>
    </row>
    <row r="210">
      <c r="A210" s="16">
        <f>'Rest Universe'!A211</f>
        <v/>
      </c>
      <c r="B210" s="22">
        <f>IFERROR(_xll.BDP(A210,"NAME"),"")</f>
        <v/>
      </c>
      <c r="C210" s="22">
        <f>IF(LEFT((_xll.BDP(A210,"DVD_DECLARED_DT")),4)="#N/A",NA(),(_xll.BDP(A210,"DVD_DECLARED_DT")))</f>
        <v/>
      </c>
      <c r="D210" s="22">
        <f>IF(LEFT((_xll.BDP(A210,"DVD_EX_DT")),4)="#N/A",NA(),(_xll.BDP(A210,"DVD_EX_DT")))</f>
        <v/>
      </c>
      <c r="E210" s="22">
        <f>IF(LEFT((_xll.BDP(A210,"DVD_SH_LAST")), 4) = "#N/A", NA(), (_xll.BDP(A210,"DVD_SH_LAST")))</f>
        <v/>
      </c>
      <c r="F210" s="22">
        <f>IF(LEFT((_xll.BDP(A210,"DVD_TYP_LAST")), 4) = "#N/A", NA(), (_xll.BDP(A210,"DVD_TYP_LAST")))</f>
        <v/>
      </c>
      <c r="G210" s="16">
        <f>IF(ISNUMBER(C210),IF(C210&gt;=Settings!$B$5,"Y","N"),"")</f>
        <v/>
      </c>
      <c r="H210" s="16">
        <f>IF(G210="Y",IF(ISNUMBER(SEARCH("Special",F210)),"SPECIAL DIVIDEND","NEW DIVIDEND"),IF(ISNUMBER(SEARCH("Special",F210)),"SPECIAL DIVIDEND",""))</f>
        <v/>
      </c>
    </row>
    <row r="211">
      <c r="A211" s="16">
        <f>'Rest Universe'!A212</f>
        <v/>
      </c>
      <c r="B211" s="22">
        <f>IFERROR(_xll.BDP(A211,"NAME"),"")</f>
        <v/>
      </c>
      <c r="C211" s="22">
        <f>IF(LEFT((_xll.BDP(A211,"DVD_DECLARED_DT")),4)="#N/A",NA(),(_xll.BDP(A211,"DVD_DECLARED_DT")))</f>
        <v/>
      </c>
      <c r="D211" s="22">
        <f>IF(LEFT((_xll.BDP(A211,"DVD_EX_DT")),4)="#N/A",NA(),(_xll.BDP(A211,"DVD_EX_DT")))</f>
        <v/>
      </c>
      <c r="E211" s="22">
        <f>IF(LEFT((_xll.BDP(A211,"DVD_SH_LAST")), 4) = "#N/A", NA(), (_xll.BDP(A211,"DVD_SH_LAST")))</f>
        <v/>
      </c>
      <c r="F211" s="22">
        <f>IF(LEFT((_xll.BDP(A211,"DVD_TYP_LAST")), 4) = "#N/A", NA(), (_xll.BDP(A211,"DVD_TYP_LAST")))</f>
        <v/>
      </c>
      <c r="G211" s="16">
        <f>IF(ISNUMBER(C211),IF(C211&gt;=Settings!$B$5,"Y","N"),"")</f>
        <v/>
      </c>
      <c r="H211" s="16">
        <f>IF(G211="Y",IF(ISNUMBER(SEARCH("Special",F211)),"SPECIAL DIVIDEND","NEW DIVIDEND"),IF(ISNUMBER(SEARCH("Special",F211)),"SPECIAL DIVIDEND",""))</f>
        <v/>
      </c>
    </row>
    <row r="212">
      <c r="A212" s="16">
        <f>'Rest Universe'!A213</f>
        <v/>
      </c>
      <c r="B212" s="22">
        <f>IFERROR(_xll.BDP(A212,"NAME"),"")</f>
        <v/>
      </c>
      <c r="C212" s="22">
        <f>IF(LEFT((_xll.BDP(A212,"DVD_DECLARED_DT")),4)="#N/A",NA(),(_xll.BDP(A212,"DVD_DECLARED_DT")))</f>
        <v/>
      </c>
      <c r="D212" s="22">
        <f>IF(LEFT((_xll.BDP(A212,"DVD_EX_DT")),4)="#N/A",NA(),(_xll.BDP(A212,"DVD_EX_DT")))</f>
        <v/>
      </c>
      <c r="E212" s="22">
        <f>IF(LEFT((_xll.BDP(A212,"DVD_SH_LAST")), 4) = "#N/A", NA(), (_xll.BDP(A212,"DVD_SH_LAST")))</f>
        <v/>
      </c>
      <c r="F212" s="22">
        <f>IF(LEFT((_xll.BDP(A212,"DVD_TYP_LAST")), 4) = "#N/A", NA(), (_xll.BDP(A212,"DVD_TYP_LAST")))</f>
        <v/>
      </c>
      <c r="G212" s="16">
        <f>IF(ISNUMBER(C212),IF(C212&gt;=Settings!$B$5,"Y","N"),"")</f>
        <v/>
      </c>
      <c r="H212" s="16">
        <f>IF(G212="Y",IF(ISNUMBER(SEARCH("Special",F212)),"SPECIAL DIVIDEND","NEW DIVIDEND"),IF(ISNUMBER(SEARCH("Special",F212)),"SPECIAL DIVIDEND",""))</f>
        <v/>
      </c>
    </row>
    <row r="213">
      <c r="A213" s="16">
        <f>'Rest Universe'!A214</f>
        <v/>
      </c>
      <c r="B213" s="22">
        <f>IFERROR(_xll.BDP(A213,"NAME"),"")</f>
        <v/>
      </c>
      <c r="C213" s="22">
        <f>IF(LEFT((_xll.BDP(A213,"DVD_DECLARED_DT")),4)="#N/A",NA(),(_xll.BDP(A213,"DVD_DECLARED_DT")))</f>
        <v/>
      </c>
      <c r="D213" s="22">
        <f>IF(LEFT((_xll.BDP(A213,"DVD_EX_DT")),4)="#N/A",NA(),(_xll.BDP(A213,"DVD_EX_DT")))</f>
        <v/>
      </c>
      <c r="E213" s="22">
        <f>IF(LEFT((_xll.BDP(A213,"DVD_SH_LAST")), 4) = "#N/A", NA(), (_xll.BDP(A213,"DVD_SH_LAST")))</f>
        <v/>
      </c>
      <c r="F213" s="22">
        <f>IF(LEFT((_xll.BDP(A213,"DVD_TYP_LAST")), 4) = "#N/A", NA(), (_xll.BDP(A213,"DVD_TYP_LAST")))</f>
        <v/>
      </c>
      <c r="G213" s="16">
        <f>IF(ISNUMBER(C213),IF(C213&gt;=Settings!$B$5,"Y","N"),"")</f>
        <v/>
      </c>
      <c r="H213" s="16">
        <f>IF(G213="Y",IF(ISNUMBER(SEARCH("Special",F213)),"SPECIAL DIVIDEND","NEW DIVIDEND"),IF(ISNUMBER(SEARCH("Special",F213)),"SPECIAL DIVIDEND",""))</f>
        <v/>
      </c>
    </row>
    <row r="214">
      <c r="A214" s="16">
        <f>'Rest Universe'!A215</f>
        <v/>
      </c>
      <c r="B214" s="22">
        <f>IFERROR(_xll.BDP(A214,"NAME"),"")</f>
        <v/>
      </c>
      <c r="C214" s="22">
        <f>IF(LEFT((_xll.BDP(A214,"DVD_DECLARED_DT")),4)="#N/A",NA(),(_xll.BDP(A214,"DVD_DECLARED_DT")))</f>
        <v/>
      </c>
      <c r="D214" s="22">
        <f>IF(LEFT((_xll.BDP(A214,"DVD_EX_DT")),4)="#N/A",NA(),(_xll.BDP(A214,"DVD_EX_DT")))</f>
        <v/>
      </c>
      <c r="E214" s="22">
        <f>IF(LEFT((_xll.BDP(A214,"DVD_SH_LAST")), 4) = "#N/A", NA(), (_xll.BDP(A214,"DVD_SH_LAST")))</f>
        <v/>
      </c>
      <c r="F214" s="22">
        <f>IF(LEFT((_xll.BDP(A214,"DVD_TYP_LAST")), 4) = "#N/A", NA(), (_xll.BDP(A214,"DVD_TYP_LAST")))</f>
        <v/>
      </c>
      <c r="G214" s="16">
        <f>IF(ISNUMBER(C214),IF(C214&gt;=Settings!$B$5,"Y","N"),"")</f>
        <v/>
      </c>
      <c r="H214" s="16">
        <f>IF(G214="Y",IF(ISNUMBER(SEARCH("Special",F214)),"SPECIAL DIVIDEND","NEW DIVIDEND"),IF(ISNUMBER(SEARCH("Special",F214)),"SPECIAL DIVIDEND",""))</f>
        <v/>
      </c>
    </row>
    <row r="215">
      <c r="A215" s="16">
        <f>'Rest Universe'!A216</f>
        <v/>
      </c>
      <c r="B215" s="22">
        <f>IFERROR(_xll.BDP(A215,"NAME"),"")</f>
        <v/>
      </c>
      <c r="C215" s="22">
        <f>IF(LEFT((_xll.BDP(A215,"DVD_DECLARED_DT")),4)="#N/A",NA(),(_xll.BDP(A215,"DVD_DECLARED_DT")))</f>
        <v/>
      </c>
      <c r="D215" s="22">
        <f>IF(LEFT((_xll.BDP(A215,"DVD_EX_DT")),4)="#N/A",NA(),(_xll.BDP(A215,"DVD_EX_DT")))</f>
        <v/>
      </c>
      <c r="E215" s="22">
        <f>IF(LEFT((_xll.BDP(A215,"DVD_SH_LAST")), 4) = "#N/A", NA(), (_xll.BDP(A215,"DVD_SH_LAST")))</f>
        <v/>
      </c>
      <c r="F215" s="22">
        <f>IF(LEFT((_xll.BDP(A215,"DVD_TYP_LAST")), 4) = "#N/A", NA(), (_xll.BDP(A215,"DVD_TYP_LAST")))</f>
        <v/>
      </c>
      <c r="G215" s="16">
        <f>IF(ISNUMBER(C215),IF(C215&gt;=Settings!$B$5,"Y","N"),"")</f>
        <v/>
      </c>
      <c r="H215" s="16">
        <f>IF(G215="Y",IF(ISNUMBER(SEARCH("Special",F215)),"SPECIAL DIVIDEND","NEW DIVIDEND"),IF(ISNUMBER(SEARCH("Special",F215)),"SPECIAL DIVIDEND",""))</f>
        <v/>
      </c>
    </row>
    <row r="216">
      <c r="A216" s="16">
        <f>'Rest Universe'!A217</f>
        <v/>
      </c>
      <c r="B216" s="22">
        <f>IFERROR(_xll.BDP(A216,"NAME"),"")</f>
        <v/>
      </c>
      <c r="C216" s="22">
        <f>IF(LEFT((_xll.BDP(A216,"DVD_DECLARED_DT")),4)="#N/A",NA(),(_xll.BDP(A216,"DVD_DECLARED_DT")))</f>
        <v/>
      </c>
      <c r="D216" s="22">
        <f>IF(LEFT((_xll.BDP(A216,"DVD_EX_DT")),4)="#N/A",NA(),(_xll.BDP(A216,"DVD_EX_DT")))</f>
        <v/>
      </c>
      <c r="E216" s="22">
        <f>IF(LEFT((_xll.BDP(A216,"DVD_SH_LAST")), 4) = "#N/A", NA(), (_xll.BDP(A216,"DVD_SH_LAST")))</f>
        <v/>
      </c>
      <c r="F216" s="22">
        <f>IF(LEFT((_xll.BDP(A216,"DVD_TYP_LAST")), 4) = "#N/A", NA(), (_xll.BDP(A216,"DVD_TYP_LAST")))</f>
        <v/>
      </c>
      <c r="G216" s="16">
        <f>IF(ISNUMBER(C216),IF(C216&gt;=Settings!$B$5,"Y","N"),"")</f>
        <v/>
      </c>
      <c r="H216" s="16">
        <f>IF(G216="Y",IF(ISNUMBER(SEARCH("Special",F216)),"SPECIAL DIVIDEND","NEW DIVIDEND"),IF(ISNUMBER(SEARCH("Special",F216)),"SPECIAL DIVIDEND",""))</f>
        <v/>
      </c>
    </row>
    <row r="217">
      <c r="A217" s="16">
        <f>'Rest Universe'!A218</f>
        <v/>
      </c>
      <c r="B217" s="22">
        <f>IFERROR(_xll.BDP(A217,"NAME"),"")</f>
        <v/>
      </c>
      <c r="C217" s="22">
        <f>IF(LEFT((_xll.BDP(A217,"DVD_DECLARED_DT")),4)="#N/A",NA(),(_xll.BDP(A217,"DVD_DECLARED_DT")))</f>
        <v/>
      </c>
      <c r="D217" s="22">
        <f>IF(LEFT((_xll.BDP(A217,"DVD_EX_DT")),4)="#N/A",NA(),(_xll.BDP(A217,"DVD_EX_DT")))</f>
        <v/>
      </c>
      <c r="E217" s="22">
        <f>IF(LEFT((_xll.BDP(A217,"DVD_SH_LAST")), 4) = "#N/A", NA(), (_xll.BDP(A217,"DVD_SH_LAST")))</f>
        <v/>
      </c>
      <c r="F217" s="22">
        <f>IF(LEFT((_xll.BDP(A217,"DVD_TYP_LAST")), 4) = "#N/A", NA(), (_xll.BDP(A217,"DVD_TYP_LAST")))</f>
        <v/>
      </c>
      <c r="G217" s="16">
        <f>IF(ISNUMBER(C217),IF(C217&gt;=Settings!$B$5,"Y","N"),"")</f>
        <v/>
      </c>
      <c r="H217" s="16">
        <f>IF(G217="Y",IF(ISNUMBER(SEARCH("Special",F217)),"SPECIAL DIVIDEND","NEW DIVIDEND"),IF(ISNUMBER(SEARCH("Special",F217)),"SPECIAL DIVIDEND",""))</f>
        <v/>
      </c>
    </row>
    <row r="218">
      <c r="A218" s="16">
        <f>'Rest Universe'!A219</f>
        <v/>
      </c>
      <c r="B218" s="22">
        <f>IFERROR(_xll.BDP(A218,"NAME"),"")</f>
        <v/>
      </c>
      <c r="C218" s="22">
        <f>IF(LEFT((_xll.BDP(A218,"DVD_DECLARED_DT")),4)="#N/A",NA(),(_xll.BDP(A218,"DVD_DECLARED_DT")))</f>
        <v/>
      </c>
      <c r="D218" s="22">
        <f>IF(LEFT((_xll.BDP(A218,"DVD_EX_DT")),4)="#N/A",NA(),(_xll.BDP(A218,"DVD_EX_DT")))</f>
        <v/>
      </c>
      <c r="E218" s="22">
        <f>IF(LEFT((_xll.BDP(A218,"DVD_SH_LAST")), 4) = "#N/A", NA(), (_xll.BDP(A218,"DVD_SH_LAST")))</f>
        <v/>
      </c>
      <c r="F218" s="22">
        <f>IF(LEFT((_xll.BDP(A218,"DVD_TYP_LAST")), 4) = "#N/A", NA(), (_xll.BDP(A218,"DVD_TYP_LAST")))</f>
        <v/>
      </c>
      <c r="G218" s="16">
        <f>IF(ISNUMBER(C218),IF(C218&gt;=Settings!$B$5,"Y","N"),"")</f>
        <v/>
      </c>
      <c r="H218" s="16">
        <f>IF(G218="Y",IF(ISNUMBER(SEARCH("Special",F218)),"SPECIAL DIVIDEND","NEW DIVIDEND"),IF(ISNUMBER(SEARCH("Special",F218)),"SPECIAL DIVIDEND",""))</f>
        <v/>
      </c>
    </row>
    <row r="219">
      <c r="A219" s="16">
        <f>'Rest Universe'!A220</f>
        <v/>
      </c>
      <c r="B219" s="22">
        <f>IFERROR(_xll.BDP(A219,"NAME"),"")</f>
        <v/>
      </c>
      <c r="C219" s="22">
        <f>IF(LEFT((_xll.BDP(A219,"DVD_DECLARED_DT")),4)="#N/A",NA(),(_xll.BDP(A219,"DVD_DECLARED_DT")))</f>
        <v/>
      </c>
      <c r="D219" s="22">
        <f>IF(LEFT((_xll.BDP(A219,"DVD_EX_DT")),4)="#N/A",NA(),(_xll.BDP(A219,"DVD_EX_DT")))</f>
        <v/>
      </c>
      <c r="E219" s="22">
        <f>IF(LEFT((_xll.BDP(A219,"DVD_SH_LAST")), 4) = "#N/A", NA(), (_xll.BDP(A219,"DVD_SH_LAST")))</f>
        <v/>
      </c>
      <c r="F219" s="22">
        <f>IF(LEFT((_xll.BDP(A219,"DVD_TYP_LAST")), 4) = "#N/A", NA(), (_xll.BDP(A219,"DVD_TYP_LAST")))</f>
        <v/>
      </c>
      <c r="G219" s="16">
        <f>IF(ISNUMBER(C219),IF(C219&gt;=Settings!$B$5,"Y","N"),"")</f>
        <v/>
      </c>
      <c r="H219" s="16">
        <f>IF(G219="Y",IF(ISNUMBER(SEARCH("Special",F219)),"SPECIAL DIVIDEND","NEW DIVIDEND"),IF(ISNUMBER(SEARCH("Special",F219)),"SPECIAL DIVIDEND",""))</f>
        <v/>
      </c>
    </row>
    <row r="220">
      <c r="A220" s="16">
        <f>'Rest Universe'!A221</f>
        <v/>
      </c>
      <c r="B220" s="22">
        <f>IFERROR(_xll.BDP(A220,"NAME"),"")</f>
        <v/>
      </c>
      <c r="C220" s="22">
        <f>IF(LEFT((_xll.BDP(A220,"DVD_DECLARED_DT")),4)="#N/A",NA(),(_xll.BDP(A220,"DVD_DECLARED_DT")))</f>
        <v/>
      </c>
      <c r="D220" s="22">
        <f>IF(LEFT((_xll.BDP(A220,"DVD_EX_DT")),4)="#N/A",NA(),(_xll.BDP(A220,"DVD_EX_DT")))</f>
        <v/>
      </c>
      <c r="E220" s="22">
        <f>IF(LEFT((_xll.BDP(A220,"DVD_SH_LAST")), 4) = "#N/A", NA(), (_xll.BDP(A220,"DVD_SH_LAST")))</f>
        <v/>
      </c>
      <c r="F220" s="22">
        <f>IF(LEFT((_xll.BDP(A220,"DVD_TYP_LAST")), 4) = "#N/A", NA(), (_xll.BDP(A220,"DVD_TYP_LAST")))</f>
        <v/>
      </c>
      <c r="G220" s="16">
        <f>IF(ISNUMBER(C220),IF(C220&gt;=Settings!$B$5,"Y","N"),"")</f>
        <v/>
      </c>
      <c r="H220" s="16">
        <f>IF(G220="Y",IF(ISNUMBER(SEARCH("Special",F220)),"SPECIAL DIVIDEND","NEW DIVIDEND"),IF(ISNUMBER(SEARCH("Special",F220)),"SPECIAL DIVIDEND",""))</f>
        <v/>
      </c>
    </row>
    <row r="221">
      <c r="A221" s="16">
        <f>'Rest Universe'!A222</f>
        <v/>
      </c>
      <c r="B221" s="22">
        <f>IFERROR(_xll.BDP(A221,"NAME"),"")</f>
        <v/>
      </c>
      <c r="C221" s="22">
        <f>IF(LEFT((_xll.BDP(A221,"DVD_DECLARED_DT")),4)="#N/A",NA(),(_xll.BDP(A221,"DVD_DECLARED_DT")))</f>
        <v/>
      </c>
      <c r="D221" s="22">
        <f>IF(LEFT((_xll.BDP(A221,"DVD_EX_DT")),4)="#N/A",NA(),(_xll.BDP(A221,"DVD_EX_DT")))</f>
        <v/>
      </c>
      <c r="E221" s="22">
        <f>IF(LEFT((_xll.BDP(A221,"DVD_SH_LAST")), 4) = "#N/A", NA(), (_xll.BDP(A221,"DVD_SH_LAST")))</f>
        <v/>
      </c>
      <c r="F221" s="22">
        <f>IF(LEFT((_xll.BDP(A221,"DVD_TYP_LAST")), 4) = "#N/A", NA(), (_xll.BDP(A221,"DVD_TYP_LAST")))</f>
        <v/>
      </c>
      <c r="G221" s="16">
        <f>IF(ISNUMBER(C221),IF(C221&gt;=Settings!$B$5,"Y","N"),"")</f>
        <v/>
      </c>
      <c r="H221" s="16">
        <f>IF(G221="Y",IF(ISNUMBER(SEARCH("Special",F221)),"SPECIAL DIVIDEND","NEW DIVIDEND"),IF(ISNUMBER(SEARCH("Special",F221)),"SPECIAL DIVIDEND",""))</f>
        <v/>
      </c>
    </row>
    <row r="222">
      <c r="A222" s="16">
        <f>'Rest Universe'!A223</f>
        <v/>
      </c>
      <c r="B222" s="22">
        <f>IFERROR(_xll.BDP(A222,"NAME"),"")</f>
        <v/>
      </c>
      <c r="C222" s="22">
        <f>IF(LEFT((_xll.BDP(A222,"DVD_DECLARED_DT")),4)="#N/A",NA(),(_xll.BDP(A222,"DVD_DECLARED_DT")))</f>
        <v/>
      </c>
      <c r="D222" s="22">
        <f>IF(LEFT((_xll.BDP(A222,"DVD_EX_DT")),4)="#N/A",NA(),(_xll.BDP(A222,"DVD_EX_DT")))</f>
        <v/>
      </c>
      <c r="E222" s="22">
        <f>IF(LEFT((_xll.BDP(A222,"DVD_SH_LAST")), 4) = "#N/A", NA(), (_xll.BDP(A222,"DVD_SH_LAST")))</f>
        <v/>
      </c>
      <c r="F222" s="22">
        <f>IF(LEFT((_xll.BDP(A222,"DVD_TYP_LAST")), 4) = "#N/A", NA(), (_xll.BDP(A222,"DVD_TYP_LAST")))</f>
        <v/>
      </c>
      <c r="G222" s="16">
        <f>IF(ISNUMBER(C222),IF(C222&gt;=Settings!$B$5,"Y","N"),"")</f>
        <v/>
      </c>
      <c r="H222" s="16">
        <f>IF(G222="Y",IF(ISNUMBER(SEARCH("Special",F222)),"SPECIAL DIVIDEND","NEW DIVIDEND"),IF(ISNUMBER(SEARCH("Special",F222)),"SPECIAL DIVIDEND",""))</f>
        <v/>
      </c>
    </row>
    <row r="223">
      <c r="A223" s="16">
        <f>'Rest Universe'!A224</f>
        <v/>
      </c>
      <c r="B223" s="22">
        <f>IFERROR(_xll.BDP(A223,"NAME"),"")</f>
        <v/>
      </c>
      <c r="C223" s="22">
        <f>IF(LEFT((_xll.BDP(A223,"DVD_DECLARED_DT")),4)="#N/A",NA(),(_xll.BDP(A223,"DVD_DECLARED_DT")))</f>
        <v/>
      </c>
      <c r="D223" s="22">
        <f>IF(LEFT((_xll.BDP(A223,"DVD_EX_DT")),4)="#N/A",NA(),(_xll.BDP(A223,"DVD_EX_DT")))</f>
        <v/>
      </c>
      <c r="E223" s="22">
        <f>IF(LEFT((_xll.BDP(A223,"DVD_SH_LAST")), 4) = "#N/A", NA(), (_xll.BDP(A223,"DVD_SH_LAST")))</f>
        <v/>
      </c>
      <c r="F223" s="22">
        <f>IF(LEFT((_xll.BDP(A223,"DVD_TYP_LAST")), 4) = "#N/A", NA(), (_xll.BDP(A223,"DVD_TYP_LAST")))</f>
        <v/>
      </c>
      <c r="G223" s="16">
        <f>IF(ISNUMBER(C223),IF(C223&gt;=Settings!$B$5,"Y","N"),"")</f>
        <v/>
      </c>
      <c r="H223" s="16">
        <f>IF(G223="Y",IF(ISNUMBER(SEARCH("Special",F223)),"SPECIAL DIVIDEND","NEW DIVIDEND"),IF(ISNUMBER(SEARCH("Special",F223)),"SPECIAL DIVIDEND",""))</f>
        <v/>
      </c>
    </row>
    <row r="224">
      <c r="A224" s="16">
        <f>'Rest Universe'!A225</f>
        <v/>
      </c>
      <c r="B224" s="22">
        <f>IFERROR(_xll.BDP(A224,"NAME"),"")</f>
        <v/>
      </c>
      <c r="C224" s="22">
        <f>IF(LEFT((_xll.BDP(A224,"DVD_DECLARED_DT")),4)="#N/A",NA(),(_xll.BDP(A224,"DVD_DECLARED_DT")))</f>
        <v/>
      </c>
      <c r="D224" s="22">
        <f>IF(LEFT((_xll.BDP(A224,"DVD_EX_DT")),4)="#N/A",NA(),(_xll.BDP(A224,"DVD_EX_DT")))</f>
        <v/>
      </c>
      <c r="E224" s="22">
        <f>IF(LEFT((_xll.BDP(A224,"DVD_SH_LAST")), 4) = "#N/A", NA(), (_xll.BDP(A224,"DVD_SH_LAST")))</f>
        <v/>
      </c>
      <c r="F224" s="22">
        <f>IF(LEFT((_xll.BDP(A224,"DVD_TYP_LAST")), 4) = "#N/A", NA(), (_xll.BDP(A224,"DVD_TYP_LAST")))</f>
        <v/>
      </c>
      <c r="G224" s="16">
        <f>IF(ISNUMBER(C224),IF(C224&gt;=Settings!$B$5,"Y","N"),"")</f>
        <v/>
      </c>
      <c r="H224" s="16">
        <f>IF(G224="Y",IF(ISNUMBER(SEARCH("Special",F224)),"SPECIAL DIVIDEND","NEW DIVIDEND"),IF(ISNUMBER(SEARCH("Special",F224)),"SPECIAL DIVIDEND",""))</f>
        <v/>
      </c>
    </row>
    <row r="225">
      <c r="A225" s="16">
        <f>'Rest Universe'!A226</f>
        <v/>
      </c>
      <c r="B225" s="22">
        <f>IFERROR(_xll.BDP(A225,"NAME"),"")</f>
        <v/>
      </c>
      <c r="C225" s="22">
        <f>IF(LEFT((_xll.BDP(A225,"DVD_DECLARED_DT")),4)="#N/A",NA(),(_xll.BDP(A225,"DVD_DECLARED_DT")))</f>
        <v/>
      </c>
      <c r="D225" s="22">
        <f>IF(LEFT((_xll.BDP(A225,"DVD_EX_DT")),4)="#N/A",NA(),(_xll.BDP(A225,"DVD_EX_DT")))</f>
        <v/>
      </c>
      <c r="E225" s="22">
        <f>IF(LEFT((_xll.BDP(A225,"DVD_SH_LAST")), 4) = "#N/A", NA(), (_xll.BDP(A225,"DVD_SH_LAST")))</f>
        <v/>
      </c>
      <c r="F225" s="22">
        <f>IF(LEFT((_xll.BDP(A225,"DVD_TYP_LAST")), 4) = "#N/A", NA(), (_xll.BDP(A225,"DVD_TYP_LAST")))</f>
        <v/>
      </c>
      <c r="G225" s="16">
        <f>IF(ISNUMBER(C225),IF(C225&gt;=Settings!$B$5,"Y","N"),"")</f>
        <v/>
      </c>
      <c r="H225" s="16">
        <f>IF(G225="Y",IF(ISNUMBER(SEARCH("Special",F225)),"SPECIAL DIVIDEND","NEW DIVIDEND"),IF(ISNUMBER(SEARCH("Special",F225)),"SPECIAL DIVIDEND",""))</f>
        <v/>
      </c>
    </row>
    <row r="226">
      <c r="A226" s="16">
        <f>'Rest Universe'!A227</f>
        <v/>
      </c>
      <c r="B226" s="22">
        <f>IFERROR(_xll.BDP(A226,"NAME"),"")</f>
        <v/>
      </c>
      <c r="C226" s="22">
        <f>IF(LEFT((_xll.BDP(A226,"DVD_DECLARED_DT")),4)="#N/A",NA(),(_xll.BDP(A226,"DVD_DECLARED_DT")))</f>
        <v/>
      </c>
      <c r="D226" s="22">
        <f>IF(LEFT((_xll.BDP(A226,"DVD_EX_DT")),4)="#N/A",NA(),(_xll.BDP(A226,"DVD_EX_DT")))</f>
        <v/>
      </c>
      <c r="E226" s="22">
        <f>IF(LEFT((_xll.BDP(A226,"DVD_SH_LAST")), 4) = "#N/A", NA(), (_xll.BDP(A226,"DVD_SH_LAST")))</f>
        <v/>
      </c>
      <c r="F226" s="22">
        <f>IF(LEFT((_xll.BDP(A226,"DVD_TYP_LAST")), 4) = "#N/A", NA(), (_xll.BDP(A226,"DVD_TYP_LAST")))</f>
        <v/>
      </c>
      <c r="G226" s="16">
        <f>IF(ISNUMBER(C226),IF(C226&gt;=Settings!$B$5,"Y","N"),"")</f>
        <v/>
      </c>
      <c r="H226" s="16">
        <f>IF(G226="Y",IF(ISNUMBER(SEARCH("Special",F226)),"SPECIAL DIVIDEND","NEW DIVIDEND"),IF(ISNUMBER(SEARCH("Special",F226)),"SPECIAL DIVIDEND",""))</f>
        <v/>
      </c>
    </row>
    <row r="227">
      <c r="A227" s="16">
        <f>'Rest Universe'!A228</f>
        <v/>
      </c>
      <c r="B227" s="22">
        <f>IFERROR(_xll.BDP(A227,"NAME"),"")</f>
        <v/>
      </c>
      <c r="C227" s="22">
        <f>IF(LEFT((_xll.BDP(A227,"DVD_DECLARED_DT")),4)="#N/A",NA(),(_xll.BDP(A227,"DVD_DECLARED_DT")))</f>
        <v/>
      </c>
      <c r="D227" s="22">
        <f>IF(LEFT((_xll.BDP(A227,"DVD_EX_DT")),4)="#N/A",NA(),(_xll.BDP(A227,"DVD_EX_DT")))</f>
        <v/>
      </c>
      <c r="E227" s="22">
        <f>IF(LEFT((_xll.BDP(A227,"DVD_SH_LAST")), 4) = "#N/A", NA(), (_xll.BDP(A227,"DVD_SH_LAST")))</f>
        <v/>
      </c>
      <c r="F227" s="22">
        <f>IF(LEFT((_xll.BDP(A227,"DVD_TYP_LAST")), 4) = "#N/A", NA(), (_xll.BDP(A227,"DVD_TYP_LAST")))</f>
        <v/>
      </c>
      <c r="G227" s="16">
        <f>IF(ISNUMBER(C227),IF(C227&gt;=Settings!$B$5,"Y","N"),"")</f>
        <v/>
      </c>
      <c r="H227" s="16">
        <f>IF(G227="Y",IF(ISNUMBER(SEARCH("Special",F227)),"SPECIAL DIVIDEND","NEW DIVIDEND"),IF(ISNUMBER(SEARCH("Special",F227)),"SPECIAL DIVIDEND",""))</f>
        <v/>
      </c>
    </row>
    <row r="228">
      <c r="A228" s="16">
        <f>'Rest Universe'!A229</f>
        <v/>
      </c>
      <c r="B228" s="22">
        <f>IFERROR(_xll.BDP(A228,"NAME"),"")</f>
        <v/>
      </c>
      <c r="C228" s="22">
        <f>IF(LEFT((_xll.BDP(A228,"DVD_DECLARED_DT")),4)="#N/A",NA(),(_xll.BDP(A228,"DVD_DECLARED_DT")))</f>
        <v/>
      </c>
      <c r="D228" s="22">
        <f>IF(LEFT((_xll.BDP(A228,"DVD_EX_DT")),4)="#N/A",NA(),(_xll.BDP(A228,"DVD_EX_DT")))</f>
        <v/>
      </c>
      <c r="E228" s="22">
        <f>IF(LEFT((_xll.BDP(A228,"DVD_SH_LAST")), 4) = "#N/A", NA(), (_xll.BDP(A228,"DVD_SH_LAST")))</f>
        <v/>
      </c>
      <c r="F228" s="22">
        <f>IF(LEFT((_xll.BDP(A228,"DVD_TYP_LAST")), 4) = "#N/A", NA(), (_xll.BDP(A228,"DVD_TYP_LAST")))</f>
        <v/>
      </c>
      <c r="G228" s="16">
        <f>IF(ISNUMBER(C228),IF(C228&gt;=Settings!$B$5,"Y","N"),"")</f>
        <v/>
      </c>
      <c r="H228" s="16">
        <f>IF(G228="Y",IF(ISNUMBER(SEARCH("Special",F228)),"SPECIAL DIVIDEND","NEW DIVIDEND"),IF(ISNUMBER(SEARCH("Special",F228)),"SPECIAL DIVIDEND",""))</f>
        <v/>
      </c>
    </row>
    <row r="229">
      <c r="A229" s="16">
        <f>'Rest Universe'!A230</f>
        <v/>
      </c>
      <c r="B229" s="22">
        <f>IFERROR(_xll.BDP(A229,"NAME"),"")</f>
        <v/>
      </c>
      <c r="C229" s="22">
        <f>IF(LEFT((_xll.BDP(A229,"DVD_DECLARED_DT")),4)="#N/A",NA(),(_xll.BDP(A229,"DVD_DECLARED_DT")))</f>
        <v/>
      </c>
      <c r="D229" s="22">
        <f>IF(LEFT((_xll.BDP(A229,"DVD_EX_DT")),4)="#N/A",NA(),(_xll.BDP(A229,"DVD_EX_DT")))</f>
        <v/>
      </c>
      <c r="E229" s="22">
        <f>IF(LEFT((_xll.BDP(A229,"DVD_SH_LAST")), 4) = "#N/A", NA(), (_xll.BDP(A229,"DVD_SH_LAST")))</f>
        <v/>
      </c>
      <c r="F229" s="22">
        <f>IF(LEFT((_xll.BDP(A229,"DVD_TYP_LAST")), 4) = "#N/A", NA(), (_xll.BDP(A229,"DVD_TYP_LAST")))</f>
        <v/>
      </c>
      <c r="G229" s="16">
        <f>IF(ISNUMBER(C229),IF(C229&gt;=Settings!$B$5,"Y","N"),"")</f>
        <v/>
      </c>
      <c r="H229" s="16">
        <f>IF(G229="Y",IF(ISNUMBER(SEARCH("Special",F229)),"SPECIAL DIVIDEND","NEW DIVIDEND"),IF(ISNUMBER(SEARCH("Special",F229)),"SPECIAL DIVIDEND",""))</f>
        <v/>
      </c>
    </row>
    <row r="230">
      <c r="A230" s="16">
        <f>'Rest Universe'!A231</f>
        <v/>
      </c>
      <c r="B230" s="22">
        <f>IFERROR(_xll.BDP(A230,"NAME"),"")</f>
        <v/>
      </c>
      <c r="C230" s="22">
        <f>IF(LEFT((_xll.BDP(A230,"DVD_DECLARED_DT")),4)="#N/A",NA(),(_xll.BDP(A230,"DVD_DECLARED_DT")))</f>
        <v/>
      </c>
      <c r="D230" s="22">
        <f>IF(LEFT((_xll.BDP(A230,"DVD_EX_DT")),4)="#N/A",NA(),(_xll.BDP(A230,"DVD_EX_DT")))</f>
        <v/>
      </c>
      <c r="E230" s="22">
        <f>IF(LEFT((_xll.BDP(A230,"DVD_SH_LAST")), 4) = "#N/A", NA(), (_xll.BDP(A230,"DVD_SH_LAST")))</f>
        <v/>
      </c>
      <c r="F230" s="22">
        <f>IF(LEFT((_xll.BDP(A230,"DVD_TYP_LAST")), 4) = "#N/A", NA(), (_xll.BDP(A230,"DVD_TYP_LAST")))</f>
        <v/>
      </c>
      <c r="G230" s="16">
        <f>IF(ISNUMBER(C230),IF(C230&gt;=Settings!$B$5,"Y","N"),"")</f>
        <v/>
      </c>
      <c r="H230" s="16">
        <f>IF(G230="Y",IF(ISNUMBER(SEARCH("Special",F230)),"SPECIAL DIVIDEND","NEW DIVIDEND"),IF(ISNUMBER(SEARCH("Special",F230)),"SPECIAL DIVIDEND",""))</f>
        <v/>
      </c>
    </row>
    <row r="231">
      <c r="A231" s="16">
        <f>'Rest Universe'!A232</f>
        <v/>
      </c>
      <c r="B231" s="22">
        <f>IFERROR(_xll.BDP(A231,"NAME"),"")</f>
        <v/>
      </c>
      <c r="C231" s="22">
        <f>IF(LEFT((_xll.BDP(A231,"DVD_DECLARED_DT")),4)="#N/A",NA(),(_xll.BDP(A231,"DVD_DECLARED_DT")))</f>
        <v/>
      </c>
      <c r="D231" s="22">
        <f>IF(LEFT((_xll.BDP(A231,"DVD_EX_DT")),4)="#N/A",NA(),(_xll.BDP(A231,"DVD_EX_DT")))</f>
        <v/>
      </c>
      <c r="E231" s="22">
        <f>IF(LEFT((_xll.BDP(A231,"DVD_SH_LAST")), 4) = "#N/A", NA(), (_xll.BDP(A231,"DVD_SH_LAST")))</f>
        <v/>
      </c>
      <c r="F231" s="22">
        <f>IF(LEFT((_xll.BDP(A231,"DVD_TYP_LAST")), 4) = "#N/A", NA(), (_xll.BDP(A231,"DVD_TYP_LAST")))</f>
        <v/>
      </c>
      <c r="G231" s="16">
        <f>IF(ISNUMBER(C231),IF(C231&gt;=Settings!$B$5,"Y","N"),"")</f>
        <v/>
      </c>
      <c r="H231" s="16">
        <f>IF(G231="Y",IF(ISNUMBER(SEARCH("Special",F231)),"SPECIAL DIVIDEND","NEW DIVIDEND"),IF(ISNUMBER(SEARCH("Special",F231)),"SPECIAL DIVIDEND",""))</f>
        <v/>
      </c>
    </row>
    <row r="232">
      <c r="A232" s="16">
        <f>'Rest Universe'!A233</f>
        <v/>
      </c>
      <c r="B232" s="22">
        <f>IFERROR(_xll.BDP(A232,"NAME"),"")</f>
        <v/>
      </c>
      <c r="C232" s="22">
        <f>IF(LEFT((_xll.BDP(A232,"DVD_DECLARED_DT")),4)="#N/A",NA(),(_xll.BDP(A232,"DVD_DECLARED_DT")))</f>
        <v/>
      </c>
      <c r="D232" s="22">
        <f>IF(LEFT((_xll.BDP(A232,"DVD_EX_DT")),4)="#N/A",NA(),(_xll.BDP(A232,"DVD_EX_DT")))</f>
        <v/>
      </c>
      <c r="E232" s="22">
        <f>IF(LEFT((_xll.BDP(A232,"DVD_SH_LAST")), 4) = "#N/A", NA(), (_xll.BDP(A232,"DVD_SH_LAST")))</f>
        <v/>
      </c>
      <c r="F232" s="22">
        <f>IF(LEFT((_xll.BDP(A232,"DVD_TYP_LAST")), 4) = "#N/A", NA(), (_xll.BDP(A232,"DVD_TYP_LAST")))</f>
        <v/>
      </c>
      <c r="G232" s="16">
        <f>IF(ISNUMBER(C232),IF(C232&gt;=Settings!$B$5,"Y","N"),"")</f>
        <v/>
      </c>
      <c r="H232" s="16">
        <f>IF(G232="Y",IF(ISNUMBER(SEARCH("Special",F232)),"SPECIAL DIVIDEND","NEW DIVIDEND"),IF(ISNUMBER(SEARCH("Special",F232)),"SPECIAL DIVIDEND",""))</f>
        <v/>
      </c>
    </row>
    <row r="233">
      <c r="A233" s="16">
        <f>'Rest Universe'!A234</f>
        <v/>
      </c>
      <c r="B233" s="22">
        <f>IFERROR(_xll.BDP(A233,"NAME"),"")</f>
        <v/>
      </c>
      <c r="C233" s="22">
        <f>IF(LEFT((_xll.BDP(A233,"DVD_DECLARED_DT")),4)="#N/A",NA(),(_xll.BDP(A233,"DVD_DECLARED_DT")))</f>
        <v/>
      </c>
      <c r="D233" s="22">
        <f>IF(LEFT((_xll.BDP(A233,"DVD_EX_DT")),4)="#N/A",NA(),(_xll.BDP(A233,"DVD_EX_DT")))</f>
        <v/>
      </c>
      <c r="E233" s="22">
        <f>IF(LEFT((_xll.BDP(A233,"DVD_SH_LAST")), 4) = "#N/A", NA(), (_xll.BDP(A233,"DVD_SH_LAST")))</f>
        <v/>
      </c>
      <c r="F233" s="22">
        <f>IF(LEFT((_xll.BDP(A233,"DVD_TYP_LAST")), 4) = "#N/A", NA(), (_xll.BDP(A233,"DVD_TYP_LAST")))</f>
        <v/>
      </c>
      <c r="G233" s="16">
        <f>IF(ISNUMBER(C233),IF(C233&gt;=Settings!$B$5,"Y","N"),"")</f>
        <v/>
      </c>
      <c r="H233" s="16">
        <f>IF(G233="Y",IF(ISNUMBER(SEARCH("Special",F233)),"SPECIAL DIVIDEND","NEW DIVIDEND"),IF(ISNUMBER(SEARCH("Special",F233)),"SPECIAL DIVIDEND",""))</f>
        <v/>
      </c>
    </row>
    <row r="234">
      <c r="A234" s="16">
        <f>'Rest Universe'!A235</f>
        <v/>
      </c>
      <c r="B234" s="22">
        <f>IFERROR(_xll.BDP(A234,"NAME"),"")</f>
        <v/>
      </c>
      <c r="C234" s="22">
        <f>IF(LEFT((_xll.BDP(A234,"DVD_DECLARED_DT")),4)="#N/A",NA(),(_xll.BDP(A234,"DVD_DECLARED_DT")))</f>
        <v/>
      </c>
      <c r="D234" s="22">
        <f>IF(LEFT((_xll.BDP(A234,"DVD_EX_DT")),4)="#N/A",NA(),(_xll.BDP(A234,"DVD_EX_DT")))</f>
        <v/>
      </c>
      <c r="E234" s="22">
        <f>IF(LEFT((_xll.BDP(A234,"DVD_SH_LAST")), 4) = "#N/A", NA(), (_xll.BDP(A234,"DVD_SH_LAST")))</f>
        <v/>
      </c>
      <c r="F234" s="22">
        <f>IF(LEFT((_xll.BDP(A234,"DVD_TYP_LAST")), 4) = "#N/A", NA(), (_xll.BDP(A234,"DVD_TYP_LAST")))</f>
        <v/>
      </c>
      <c r="G234" s="16">
        <f>IF(ISNUMBER(C234),IF(C234&gt;=Settings!$B$5,"Y","N"),"")</f>
        <v/>
      </c>
      <c r="H234" s="16">
        <f>IF(G234="Y",IF(ISNUMBER(SEARCH("Special",F234)),"SPECIAL DIVIDEND","NEW DIVIDEND"),IF(ISNUMBER(SEARCH("Special",F234)),"SPECIAL DIVIDEND",""))</f>
        <v/>
      </c>
    </row>
    <row r="235">
      <c r="A235" s="16">
        <f>'Rest Universe'!A236</f>
        <v/>
      </c>
      <c r="B235" s="22">
        <f>IFERROR(_xll.BDP(A235,"NAME"),"")</f>
        <v/>
      </c>
      <c r="C235" s="22">
        <f>IF(LEFT((_xll.BDP(A235,"DVD_DECLARED_DT")),4)="#N/A",NA(),(_xll.BDP(A235,"DVD_DECLARED_DT")))</f>
        <v/>
      </c>
      <c r="D235" s="22">
        <f>IF(LEFT((_xll.BDP(A235,"DVD_EX_DT")),4)="#N/A",NA(),(_xll.BDP(A235,"DVD_EX_DT")))</f>
        <v/>
      </c>
      <c r="E235" s="22">
        <f>IF(LEFT((_xll.BDP(A235,"DVD_SH_LAST")), 4) = "#N/A", NA(), (_xll.BDP(A235,"DVD_SH_LAST")))</f>
        <v/>
      </c>
      <c r="F235" s="22">
        <f>IF(LEFT((_xll.BDP(A235,"DVD_TYP_LAST")), 4) = "#N/A", NA(), (_xll.BDP(A235,"DVD_TYP_LAST")))</f>
        <v/>
      </c>
      <c r="G235" s="16">
        <f>IF(ISNUMBER(C235),IF(C235&gt;=Settings!$B$5,"Y","N"),"")</f>
        <v/>
      </c>
      <c r="H235" s="16">
        <f>IF(G235="Y",IF(ISNUMBER(SEARCH("Special",F235)),"SPECIAL DIVIDEND","NEW DIVIDEND"),IF(ISNUMBER(SEARCH("Special",F235)),"SPECIAL DIVIDEND",""))</f>
        <v/>
      </c>
    </row>
    <row r="236">
      <c r="A236" s="16">
        <f>'Rest Universe'!A237</f>
        <v/>
      </c>
      <c r="B236" s="22">
        <f>IFERROR(_xll.BDP(A236,"NAME"),"")</f>
        <v/>
      </c>
      <c r="C236" s="22">
        <f>IF(LEFT((_xll.BDP(A236,"DVD_DECLARED_DT")),4)="#N/A",NA(),(_xll.BDP(A236,"DVD_DECLARED_DT")))</f>
        <v/>
      </c>
      <c r="D236" s="22">
        <f>IF(LEFT((_xll.BDP(A236,"DVD_EX_DT")),4)="#N/A",NA(),(_xll.BDP(A236,"DVD_EX_DT")))</f>
        <v/>
      </c>
      <c r="E236" s="22">
        <f>IF(LEFT((_xll.BDP(A236,"DVD_SH_LAST")), 4) = "#N/A", NA(), (_xll.BDP(A236,"DVD_SH_LAST")))</f>
        <v/>
      </c>
      <c r="F236" s="22">
        <f>IF(LEFT((_xll.BDP(A236,"DVD_TYP_LAST")), 4) = "#N/A", NA(), (_xll.BDP(A236,"DVD_TYP_LAST")))</f>
        <v/>
      </c>
      <c r="G236" s="16">
        <f>IF(ISNUMBER(C236),IF(C236&gt;=Settings!$B$5,"Y","N"),"")</f>
        <v/>
      </c>
      <c r="H236" s="16">
        <f>IF(G236="Y",IF(ISNUMBER(SEARCH("Special",F236)),"SPECIAL DIVIDEND","NEW DIVIDEND"),IF(ISNUMBER(SEARCH("Special",F236)),"SPECIAL DIVIDEND",""))</f>
        <v/>
      </c>
    </row>
    <row r="237">
      <c r="A237" s="16">
        <f>'Rest Universe'!A238</f>
        <v/>
      </c>
      <c r="B237" s="22">
        <f>IFERROR(_xll.BDP(A237,"NAME"),"")</f>
        <v/>
      </c>
      <c r="C237" s="22">
        <f>IF(LEFT((_xll.BDP(A237,"DVD_DECLARED_DT")),4)="#N/A",NA(),(_xll.BDP(A237,"DVD_DECLARED_DT")))</f>
        <v/>
      </c>
      <c r="D237" s="22">
        <f>IF(LEFT((_xll.BDP(A237,"DVD_EX_DT")),4)="#N/A",NA(),(_xll.BDP(A237,"DVD_EX_DT")))</f>
        <v/>
      </c>
      <c r="E237" s="22">
        <f>IF(LEFT((_xll.BDP(A237,"DVD_SH_LAST")), 4) = "#N/A", NA(), (_xll.BDP(A237,"DVD_SH_LAST")))</f>
        <v/>
      </c>
      <c r="F237" s="22">
        <f>IF(LEFT((_xll.BDP(A237,"DVD_TYP_LAST")), 4) = "#N/A", NA(), (_xll.BDP(A237,"DVD_TYP_LAST")))</f>
        <v/>
      </c>
      <c r="G237" s="16">
        <f>IF(ISNUMBER(C237),IF(C237&gt;=Settings!$B$5,"Y","N"),"")</f>
        <v/>
      </c>
      <c r="H237" s="16">
        <f>IF(G237="Y",IF(ISNUMBER(SEARCH("Special",F237)),"SPECIAL DIVIDEND","NEW DIVIDEND"),IF(ISNUMBER(SEARCH("Special",F237)),"SPECIAL DIVIDEND",""))</f>
        <v/>
      </c>
    </row>
    <row r="238">
      <c r="A238" s="16">
        <f>'Rest Universe'!A239</f>
        <v/>
      </c>
      <c r="B238" s="22">
        <f>IFERROR(_xll.BDP(A238,"NAME"),"")</f>
        <v/>
      </c>
      <c r="C238" s="22">
        <f>IF(LEFT((_xll.BDP(A238,"DVD_DECLARED_DT")),4)="#N/A",NA(),(_xll.BDP(A238,"DVD_DECLARED_DT")))</f>
        <v/>
      </c>
      <c r="D238" s="22">
        <f>IF(LEFT((_xll.BDP(A238,"DVD_EX_DT")),4)="#N/A",NA(),(_xll.BDP(A238,"DVD_EX_DT")))</f>
        <v/>
      </c>
      <c r="E238" s="22">
        <f>IF(LEFT((_xll.BDP(A238,"DVD_SH_LAST")), 4) = "#N/A", NA(), (_xll.BDP(A238,"DVD_SH_LAST")))</f>
        <v/>
      </c>
      <c r="F238" s="22">
        <f>IF(LEFT((_xll.BDP(A238,"DVD_TYP_LAST")), 4) = "#N/A", NA(), (_xll.BDP(A238,"DVD_TYP_LAST")))</f>
        <v/>
      </c>
      <c r="G238" s="16">
        <f>IF(ISNUMBER(C238),IF(C238&gt;=Settings!$B$5,"Y","N"),"")</f>
        <v/>
      </c>
      <c r="H238" s="16">
        <f>IF(G238="Y",IF(ISNUMBER(SEARCH("Special",F238)),"SPECIAL DIVIDEND","NEW DIVIDEND"),IF(ISNUMBER(SEARCH("Special",F238)),"SPECIAL DIVIDEND",""))</f>
        <v/>
      </c>
    </row>
    <row r="239">
      <c r="A239" s="16">
        <f>'Rest Universe'!A240</f>
        <v/>
      </c>
      <c r="B239" s="22">
        <f>IFERROR(_xll.BDP(A239,"NAME"),"")</f>
        <v/>
      </c>
      <c r="C239" s="22">
        <f>IF(LEFT((_xll.BDP(A239,"DVD_DECLARED_DT")),4)="#N/A",NA(),(_xll.BDP(A239,"DVD_DECLARED_DT")))</f>
        <v/>
      </c>
      <c r="D239" s="22">
        <f>IF(LEFT((_xll.BDP(A239,"DVD_EX_DT")),4)="#N/A",NA(),(_xll.BDP(A239,"DVD_EX_DT")))</f>
        <v/>
      </c>
      <c r="E239" s="22">
        <f>IF(LEFT((_xll.BDP(A239,"DVD_SH_LAST")), 4) = "#N/A", NA(), (_xll.BDP(A239,"DVD_SH_LAST")))</f>
        <v/>
      </c>
      <c r="F239" s="22">
        <f>IF(LEFT((_xll.BDP(A239,"DVD_TYP_LAST")), 4) = "#N/A", NA(), (_xll.BDP(A239,"DVD_TYP_LAST")))</f>
        <v/>
      </c>
      <c r="G239" s="16">
        <f>IF(ISNUMBER(C239),IF(C239&gt;=Settings!$B$5,"Y","N"),"")</f>
        <v/>
      </c>
      <c r="H239" s="16">
        <f>IF(G239="Y",IF(ISNUMBER(SEARCH("Special",F239)),"SPECIAL DIVIDEND","NEW DIVIDEND"),IF(ISNUMBER(SEARCH("Special",F239)),"SPECIAL DIVIDEND",""))</f>
        <v/>
      </c>
    </row>
    <row r="240">
      <c r="A240" s="16">
        <f>'Rest Universe'!A241</f>
        <v/>
      </c>
      <c r="B240" s="22">
        <f>IFERROR(_xll.BDP(A240,"NAME"),"")</f>
        <v/>
      </c>
      <c r="C240" s="22">
        <f>IF(LEFT((_xll.BDP(A240,"DVD_DECLARED_DT")),4)="#N/A",NA(),(_xll.BDP(A240,"DVD_DECLARED_DT")))</f>
        <v/>
      </c>
      <c r="D240" s="22">
        <f>IF(LEFT((_xll.BDP(A240,"DVD_EX_DT")),4)="#N/A",NA(),(_xll.BDP(A240,"DVD_EX_DT")))</f>
        <v/>
      </c>
      <c r="E240" s="22">
        <f>IF(LEFT((_xll.BDP(A240,"DVD_SH_LAST")), 4) = "#N/A", NA(), (_xll.BDP(A240,"DVD_SH_LAST")))</f>
        <v/>
      </c>
      <c r="F240" s="22">
        <f>IF(LEFT((_xll.BDP(A240,"DVD_TYP_LAST")), 4) = "#N/A", NA(), (_xll.BDP(A240,"DVD_TYP_LAST")))</f>
        <v/>
      </c>
      <c r="G240" s="16">
        <f>IF(ISNUMBER(C240),IF(C240&gt;=Settings!$B$5,"Y","N"),"")</f>
        <v/>
      </c>
      <c r="H240" s="16">
        <f>IF(G240="Y",IF(ISNUMBER(SEARCH("Special",F240)),"SPECIAL DIVIDEND","NEW DIVIDEND"),IF(ISNUMBER(SEARCH("Special",F240)),"SPECIAL DIVIDEND",""))</f>
        <v/>
      </c>
    </row>
    <row r="241">
      <c r="A241" s="16">
        <f>'Rest Universe'!A242</f>
        <v/>
      </c>
      <c r="B241" s="22">
        <f>IFERROR(_xll.BDP(A241,"NAME"),"")</f>
        <v/>
      </c>
      <c r="C241" s="22">
        <f>IF(LEFT((_xll.BDP(A241,"DVD_DECLARED_DT")),4)="#N/A",NA(),(_xll.BDP(A241,"DVD_DECLARED_DT")))</f>
        <v/>
      </c>
      <c r="D241" s="22">
        <f>IF(LEFT((_xll.BDP(A241,"DVD_EX_DT")),4)="#N/A",NA(),(_xll.BDP(A241,"DVD_EX_DT")))</f>
        <v/>
      </c>
      <c r="E241" s="22">
        <f>IF(LEFT((_xll.BDP(A241,"DVD_SH_LAST")), 4) = "#N/A", NA(), (_xll.BDP(A241,"DVD_SH_LAST")))</f>
        <v/>
      </c>
      <c r="F241" s="22">
        <f>IF(LEFT((_xll.BDP(A241,"DVD_TYP_LAST")), 4) = "#N/A", NA(), (_xll.BDP(A241,"DVD_TYP_LAST")))</f>
        <v/>
      </c>
      <c r="G241" s="16">
        <f>IF(ISNUMBER(C241),IF(C241&gt;=Settings!$B$5,"Y","N"),"")</f>
        <v/>
      </c>
      <c r="H241" s="16">
        <f>IF(G241="Y",IF(ISNUMBER(SEARCH("Special",F241)),"SPECIAL DIVIDEND","NEW DIVIDEND"),IF(ISNUMBER(SEARCH("Special",F241)),"SPECIAL DIVIDEND",""))</f>
        <v/>
      </c>
    </row>
    <row r="242">
      <c r="A242" s="16">
        <f>'Rest Universe'!A243</f>
        <v/>
      </c>
      <c r="B242" s="22">
        <f>IFERROR(_xll.BDP(A242,"NAME"),"")</f>
        <v/>
      </c>
      <c r="C242" s="22">
        <f>IF(LEFT((_xll.BDP(A242,"DVD_DECLARED_DT")),4)="#N/A",NA(),(_xll.BDP(A242,"DVD_DECLARED_DT")))</f>
        <v/>
      </c>
      <c r="D242" s="22">
        <f>IF(LEFT((_xll.BDP(A242,"DVD_EX_DT")),4)="#N/A",NA(),(_xll.BDP(A242,"DVD_EX_DT")))</f>
        <v/>
      </c>
      <c r="E242" s="22">
        <f>IF(LEFT((_xll.BDP(A242,"DVD_SH_LAST")), 4) = "#N/A", NA(), (_xll.BDP(A242,"DVD_SH_LAST")))</f>
        <v/>
      </c>
      <c r="F242" s="22">
        <f>IF(LEFT((_xll.BDP(A242,"DVD_TYP_LAST")), 4) = "#N/A", NA(), (_xll.BDP(A242,"DVD_TYP_LAST")))</f>
        <v/>
      </c>
      <c r="G242" s="16">
        <f>IF(ISNUMBER(C242),IF(C242&gt;=Settings!$B$5,"Y","N"),"")</f>
        <v/>
      </c>
      <c r="H242" s="16">
        <f>IF(G242="Y",IF(ISNUMBER(SEARCH("Special",F242)),"SPECIAL DIVIDEND","NEW DIVIDEND"),IF(ISNUMBER(SEARCH("Special",F242)),"SPECIAL DIVIDEND",""))</f>
        <v/>
      </c>
    </row>
    <row r="243">
      <c r="A243" s="16">
        <f>'Rest Universe'!A244</f>
        <v/>
      </c>
      <c r="B243" s="22">
        <f>IFERROR(_xll.BDP(A243,"NAME"),"")</f>
        <v/>
      </c>
      <c r="C243" s="22">
        <f>IF(LEFT((_xll.BDP(A243,"DVD_DECLARED_DT")),4)="#N/A",NA(),(_xll.BDP(A243,"DVD_DECLARED_DT")))</f>
        <v/>
      </c>
      <c r="D243" s="22">
        <f>IF(LEFT((_xll.BDP(A243,"DVD_EX_DT")),4)="#N/A",NA(),(_xll.BDP(A243,"DVD_EX_DT")))</f>
        <v/>
      </c>
      <c r="E243" s="22">
        <f>IF(LEFT((_xll.BDP(A243,"DVD_SH_LAST")), 4) = "#N/A", NA(), (_xll.BDP(A243,"DVD_SH_LAST")))</f>
        <v/>
      </c>
      <c r="F243" s="22">
        <f>IF(LEFT((_xll.BDP(A243,"DVD_TYP_LAST")), 4) = "#N/A", NA(), (_xll.BDP(A243,"DVD_TYP_LAST")))</f>
        <v/>
      </c>
      <c r="G243" s="16">
        <f>IF(ISNUMBER(C243),IF(C243&gt;=Settings!$B$5,"Y","N"),"")</f>
        <v/>
      </c>
      <c r="H243" s="16">
        <f>IF(G243="Y",IF(ISNUMBER(SEARCH("Special",F243)),"SPECIAL DIVIDEND","NEW DIVIDEND"),IF(ISNUMBER(SEARCH("Special",F243)),"SPECIAL DIVIDEND",""))</f>
        <v/>
      </c>
    </row>
    <row r="244">
      <c r="A244" s="16">
        <f>'Rest Universe'!A245</f>
        <v/>
      </c>
      <c r="B244" s="22">
        <f>IFERROR(_xll.BDP(A244,"NAME"),"")</f>
        <v/>
      </c>
      <c r="C244" s="22">
        <f>IF(LEFT((_xll.BDP(A244,"DVD_DECLARED_DT")),4)="#N/A",NA(),(_xll.BDP(A244,"DVD_DECLARED_DT")))</f>
        <v/>
      </c>
      <c r="D244" s="22">
        <f>IF(LEFT((_xll.BDP(A244,"DVD_EX_DT")),4)="#N/A",NA(),(_xll.BDP(A244,"DVD_EX_DT")))</f>
        <v/>
      </c>
      <c r="E244" s="22">
        <f>IF(LEFT((_xll.BDP(A244,"DVD_SH_LAST")), 4) = "#N/A", NA(), (_xll.BDP(A244,"DVD_SH_LAST")))</f>
        <v/>
      </c>
      <c r="F244" s="22">
        <f>IF(LEFT((_xll.BDP(A244,"DVD_TYP_LAST")), 4) = "#N/A", NA(), (_xll.BDP(A244,"DVD_TYP_LAST")))</f>
        <v/>
      </c>
      <c r="G244" s="16">
        <f>IF(ISNUMBER(C244),IF(C244&gt;=Settings!$B$5,"Y","N"),"")</f>
        <v/>
      </c>
      <c r="H244" s="16">
        <f>IF(G244="Y",IF(ISNUMBER(SEARCH("Special",F244)),"SPECIAL DIVIDEND","NEW DIVIDEND"),IF(ISNUMBER(SEARCH("Special",F244)),"SPECIAL DIVIDEND",""))</f>
        <v/>
      </c>
    </row>
    <row r="245">
      <c r="A245" s="16">
        <f>'Rest Universe'!A246</f>
        <v/>
      </c>
      <c r="B245" s="22">
        <f>IFERROR(_xll.BDP(A245,"NAME"),"")</f>
        <v/>
      </c>
      <c r="C245" s="22">
        <f>IF(LEFT((_xll.BDP(A245,"DVD_DECLARED_DT")),4)="#N/A",NA(),(_xll.BDP(A245,"DVD_DECLARED_DT")))</f>
        <v/>
      </c>
      <c r="D245" s="22">
        <f>IF(LEFT((_xll.BDP(A245,"DVD_EX_DT")),4)="#N/A",NA(),(_xll.BDP(A245,"DVD_EX_DT")))</f>
        <v/>
      </c>
      <c r="E245" s="22">
        <f>IF(LEFT((_xll.BDP(A245,"DVD_SH_LAST")), 4) = "#N/A", NA(), (_xll.BDP(A245,"DVD_SH_LAST")))</f>
        <v/>
      </c>
      <c r="F245" s="22">
        <f>IF(LEFT((_xll.BDP(A245,"DVD_TYP_LAST")), 4) = "#N/A", NA(), (_xll.BDP(A245,"DVD_TYP_LAST")))</f>
        <v/>
      </c>
      <c r="G245" s="16">
        <f>IF(ISNUMBER(C245),IF(C245&gt;=Settings!$B$5,"Y","N"),"")</f>
        <v/>
      </c>
      <c r="H245" s="16">
        <f>IF(G245="Y",IF(ISNUMBER(SEARCH("Special",F245)),"SPECIAL DIVIDEND","NEW DIVIDEND"),IF(ISNUMBER(SEARCH("Special",F245)),"SPECIAL DIVIDEND",""))</f>
        <v/>
      </c>
    </row>
    <row r="246">
      <c r="A246" s="16">
        <f>'Rest Universe'!A247</f>
        <v/>
      </c>
      <c r="B246" s="22">
        <f>IFERROR(_xll.BDP(A246,"NAME"),"")</f>
        <v/>
      </c>
      <c r="C246" s="22">
        <f>IF(LEFT((_xll.BDP(A246,"DVD_DECLARED_DT")),4)="#N/A",NA(),(_xll.BDP(A246,"DVD_DECLARED_DT")))</f>
        <v/>
      </c>
      <c r="D246" s="22">
        <f>IF(LEFT((_xll.BDP(A246,"DVD_EX_DT")),4)="#N/A",NA(),(_xll.BDP(A246,"DVD_EX_DT")))</f>
        <v/>
      </c>
      <c r="E246" s="22">
        <f>IF(LEFT((_xll.BDP(A246,"DVD_SH_LAST")), 4) = "#N/A", NA(), (_xll.BDP(A246,"DVD_SH_LAST")))</f>
        <v/>
      </c>
      <c r="F246" s="22">
        <f>IF(LEFT((_xll.BDP(A246,"DVD_TYP_LAST")), 4) = "#N/A", NA(), (_xll.BDP(A246,"DVD_TYP_LAST")))</f>
        <v/>
      </c>
      <c r="G246" s="16">
        <f>IF(ISNUMBER(C246),IF(C246&gt;=Settings!$B$5,"Y","N"),"")</f>
        <v/>
      </c>
      <c r="H246" s="16">
        <f>IF(G246="Y",IF(ISNUMBER(SEARCH("Special",F246)),"SPECIAL DIVIDEND","NEW DIVIDEND"),IF(ISNUMBER(SEARCH("Special",F246)),"SPECIAL DIVIDEND",""))</f>
        <v/>
      </c>
    </row>
    <row r="247">
      <c r="A247" s="16">
        <f>'Rest Universe'!A248</f>
        <v/>
      </c>
      <c r="B247" s="22">
        <f>IFERROR(_xll.BDP(A247,"NAME"),"")</f>
        <v/>
      </c>
      <c r="C247" s="22">
        <f>IF(LEFT((_xll.BDP(A247,"DVD_DECLARED_DT")),4)="#N/A",NA(),(_xll.BDP(A247,"DVD_DECLARED_DT")))</f>
        <v/>
      </c>
      <c r="D247" s="22">
        <f>IF(LEFT((_xll.BDP(A247,"DVD_EX_DT")),4)="#N/A",NA(),(_xll.BDP(A247,"DVD_EX_DT")))</f>
        <v/>
      </c>
      <c r="E247" s="22">
        <f>IF(LEFT((_xll.BDP(A247,"DVD_SH_LAST")), 4) = "#N/A", NA(), (_xll.BDP(A247,"DVD_SH_LAST")))</f>
        <v/>
      </c>
      <c r="F247" s="22">
        <f>IF(LEFT((_xll.BDP(A247,"DVD_TYP_LAST")), 4) = "#N/A", NA(), (_xll.BDP(A247,"DVD_TYP_LAST")))</f>
        <v/>
      </c>
      <c r="G247" s="16">
        <f>IF(ISNUMBER(C247),IF(C247&gt;=Settings!$B$5,"Y","N"),"")</f>
        <v/>
      </c>
      <c r="H247" s="16">
        <f>IF(G247="Y",IF(ISNUMBER(SEARCH("Special",F247)),"SPECIAL DIVIDEND","NEW DIVIDEND"),IF(ISNUMBER(SEARCH("Special",F247)),"SPECIAL DIVIDEND",""))</f>
        <v/>
      </c>
    </row>
    <row r="248">
      <c r="A248" s="16">
        <f>'Rest Universe'!A249</f>
        <v/>
      </c>
      <c r="B248" s="22">
        <f>IFERROR(_xll.BDP(A248,"NAME"),"")</f>
        <v/>
      </c>
      <c r="C248" s="22">
        <f>IF(LEFT((_xll.BDP(A248,"DVD_DECLARED_DT")),4)="#N/A",NA(),(_xll.BDP(A248,"DVD_DECLARED_DT")))</f>
        <v/>
      </c>
      <c r="D248" s="22">
        <f>IF(LEFT((_xll.BDP(A248,"DVD_EX_DT")),4)="#N/A",NA(),(_xll.BDP(A248,"DVD_EX_DT")))</f>
        <v/>
      </c>
      <c r="E248" s="22">
        <f>IF(LEFT((_xll.BDP(A248,"DVD_SH_LAST")), 4) = "#N/A", NA(), (_xll.BDP(A248,"DVD_SH_LAST")))</f>
        <v/>
      </c>
      <c r="F248" s="22">
        <f>IF(LEFT((_xll.BDP(A248,"DVD_TYP_LAST")), 4) = "#N/A", NA(), (_xll.BDP(A248,"DVD_TYP_LAST")))</f>
        <v/>
      </c>
      <c r="G248" s="16">
        <f>IF(ISNUMBER(C248),IF(C248&gt;=Settings!$B$5,"Y","N"),"")</f>
        <v/>
      </c>
      <c r="H248" s="16">
        <f>IF(G248="Y",IF(ISNUMBER(SEARCH("Special",F248)),"SPECIAL DIVIDEND","NEW DIVIDEND"),IF(ISNUMBER(SEARCH("Special",F248)),"SPECIAL DIVIDEND",""))</f>
        <v/>
      </c>
    </row>
    <row r="249">
      <c r="A249" s="16">
        <f>'Rest Universe'!A250</f>
        <v/>
      </c>
      <c r="B249" s="22">
        <f>IFERROR(_xll.BDP(A249,"NAME"),"")</f>
        <v/>
      </c>
      <c r="C249" s="22">
        <f>IF(LEFT((_xll.BDP(A249,"DVD_DECLARED_DT")),4)="#N/A",NA(),(_xll.BDP(A249,"DVD_DECLARED_DT")))</f>
        <v/>
      </c>
      <c r="D249" s="22">
        <f>IF(LEFT((_xll.BDP(A249,"DVD_EX_DT")),4)="#N/A",NA(),(_xll.BDP(A249,"DVD_EX_DT")))</f>
        <v/>
      </c>
      <c r="E249" s="22">
        <f>IF(LEFT((_xll.BDP(A249,"DVD_SH_LAST")), 4) = "#N/A", NA(), (_xll.BDP(A249,"DVD_SH_LAST")))</f>
        <v/>
      </c>
      <c r="F249" s="22">
        <f>IF(LEFT((_xll.BDP(A249,"DVD_TYP_LAST")), 4) = "#N/A", NA(), (_xll.BDP(A249,"DVD_TYP_LAST")))</f>
        <v/>
      </c>
      <c r="G249" s="16">
        <f>IF(ISNUMBER(C249),IF(C249&gt;=Settings!$B$5,"Y","N"),"")</f>
        <v/>
      </c>
      <c r="H249" s="16">
        <f>IF(G249="Y",IF(ISNUMBER(SEARCH("Special",F249)),"SPECIAL DIVIDEND","NEW DIVIDEND"),IF(ISNUMBER(SEARCH("Special",F249)),"SPECIAL DIVIDEND",""))</f>
        <v/>
      </c>
    </row>
    <row r="250">
      <c r="A250" s="16">
        <f>'Rest Universe'!A251</f>
        <v/>
      </c>
      <c r="B250" s="22">
        <f>IFERROR(_xll.BDP(A250,"NAME"),"")</f>
        <v/>
      </c>
      <c r="C250" s="22">
        <f>IF(LEFT((_xll.BDP(A250,"DVD_DECLARED_DT")),4)="#N/A",NA(),(_xll.BDP(A250,"DVD_DECLARED_DT")))</f>
        <v/>
      </c>
      <c r="D250" s="22">
        <f>IF(LEFT((_xll.BDP(A250,"DVD_EX_DT")),4)="#N/A",NA(),(_xll.BDP(A250,"DVD_EX_DT")))</f>
        <v/>
      </c>
      <c r="E250" s="22">
        <f>IF(LEFT((_xll.BDP(A250,"DVD_SH_LAST")), 4) = "#N/A", NA(), (_xll.BDP(A250,"DVD_SH_LAST")))</f>
        <v/>
      </c>
      <c r="F250" s="22">
        <f>IF(LEFT((_xll.BDP(A250,"DVD_TYP_LAST")), 4) = "#N/A", NA(), (_xll.BDP(A250,"DVD_TYP_LAST")))</f>
        <v/>
      </c>
      <c r="G250" s="16">
        <f>IF(ISNUMBER(C250),IF(C250&gt;=Settings!$B$5,"Y","N"),"")</f>
        <v/>
      </c>
      <c r="H250" s="16">
        <f>IF(G250="Y",IF(ISNUMBER(SEARCH("Special",F250)),"SPECIAL DIVIDEND","NEW DIVIDEND"),IF(ISNUMBER(SEARCH("Special",F250)),"SPECIAL DIVIDEND",""))</f>
        <v/>
      </c>
    </row>
    <row r="251">
      <c r="A251" s="16">
        <f>'Rest Universe'!A252</f>
        <v/>
      </c>
      <c r="B251" s="22">
        <f>IFERROR(_xll.BDP(A251,"NAME"),"")</f>
        <v/>
      </c>
      <c r="C251" s="22">
        <f>IF(LEFT((_xll.BDP(A251,"DVD_DECLARED_DT")),4)="#N/A",NA(),(_xll.BDP(A251,"DVD_DECLARED_DT")))</f>
        <v/>
      </c>
      <c r="D251" s="22">
        <f>IF(LEFT((_xll.BDP(A251,"DVD_EX_DT")),4)="#N/A",NA(),(_xll.BDP(A251,"DVD_EX_DT")))</f>
        <v/>
      </c>
      <c r="E251" s="22">
        <f>IF(LEFT((_xll.BDP(A251,"DVD_SH_LAST")), 4) = "#N/A", NA(), (_xll.BDP(A251,"DVD_SH_LAST")))</f>
        <v/>
      </c>
      <c r="F251" s="22">
        <f>IF(LEFT((_xll.BDP(A251,"DVD_TYP_LAST")), 4) = "#N/A", NA(), (_xll.BDP(A251,"DVD_TYP_LAST")))</f>
        <v/>
      </c>
      <c r="G251" s="16">
        <f>IF(ISNUMBER(C251),IF(C251&gt;=Settings!$B$5,"Y","N"),"")</f>
        <v/>
      </c>
      <c r="H251" s="16">
        <f>IF(G251="Y",IF(ISNUMBER(SEARCH("Special",F251)),"SPECIAL DIVIDEND","NEW DIVIDEND"),IF(ISNUMBER(SEARCH("Special",F251)),"SPECIAL DIVIDEND",""))</f>
        <v/>
      </c>
    </row>
    <row r="252">
      <c r="A252" s="16">
        <f>'Rest Universe'!A253</f>
        <v/>
      </c>
      <c r="B252" s="22">
        <f>IFERROR(_xll.BDP(A252,"NAME"),"")</f>
        <v/>
      </c>
      <c r="C252" s="22">
        <f>IF(LEFT((_xll.BDP(A252,"DVD_DECLARED_DT")),4)="#N/A",NA(),(_xll.BDP(A252,"DVD_DECLARED_DT")))</f>
        <v/>
      </c>
      <c r="D252" s="22">
        <f>IF(LEFT((_xll.BDP(A252,"DVD_EX_DT")),4)="#N/A",NA(),(_xll.BDP(A252,"DVD_EX_DT")))</f>
        <v/>
      </c>
      <c r="E252" s="22">
        <f>IF(LEFT((_xll.BDP(A252,"DVD_SH_LAST")), 4) = "#N/A", NA(), (_xll.BDP(A252,"DVD_SH_LAST")))</f>
        <v/>
      </c>
      <c r="F252" s="22">
        <f>IF(LEFT((_xll.BDP(A252,"DVD_TYP_LAST")), 4) = "#N/A", NA(), (_xll.BDP(A252,"DVD_TYP_LAST")))</f>
        <v/>
      </c>
      <c r="G252" s="16">
        <f>IF(ISNUMBER(C252),IF(C252&gt;=Settings!$B$5,"Y","N"),"")</f>
        <v/>
      </c>
      <c r="H252" s="16">
        <f>IF(G252="Y",IF(ISNUMBER(SEARCH("Special",F252)),"SPECIAL DIVIDEND","NEW DIVIDEND"),IF(ISNUMBER(SEARCH("Special",F252)),"SPECIAL DIVIDEND",""))</f>
        <v/>
      </c>
    </row>
    <row r="253">
      <c r="A253" s="16">
        <f>'Rest Universe'!A254</f>
        <v/>
      </c>
      <c r="B253" s="22">
        <f>IFERROR(_xll.BDP(A253,"NAME"),"")</f>
        <v/>
      </c>
      <c r="C253" s="22">
        <f>IF(LEFT((_xll.BDP(A253,"DVD_DECLARED_DT")),4)="#N/A",NA(),(_xll.BDP(A253,"DVD_DECLARED_DT")))</f>
        <v/>
      </c>
      <c r="D253" s="22">
        <f>IF(LEFT((_xll.BDP(A253,"DVD_EX_DT")),4)="#N/A",NA(),(_xll.BDP(A253,"DVD_EX_DT")))</f>
        <v/>
      </c>
      <c r="E253" s="22">
        <f>IF(LEFT((_xll.BDP(A253,"DVD_SH_LAST")), 4) = "#N/A", NA(), (_xll.BDP(A253,"DVD_SH_LAST")))</f>
        <v/>
      </c>
      <c r="F253" s="22">
        <f>IF(LEFT((_xll.BDP(A253,"DVD_TYP_LAST")), 4) = "#N/A", NA(), (_xll.BDP(A253,"DVD_TYP_LAST")))</f>
        <v/>
      </c>
      <c r="G253" s="16">
        <f>IF(ISNUMBER(C253),IF(C253&gt;=Settings!$B$5,"Y","N"),"")</f>
        <v/>
      </c>
      <c r="H253" s="16">
        <f>IF(G253="Y",IF(ISNUMBER(SEARCH("Special",F253)),"SPECIAL DIVIDEND","NEW DIVIDEND"),IF(ISNUMBER(SEARCH("Special",F253)),"SPECIAL DIVIDEND",""))</f>
        <v/>
      </c>
    </row>
    <row r="254">
      <c r="A254" s="16">
        <f>'Rest Universe'!A255</f>
        <v/>
      </c>
      <c r="B254" s="22">
        <f>IFERROR(_xll.BDP(A254,"NAME"),"")</f>
        <v/>
      </c>
      <c r="C254" s="22">
        <f>IF(LEFT((_xll.BDP(A254,"DVD_DECLARED_DT")),4)="#N/A",NA(),(_xll.BDP(A254,"DVD_DECLARED_DT")))</f>
        <v/>
      </c>
      <c r="D254" s="22">
        <f>IF(LEFT((_xll.BDP(A254,"DVD_EX_DT")),4)="#N/A",NA(),(_xll.BDP(A254,"DVD_EX_DT")))</f>
        <v/>
      </c>
      <c r="E254" s="22">
        <f>IF(LEFT((_xll.BDP(A254,"DVD_SH_LAST")), 4) = "#N/A", NA(), (_xll.BDP(A254,"DVD_SH_LAST")))</f>
        <v/>
      </c>
      <c r="F254" s="22">
        <f>IF(LEFT((_xll.BDP(A254,"DVD_TYP_LAST")), 4) = "#N/A", NA(), (_xll.BDP(A254,"DVD_TYP_LAST")))</f>
        <v/>
      </c>
      <c r="G254" s="16">
        <f>IF(ISNUMBER(C254),IF(C254&gt;=Settings!$B$5,"Y","N"),"")</f>
        <v/>
      </c>
      <c r="H254" s="16">
        <f>IF(G254="Y",IF(ISNUMBER(SEARCH("Special",F254)),"SPECIAL DIVIDEND","NEW DIVIDEND"),IF(ISNUMBER(SEARCH("Special",F254)),"SPECIAL DIVIDEND",""))</f>
        <v/>
      </c>
    </row>
    <row r="255">
      <c r="A255" s="16">
        <f>'Rest Universe'!A256</f>
        <v/>
      </c>
      <c r="B255" s="22">
        <f>IFERROR(_xll.BDP(A255,"NAME"),"")</f>
        <v/>
      </c>
      <c r="C255" s="22">
        <f>IF(LEFT((_xll.BDP(A255,"DVD_DECLARED_DT")),4)="#N/A",NA(),(_xll.BDP(A255,"DVD_DECLARED_DT")))</f>
        <v/>
      </c>
      <c r="D255" s="22">
        <f>IF(LEFT((_xll.BDP(A255,"DVD_EX_DT")),4)="#N/A",NA(),(_xll.BDP(A255,"DVD_EX_DT")))</f>
        <v/>
      </c>
      <c r="E255" s="22">
        <f>IF(LEFT((_xll.BDP(A255,"DVD_SH_LAST")), 4) = "#N/A", NA(), (_xll.BDP(A255,"DVD_SH_LAST")))</f>
        <v/>
      </c>
      <c r="F255" s="22">
        <f>IF(LEFT((_xll.BDP(A255,"DVD_TYP_LAST")), 4) = "#N/A", NA(), (_xll.BDP(A255,"DVD_TYP_LAST")))</f>
        <v/>
      </c>
      <c r="G255" s="16">
        <f>IF(ISNUMBER(C255),IF(C255&gt;=Settings!$B$5,"Y","N"),"")</f>
        <v/>
      </c>
      <c r="H255" s="16">
        <f>IF(G255="Y",IF(ISNUMBER(SEARCH("Special",F255)),"SPECIAL DIVIDEND","NEW DIVIDEND"),IF(ISNUMBER(SEARCH("Special",F255)),"SPECIAL DIVIDEND",""))</f>
        <v/>
      </c>
    </row>
    <row r="256">
      <c r="A256" s="16">
        <f>'Rest Universe'!A257</f>
        <v/>
      </c>
      <c r="B256" s="22">
        <f>IFERROR(_xll.BDP(A256,"NAME"),"")</f>
        <v/>
      </c>
      <c r="C256" s="22">
        <f>IF(LEFT((_xll.BDP(A256,"DVD_DECLARED_DT")),4)="#N/A",NA(),(_xll.BDP(A256,"DVD_DECLARED_DT")))</f>
        <v/>
      </c>
      <c r="D256" s="22">
        <f>IF(LEFT((_xll.BDP(A256,"DVD_EX_DT")),4)="#N/A",NA(),(_xll.BDP(A256,"DVD_EX_DT")))</f>
        <v/>
      </c>
      <c r="E256" s="22">
        <f>IF(LEFT((_xll.BDP(A256,"DVD_SH_LAST")), 4) = "#N/A", NA(), (_xll.BDP(A256,"DVD_SH_LAST")))</f>
        <v/>
      </c>
      <c r="F256" s="22">
        <f>IF(LEFT((_xll.BDP(A256,"DVD_TYP_LAST")), 4) = "#N/A", NA(), (_xll.BDP(A256,"DVD_TYP_LAST")))</f>
        <v/>
      </c>
      <c r="G256" s="16">
        <f>IF(ISNUMBER(C256),IF(C256&gt;=Settings!$B$5,"Y","N"),"")</f>
        <v/>
      </c>
      <c r="H256" s="16">
        <f>IF(G256="Y",IF(ISNUMBER(SEARCH("Special",F256)),"SPECIAL DIVIDEND","NEW DIVIDEND"),IF(ISNUMBER(SEARCH("Special",F256)),"SPECIAL DIVIDEND",""))</f>
        <v/>
      </c>
    </row>
    <row r="257">
      <c r="A257" s="16">
        <f>'Rest Universe'!A258</f>
        <v/>
      </c>
      <c r="B257" s="22">
        <f>IFERROR(_xll.BDP(A257,"NAME"),"")</f>
        <v/>
      </c>
      <c r="C257" s="22">
        <f>IF(LEFT((_xll.BDP(A257,"DVD_DECLARED_DT")),4)="#N/A",NA(),(_xll.BDP(A257,"DVD_DECLARED_DT")))</f>
        <v/>
      </c>
      <c r="D257" s="22">
        <f>IF(LEFT((_xll.BDP(A257,"DVD_EX_DT")),4)="#N/A",NA(),(_xll.BDP(A257,"DVD_EX_DT")))</f>
        <v/>
      </c>
      <c r="E257" s="22">
        <f>IF(LEFT((_xll.BDP(A257,"DVD_SH_LAST")), 4) = "#N/A", NA(), (_xll.BDP(A257,"DVD_SH_LAST")))</f>
        <v/>
      </c>
      <c r="F257" s="22">
        <f>IF(LEFT((_xll.BDP(A257,"DVD_TYP_LAST")), 4) = "#N/A", NA(), (_xll.BDP(A257,"DVD_TYP_LAST")))</f>
        <v/>
      </c>
      <c r="G257" s="16">
        <f>IF(ISNUMBER(C257),IF(C257&gt;=Settings!$B$5,"Y","N"),"")</f>
        <v/>
      </c>
      <c r="H257" s="16">
        <f>IF(G257="Y",IF(ISNUMBER(SEARCH("Special",F257)),"SPECIAL DIVIDEND","NEW DIVIDEND"),IF(ISNUMBER(SEARCH("Special",F257)),"SPECIAL DIVIDEND",""))</f>
        <v/>
      </c>
    </row>
    <row r="258">
      <c r="A258" s="16">
        <f>'Rest Universe'!A259</f>
        <v/>
      </c>
      <c r="B258" s="22">
        <f>IFERROR(_xll.BDP(A258,"NAME"),"")</f>
        <v/>
      </c>
      <c r="C258" s="22">
        <f>IF(LEFT((_xll.BDP(A258,"DVD_DECLARED_DT")),4)="#N/A",NA(),(_xll.BDP(A258,"DVD_DECLARED_DT")))</f>
        <v/>
      </c>
      <c r="D258" s="22">
        <f>IF(LEFT((_xll.BDP(A258,"DVD_EX_DT")),4)="#N/A",NA(),(_xll.BDP(A258,"DVD_EX_DT")))</f>
        <v/>
      </c>
      <c r="E258" s="22">
        <f>IF(LEFT((_xll.BDP(A258,"DVD_SH_LAST")), 4) = "#N/A", NA(), (_xll.BDP(A258,"DVD_SH_LAST")))</f>
        <v/>
      </c>
      <c r="F258" s="22">
        <f>IF(LEFT((_xll.BDP(A258,"DVD_TYP_LAST")), 4) = "#N/A", NA(), (_xll.BDP(A258,"DVD_TYP_LAST")))</f>
        <v/>
      </c>
      <c r="G258" s="16">
        <f>IF(ISNUMBER(C258),IF(C258&gt;=Settings!$B$5,"Y","N"),"")</f>
        <v/>
      </c>
      <c r="H258" s="16">
        <f>IF(G258="Y",IF(ISNUMBER(SEARCH("Special",F258)),"SPECIAL DIVIDEND","NEW DIVIDEND"),IF(ISNUMBER(SEARCH("Special",F258)),"SPECIAL DIVIDEND",""))</f>
        <v/>
      </c>
    </row>
    <row r="259">
      <c r="A259" s="16">
        <f>'Rest Universe'!A260</f>
        <v/>
      </c>
      <c r="B259" s="22">
        <f>IFERROR(_xll.BDP(A259,"NAME"),"")</f>
        <v/>
      </c>
      <c r="C259" s="22">
        <f>IF(LEFT((_xll.BDP(A259,"DVD_DECLARED_DT")),4)="#N/A",NA(),(_xll.BDP(A259,"DVD_DECLARED_DT")))</f>
        <v/>
      </c>
      <c r="D259" s="22">
        <f>IF(LEFT((_xll.BDP(A259,"DVD_EX_DT")),4)="#N/A",NA(),(_xll.BDP(A259,"DVD_EX_DT")))</f>
        <v/>
      </c>
      <c r="E259" s="22">
        <f>IF(LEFT((_xll.BDP(A259,"DVD_SH_LAST")), 4) = "#N/A", NA(), (_xll.BDP(A259,"DVD_SH_LAST")))</f>
        <v/>
      </c>
      <c r="F259" s="22">
        <f>IF(LEFT((_xll.BDP(A259,"DVD_TYP_LAST")), 4) = "#N/A", NA(), (_xll.BDP(A259,"DVD_TYP_LAST")))</f>
        <v/>
      </c>
      <c r="G259" s="16">
        <f>IF(ISNUMBER(C259),IF(C259&gt;=Settings!$B$5,"Y","N"),"")</f>
        <v/>
      </c>
      <c r="H259" s="16">
        <f>IF(G259="Y",IF(ISNUMBER(SEARCH("Special",F259)),"SPECIAL DIVIDEND","NEW DIVIDEND"),IF(ISNUMBER(SEARCH("Special",F259)),"SPECIAL DIVIDEND",""))</f>
        <v/>
      </c>
    </row>
    <row r="260">
      <c r="A260" s="16">
        <f>'Rest Universe'!A261</f>
        <v/>
      </c>
      <c r="B260" s="22">
        <f>IFERROR(_xll.BDP(A260,"NAME"),"")</f>
        <v/>
      </c>
      <c r="C260" s="22">
        <f>IF(LEFT((_xll.BDP(A260,"DVD_DECLARED_DT")),4)="#N/A",NA(),(_xll.BDP(A260,"DVD_DECLARED_DT")))</f>
        <v/>
      </c>
      <c r="D260" s="22">
        <f>IF(LEFT((_xll.BDP(A260,"DVD_EX_DT")),4)="#N/A",NA(),(_xll.BDP(A260,"DVD_EX_DT")))</f>
        <v/>
      </c>
      <c r="E260" s="22">
        <f>IF(LEFT((_xll.BDP(A260,"DVD_SH_LAST")), 4) = "#N/A", NA(), (_xll.BDP(A260,"DVD_SH_LAST")))</f>
        <v/>
      </c>
      <c r="F260" s="22">
        <f>IF(LEFT((_xll.BDP(A260,"DVD_TYP_LAST")), 4) = "#N/A", NA(), (_xll.BDP(A260,"DVD_TYP_LAST")))</f>
        <v/>
      </c>
      <c r="G260" s="16">
        <f>IF(ISNUMBER(C260),IF(C260&gt;=Settings!$B$5,"Y","N"),"")</f>
        <v/>
      </c>
      <c r="H260" s="16">
        <f>IF(G260="Y",IF(ISNUMBER(SEARCH("Special",F260)),"SPECIAL DIVIDEND","NEW DIVIDEND"),IF(ISNUMBER(SEARCH("Special",F260)),"SPECIAL DIVIDEND",""))</f>
        <v/>
      </c>
    </row>
    <row r="261">
      <c r="A261" s="16">
        <f>'Rest Universe'!A262</f>
        <v/>
      </c>
      <c r="B261" s="22">
        <f>IFERROR(_xll.BDP(A261,"NAME"),"")</f>
        <v/>
      </c>
      <c r="C261" s="22">
        <f>IF(LEFT((_xll.BDP(A261,"DVD_DECLARED_DT")),4)="#N/A",NA(),(_xll.BDP(A261,"DVD_DECLARED_DT")))</f>
        <v/>
      </c>
      <c r="D261" s="22">
        <f>IF(LEFT((_xll.BDP(A261,"DVD_EX_DT")),4)="#N/A",NA(),(_xll.BDP(A261,"DVD_EX_DT")))</f>
        <v/>
      </c>
      <c r="E261" s="22">
        <f>IF(LEFT((_xll.BDP(A261,"DVD_SH_LAST")), 4) = "#N/A", NA(), (_xll.BDP(A261,"DVD_SH_LAST")))</f>
        <v/>
      </c>
      <c r="F261" s="22">
        <f>IF(LEFT((_xll.BDP(A261,"DVD_TYP_LAST")), 4) = "#N/A", NA(), (_xll.BDP(A261,"DVD_TYP_LAST")))</f>
        <v/>
      </c>
      <c r="G261" s="16">
        <f>IF(ISNUMBER(C261),IF(C261&gt;=Settings!$B$5,"Y","N"),"")</f>
        <v/>
      </c>
      <c r="H261" s="16">
        <f>IF(G261="Y",IF(ISNUMBER(SEARCH("Special",F261)),"SPECIAL DIVIDEND","NEW DIVIDEND"),IF(ISNUMBER(SEARCH("Special",F261)),"SPECIAL DIVIDEND",""))</f>
        <v/>
      </c>
    </row>
    <row r="262">
      <c r="A262" s="16">
        <f>'Rest Universe'!A263</f>
        <v/>
      </c>
      <c r="B262" s="22">
        <f>IFERROR(_xll.BDP(A262,"NAME"),"")</f>
        <v/>
      </c>
      <c r="C262" s="22">
        <f>IF(LEFT((_xll.BDP(A262,"DVD_DECLARED_DT")),4)="#N/A",NA(),(_xll.BDP(A262,"DVD_DECLARED_DT")))</f>
        <v/>
      </c>
      <c r="D262" s="22">
        <f>IF(LEFT((_xll.BDP(A262,"DVD_EX_DT")),4)="#N/A",NA(),(_xll.BDP(A262,"DVD_EX_DT")))</f>
        <v/>
      </c>
      <c r="E262" s="22">
        <f>IF(LEFT((_xll.BDP(A262,"DVD_SH_LAST")), 4) = "#N/A", NA(), (_xll.BDP(A262,"DVD_SH_LAST")))</f>
        <v/>
      </c>
      <c r="F262" s="22">
        <f>IF(LEFT((_xll.BDP(A262,"DVD_TYP_LAST")), 4) = "#N/A", NA(), (_xll.BDP(A262,"DVD_TYP_LAST")))</f>
        <v/>
      </c>
      <c r="G262" s="16">
        <f>IF(ISNUMBER(C262),IF(C262&gt;=Settings!$B$5,"Y","N"),"")</f>
        <v/>
      </c>
      <c r="H262" s="16">
        <f>IF(G262="Y",IF(ISNUMBER(SEARCH("Special",F262)),"SPECIAL DIVIDEND","NEW DIVIDEND"),IF(ISNUMBER(SEARCH("Special",F262)),"SPECIAL DIVIDEND",""))</f>
        <v/>
      </c>
    </row>
    <row r="263">
      <c r="A263" s="16">
        <f>'Rest Universe'!A264</f>
        <v/>
      </c>
      <c r="B263" s="22">
        <f>IFERROR(_xll.BDP(A263,"NAME"),"")</f>
        <v/>
      </c>
      <c r="C263" s="22">
        <f>IF(LEFT((_xll.BDP(A263,"DVD_DECLARED_DT")),4)="#N/A",NA(),(_xll.BDP(A263,"DVD_DECLARED_DT")))</f>
        <v/>
      </c>
      <c r="D263" s="22">
        <f>IF(LEFT((_xll.BDP(A263,"DVD_EX_DT")),4)="#N/A",NA(),(_xll.BDP(A263,"DVD_EX_DT")))</f>
        <v/>
      </c>
      <c r="E263" s="22">
        <f>IF(LEFT((_xll.BDP(A263,"DVD_SH_LAST")), 4) = "#N/A", NA(), (_xll.BDP(A263,"DVD_SH_LAST")))</f>
        <v/>
      </c>
      <c r="F263" s="22">
        <f>IF(LEFT((_xll.BDP(A263,"DVD_TYP_LAST")), 4) = "#N/A", NA(), (_xll.BDP(A263,"DVD_TYP_LAST")))</f>
        <v/>
      </c>
      <c r="G263" s="16">
        <f>IF(ISNUMBER(C263),IF(C263&gt;=Settings!$B$5,"Y","N"),"")</f>
        <v/>
      </c>
      <c r="H263" s="16">
        <f>IF(G263="Y",IF(ISNUMBER(SEARCH("Special",F263)),"SPECIAL DIVIDEND","NEW DIVIDEND"),IF(ISNUMBER(SEARCH("Special",F263)),"SPECIAL DIVIDEND",""))</f>
        <v/>
      </c>
    </row>
    <row r="264">
      <c r="A264" s="16">
        <f>'Rest Universe'!A265</f>
        <v/>
      </c>
      <c r="B264" s="22">
        <f>IFERROR(_xll.BDP(A264,"NAME"),"")</f>
        <v/>
      </c>
      <c r="C264" s="22">
        <f>IF(LEFT((_xll.BDP(A264,"DVD_DECLARED_DT")),4)="#N/A",NA(),(_xll.BDP(A264,"DVD_DECLARED_DT")))</f>
        <v/>
      </c>
      <c r="D264" s="22">
        <f>IF(LEFT((_xll.BDP(A264,"DVD_EX_DT")),4)="#N/A",NA(),(_xll.BDP(A264,"DVD_EX_DT")))</f>
        <v/>
      </c>
      <c r="E264" s="22">
        <f>IF(LEFT((_xll.BDP(A264,"DVD_SH_LAST")), 4) = "#N/A", NA(), (_xll.BDP(A264,"DVD_SH_LAST")))</f>
        <v/>
      </c>
      <c r="F264" s="22">
        <f>IF(LEFT((_xll.BDP(A264,"DVD_TYP_LAST")), 4) = "#N/A", NA(), (_xll.BDP(A264,"DVD_TYP_LAST")))</f>
        <v/>
      </c>
      <c r="G264" s="16">
        <f>IF(ISNUMBER(C264),IF(C264&gt;=Settings!$B$5,"Y","N"),"")</f>
        <v/>
      </c>
      <c r="H264" s="16">
        <f>IF(G264="Y",IF(ISNUMBER(SEARCH("Special",F264)),"SPECIAL DIVIDEND","NEW DIVIDEND"),IF(ISNUMBER(SEARCH("Special",F264)),"SPECIAL DIVIDEND",""))</f>
        <v/>
      </c>
    </row>
    <row r="265">
      <c r="A265" s="16">
        <f>'Rest Universe'!A266</f>
        <v/>
      </c>
      <c r="B265" s="22">
        <f>IFERROR(_xll.BDP(A265,"NAME"),"")</f>
        <v/>
      </c>
      <c r="C265" s="22">
        <f>IF(LEFT((_xll.BDP(A265,"DVD_DECLARED_DT")),4)="#N/A",NA(),(_xll.BDP(A265,"DVD_DECLARED_DT")))</f>
        <v/>
      </c>
      <c r="D265" s="22">
        <f>IF(LEFT((_xll.BDP(A265,"DVD_EX_DT")),4)="#N/A",NA(),(_xll.BDP(A265,"DVD_EX_DT")))</f>
        <v/>
      </c>
      <c r="E265" s="22">
        <f>IF(LEFT((_xll.BDP(A265,"DVD_SH_LAST")), 4) = "#N/A", NA(), (_xll.BDP(A265,"DVD_SH_LAST")))</f>
        <v/>
      </c>
      <c r="F265" s="22">
        <f>IF(LEFT((_xll.BDP(A265,"DVD_TYP_LAST")), 4) = "#N/A", NA(), (_xll.BDP(A265,"DVD_TYP_LAST")))</f>
        <v/>
      </c>
      <c r="G265" s="16">
        <f>IF(ISNUMBER(C265),IF(C265&gt;=Settings!$B$5,"Y","N"),"")</f>
        <v/>
      </c>
      <c r="H265" s="16">
        <f>IF(G265="Y",IF(ISNUMBER(SEARCH("Special",F265)),"SPECIAL DIVIDEND","NEW DIVIDEND"),IF(ISNUMBER(SEARCH("Special",F265)),"SPECIAL DIVIDEND",""))</f>
        <v/>
      </c>
    </row>
    <row r="266">
      <c r="A266" s="16">
        <f>'Rest Universe'!A267</f>
        <v/>
      </c>
      <c r="B266" s="22">
        <f>IFERROR(_xll.BDP(A266,"NAME"),"")</f>
        <v/>
      </c>
      <c r="C266" s="22">
        <f>IF(LEFT((_xll.BDP(A266,"DVD_DECLARED_DT")),4)="#N/A",NA(),(_xll.BDP(A266,"DVD_DECLARED_DT")))</f>
        <v/>
      </c>
      <c r="D266" s="22">
        <f>IF(LEFT((_xll.BDP(A266,"DVD_EX_DT")),4)="#N/A",NA(),(_xll.BDP(A266,"DVD_EX_DT")))</f>
        <v/>
      </c>
      <c r="E266" s="22">
        <f>IF(LEFT((_xll.BDP(A266,"DVD_SH_LAST")), 4) = "#N/A", NA(), (_xll.BDP(A266,"DVD_SH_LAST")))</f>
        <v/>
      </c>
      <c r="F266" s="22">
        <f>IF(LEFT((_xll.BDP(A266,"DVD_TYP_LAST")), 4) = "#N/A", NA(), (_xll.BDP(A266,"DVD_TYP_LAST")))</f>
        <v/>
      </c>
      <c r="G266" s="16">
        <f>IF(ISNUMBER(C266),IF(C266&gt;=Settings!$B$5,"Y","N"),"")</f>
        <v/>
      </c>
      <c r="H266" s="16">
        <f>IF(G266="Y",IF(ISNUMBER(SEARCH("Special",F266)),"SPECIAL DIVIDEND","NEW DIVIDEND"),IF(ISNUMBER(SEARCH("Special",F266)),"SPECIAL DIVIDEND",""))</f>
        <v/>
      </c>
    </row>
    <row r="267">
      <c r="A267" s="16">
        <f>'Rest Universe'!A268</f>
        <v/>
      </c>
      <c r="B267" s="22">
        <f>IFERROR(_xll.BDP(A267,"NAME"),"")</f>
        <v/>
      </c>
      <c r="C267" s="22">
        <f>IF(LEFT((_xll.BDP(A267,"DVD_DECLARED_DT")),4)="#N/A",NA(),(_xll.BDP(A267,"DVD_DECLARED_DT")))</f>
        <v/>
      </c>
      <c r="D267" s="22">
        <f>IF(LEFT((_xll.BDP(A267,"DVD_EX_DT")),4)="#N/A",NA(),(_xll.BDP(A267,"DVD_EX_DT")))</f>
        <v/>
      </c>
      <c r="E267" s="22">
        <f>IF(LEFT((_xll.BDP(A267,"DVD_SH_LAST")), 4) = "#N/A", NA(), (_xll.BDP(A267,"DVD_SH_LAST")))</f>
        <v/>
      </c>
      <c r="F267" s="22">
        <f>IF(LEFT((_xll.BDP(A267,"DVD_TYP_LAST")), 4) = "#N/A", NA(), (_xll.BDP(A267,"DVD_TYP_LAST")))</f>
        <v/>
      </c>
      <c r="G267" s="16">
        <f>IF(ISNUMBER(C267),IF(C267&gt;=Settings!$B$5,"Y","N"),"")</f>
        <v/>
      </c>
      <c r="H267" s="16">
        <f>IF(G267="Y",IF(ISNUMBER(SEARCH("Special",F267)),"SPECIAL DIVIDEND","NEW DIVIDEND"),IF(ISNUMBER(SEARCH("Special",F267)),"SPECIAL DIVIDEND",""))</f>
        <v/>
      </c>
    </row>
    <row r="268">
      <c r="A268" s="16">
        <f>'Rest Universe'!A269</f>
        <v/>
      </c>
      <c r="B268" s="22">
        <f>IFERROR(_xll.BDP(A268,"NAME"),"")</f>
        <v/>
      </c>
      <c r="C268" s="22">
        <f>IF(LEFT((_xll.BDP(A268,"DVD_DECLARED_DT")),4)="#N/A",NA(),(_xll.BDP(A268,"DVD_DECLARED_DT")))</f>
        <v/>
      </c>
      <c r="D268" s="22">
        <f>IF(LEFT((_xll.BDP(A268,"DVD_EX_DT")),4)="#N/A",NA(),(_xll.BDP(A268,"DVD_EX_DT")))</f>
        <v/>
      </c>
      <c r="E268" s="22">
        <f>IF(LEFT((_xll.BDP(A268,"DVD_SH_LAST")), 4) = "#N/A", NA(), (_xll.BDP(A268,"DVD_SH_LAST")))</f>
        <v/>
      </c>
      <c r="F268" s="22">
        <f>IF(LEFT((_xll.BDP(A268,"DVD_TYP_LAST")), 4) = "#N/A", NA(), (_xll.BDP(A268,"DVD_TYP_LAST")))</f>
        <v/>
      </c>
      <c r="G268" s="16">
        <f>IF(ISNUMBER(C268),IF(C268&gt;=Settings!$B$5,"Y","N"),"")</f>
        <v/>
      </c>
      <c r="H268" s="16">
        <f>IF(G268="Y",IF(ISNUMBER(SEARCH("Special",F268)),"SPECIAL DIVIDEND","NEW DIVIDEND"),IF(ISNUMBER(SEARCH("Special",F268)),"SPECIAL DIVIDEND",""))</f>
        <v/>
      </c>
    </row>
    <row r="269">
      <c r="A269" s="16">
        <f>'Rest Universe'!A270</f>
        <v/>
      </c>
      <c r="B269" s="22">
        <f>IFERROR(_xll.BDP(A269,"NAME"),"")</f>
        <v/>
      </c>
      <c r="C269" s="22">
        <f>IF(LEFT((_xll.BDP(A269,"DVD_DECLARED_DT")),4)="#N/A",NA(),(_xll.BDP(A269,"DVD_DECLARED_DT")))</f>
        <v/>
      </c>
      <c r="D269" s="22">
        <f>IF(LEFT((_xll.BDP(A269,"DVD_EX_DT")),4)="#N/A",NA(),(_xll.BDP(A269,"DVD_EX_DT")))</f>
        <v/>
      </c>
      <c r="E269" s="22">
        <f>IF(LEFT((_xll.BDP(A269,"DVD_SH_LAST")), 4) = "#N/A", NA(), (_xll.BDP(A269,"DVD_SH_LAST")))</f>
        <v/>
      </c>
      <c r="F269" s="22">
        <f>IF(LEFT((_xll.BDP(A269,"DVD_TYP_LAST")), 4) = "#N/A", NA(), (_xll.BDP(A269,"DVD_TYP_LAST")))</f>
        <v/>
      </c>
      <c r="G269" s="16">
        <f>IF(ISNUMBER(C269),IF(C269&gt;=Settings!$B$5,"Y","N"),"")</f>
        <v/>
      </c>
      <c r="H269" s="16">
        <f>IF(G269="Y",IF(ISNUMBER(SEARCH("Special",F269)),"SPECIAL DIVIDEND","NEW DIVIDEND"),IF(ISNUMBER(SEARCH("Special",F269)),"SPECIAL DIVIDEND",""))</f>
        <v/>
      </c>
    </row>
    <row r="270">
      <c r="A270" s="16">
        <f>'Rest Universe'!A271</f>
        <v/>
      </c>
      <c r="B270" s="22">
        <f>IFERROR(_xll.BDP(A270,"NAME"),"")</f>
        <v/>
      </c>
      <c r="C270" s="22">
        <f>IF(LEFT((_xll.BDP(A270,"DVD_DECLARED_DT")),4)="#N/A",NA(),(_xll.BDP(A270,"DVD_DECLARED_DT")))</f>
        <v/>
      </c>
      <c r="D270" s="22">
        <f>IF(LEFT((_xll.BDP(A270,"DVD_EX_DT")),4)="#N/A",NA(),(_xll.BDP(A270,"DVD_EX_DT")))</f>
        <v/>
      </c>
      <c r="E270" s="22">
        <f>IF(LEFT((_xll.BDP(A270,"DVD_SH_LAST")), 4) = "#N/A", NA(), (_xll.BDP(A270,"DVD_SH_LAST")))</f>
        <v/>
      </c>
      <c r="F270" s="22">
        <f>IF(LEFT((_xll.BDP(A270,"DVD_TYP_LAST")), 4) = "#N/A", NA(), (_xll.BDP(A270,"DVD_TYP_LAST")))</f>
        <v/>
      </c>
      <c r="G270" s="16">
        <f>IF(ISNUMBER(C270),IF(C270&gt;=Settings!$B$5,"Y","N"),"")</f>
        <v/>
      </c>
      <c r="H270" s="16">
        <f>IF(G270="Y",IF(ISNUMBER(SEARCH("Special",F270)),"SPECIAL DIVIDEND","NEW DIVIDEND"),IF(ISNUMBER(SEARCH("Special",F270)),"SPECIAL DIVIDEND",""))</f>
        <v/>
      </c>
    </row>
    <row r="271">
      <c r="A271" s="16">
        <f>'Rest Universe'!A272</f>
        <v/>
      </c>
      <c r="B271" s="22">
        <f>IFERROR(_xll.BDP(A271,"NAME"),"")</f>
        <v/>
      </c>
      <c r="C271" s="22">
        <f>IF(LEFT((_xll.BDP(A271,"DVD_DECLARED_DT")),4)="#N/A",NA(),(_xll.BDP(A271,"DVD_DECLARED_DT")))</f>
        <v/>
      </c>
      <c r="D271" s="22">
        <f>IF(LEFT((_xll.BDP(A271,"DVD_EX_DT")),4)="#N/A",NA(),(_xll.BDP(A271,"DVD_EX_DT")))</f>
        <v/>
      </c>
      <c r="E271" s="22">
        <f>IF(LEFT((_xll.BDP(A271,"DVD_SH_LAST")), 4) = "#N/A", NA(), (_xll.BDP(A271,"DVD_SH_LAST")))</f>
        <v/>
      </c>
      <c r="F271" s="22">
        <f>IF(LEFT((_xll.BDP(A271,"DVD_TYP_LAST")), 4) = "#N/A", NA(), (_xll.BDP(A271,"DVD_TYP_LAST")))</f>
        <v/>
      </c>
      <c r="G271" s="16">
        <f>IF(ISNUMBER(C271),IF(C271&gt;=Settings!$B$5,"Y","N"),"")</f>
        <v/>
      </c>
      <c r="H271" s="16">
        <f>IF(G271="Y",IF(ISNUMBER(SEARCH("Special",F271)),"SPECIAL DIVIDEND","NEW DIVIDEND"),IF(ISNUMBER(SEARCH("Special",F271)),"SPECIAL DIVIDEND",""))</f>
        <v/>
      </c>
    </row>
    <row r="272">
      <c r="A272" s="16">
        <f>'Rest Universe'!A273</f>
        <v/>
      </c>
      <c r="B272" s="22">
        <f>IFERROR(_xll.BDP(A272,"NAME"),"")</f>
        <v/>
      </c>
      <c r="C272" s="22">
        <f>IF(LEFT((_xll.BDP(A272,"DVD_DECLARED_DT")),4)="#N/A",NA(),(_xll.BDP(A272,"DVD_DECLARED_DT")))</f>
        <v/>
      </c>
      <c r="D272" s="22">
        <f>IF(LEFT((_xll.BDP(A272,"DVD_EX_DT")),4)="#N/A",NA(),(_xll.BDP(A272,"DVD_EX_DT")))</f>
        <v/>
      </c>
      <c r="E272" s="22">
        <f>IF(LEFT((_xll.BDP(A272,"DVD_SH_LAST")), 4) = "#N/A", NA(), (_xll.BDP(A272,"DVD_SH_LAST")))</f>
        <v/>
      </c>
      <c r="F272" s="22">
        <f>IF(LEFT((_xll.BDP(A272,"DVD_TYP_LAST")), 4) = "#N/A", NA(), (_xll.BDP(A272,"DVD_TYP_LAST")))</f>
        <v/>
      </c>
      <c r="G272" s="16">
        <f>IF(ISNUMBER(C272),IF(C272&gt;=Settings!$B$5,"Y","N"),"")</f>
        <v/>
      </c>
      <c r="H272" s="16">
        <f>IF(G272="Y",IF(ISNUMBER(SEARCH("Special",F272)),"SPECIAL DIVIDEND","NEW DIVIDEND"),IF(ISNUMBER(SEARCH("Special",F272)),"SPECIAL DIVIDEND",""))</f>
        <v/>
      </c>
    </row>
    <row r="273">
      <c r="A273" s="16">
        <f>'Rest Universe'!A274</f>
        <v/>
      </c>
      <c r="B273" s="22">
        <f>IFERROR(_xll.BDP(A273,"NAME"),"")</f>
        <v/>
      </c>
      <c r="C273" s="22">
        <f>IF(LEFT((_xll.BDP(A273,"DVD_DECLARED_DT")),4)="#N/A",NA(),(_xll.BDP(A273,"DVD_DECLARED_DT")))</f>
        <v/>
      </c>
      <c r="D273" s="22">
        <f>IF(LEFT((_xll.BDP(A273,"DVD_EX_DT")),4)="#N/A",NA(),(_xll.BDP(A273,"DVD_EX_DT")))</f>
        <v/>
      </c>
      <c r="E273" s="22">
        <f>IF(LEFT((_xll.BDP(A273,"DVD_SH_LAST")), 4) = "#N/A", NA(), (_xll.BDP(A273,"DVD_SH_LAST")))</f>
        <v/>
      </c>
      <c r="F273" s="22">
        <f>IF(LEFT((_xll.BDP(A273,"DVD_TYP_LAST")), 4) = "#N/A", NA(), (_xll.BDP(A273,"DVD_TYP_LAST")))</f>
        <v/>
      </c>
      <c r="G273" s="16">
        <f>IF(ISNUMBER(C273),IF(C273&gt;=Settings!$B$5,"Y","N"),"")</f>
        <v/>
      </c>
      <c r="H273" s="16">
        <f>IF(G273="Y",IF(ISNUMBER(SEARCH("Special",F273)),"SPECIAL DIVIDEND","NEW DIVIDEND"),IF(ISNUMBER(SEARCH("Special",F273)),"SPECIAL DIVIDEND",""))</f>
        <v/>
      </c>
    </row>
    <row r="274">
      <c r="A274" s="16">
        <f>'Rest Universe'!A275</f>
        <v/>
      </c>
      <c r="B274" s="22">
        <f>IFERROR(_xll.BDP(A274,"NAME"),"")</f>
        <v/>
      </c>
      <c r="C274" s="22">
        <f>IF(LEFT((_xll.BDP(A274,"DVD_DECLARED_DT")),4)="#N/A",NA(),(_xll.BDP(A274,"DVD_DECLARED_DT")))</f>
        <v/>
      </c>
      <c r="D274" s="22">
        <f>IF(LEFT((_xll.BDP(A274,"DVD_EX_DT")),4)="#N/A",NA(),(_xll.BDP(A274,"DVD_EX_DT")))</f>
        <v/>
      </c>
      <c r="E274" s="22">
        <f>IF(LEFT((_xll.BDP(A274,"DVD_SH_LAST")), 4) = "#N/A", NA(), (_xll.BDP(A274,"DVD_SH_LAST")))</f>
        <v/>
      </c>
      <c r="F274" s="22">
        <f>IF(LEFT((_xll.BDP(A274,"DVD_TYP_LAST")), 4) = "#N/A", NA(), (_xll.BDP(A274,"DVD_TYP_LAST")))</f>
        <v/>
      </c>
      <c r="G274" s="16">
        <f>IF(ISNUMBER(C274),IF(C274&gt;=Settings!$B$5,"Y","N"),"")</f>
        <v/>
      </c>
      <c r="H274" s="16">
        <f>IF(G274="Y",IF(ISNUMBER(SEARCH("Special",F274)),"SPECIAL DIVIDEND","NEW DIVIDEND"),IF(ISNUMBER(SEARCH("Special",F274)),"SPECIAL DIVIDEND",""))</f>
        <v/>
      </c>
    </row>
    <row r="275">
      <c r="A275" s="16">
        <f>'Rest Universe'!A276</f>
        <v/>
      </c>
      <c r="B275" s="22">
        <f>IFERROR(_xll.BDP(A275,"NAME"),"")</f>
        <v/>
      </c>
      <c r="C275" s="22">
        <f>IF(LEFT((_xll.BDP(A275,"DVD_DECLARED_DT")),4)="#N/A",NA(),(_xll.BDP(A275,"DVD_DECLARED_DT")))</f>
        <v/>
      </c>
      <c r="D275" s="22">
        <f>IF(LEFT((_xll.BDP(A275,"DVD_EX_DT")),4)="#N/A",NA(),(_xll.BDP(A275,"DVD_EX_DT")))</f>
        <v/>
      </c>
      <c r="E275" s="22">
        <f>IF(LEFT((_xll.BDP(A275,"DVD_SH_LAST")), 4) = "#N/A", NA(), (_xll.BDP(A275,"DVD_SH_LAST")))</f>
        <v/>
      </c>
      <c r="F275" s="22">
        <f>IF(LEFT((_xll.BDP(A275,"DVD_TYP_LAST")), 4) = "#N/A", NA(), (_xll.BDP(A275,"DVD_TYP_LAST")))</f>
        <v/>
      </c>
      <c r="G275" s="16">
        <f>IF(ISNUMBER(C275),IF(C275&gt;=Settings!$B$5,"Y","N"),"")</f>
        <v/>
      </c>
      <c r="H275" s="16">
        <f>IF(G275="Y",IF(ISNUMBER(SEARCH("Special",F275)),"SPECIAL DIVIDEND","NEW DIVIDEND"),IF(ISNUMBER(SEARCH("Special",F275)),"SPECIAL DIVIDEND",""))</f>
        <v/>
      </c>
    </row>
    <row r="276">
      <c r="A276" s="16">
        <f>'Rest Universe'!A277</f>
        <v/>
      </c>
      <c r="B276" s="22">
        <f>IFERROR(_xll.BDP(A276,"NAME"),"")</f>
        <v/>
      </c>
      <c r="C276" s="22">
        <f>IF(LEFT((_xll.BDP(A276,"DVD_DECLARED_DT")),4)="#N/A",NA(),(_xll.BDP(A276,"DVD_DECLARED_DT")))</f>
        <v/>
      </c>
      <c r="D276" s="22">
        <f>IF(LEFT((_xll.BDP(A276,"DVD_EX_DT")),4)="#N/A",NA(),(_xll.BDP(A276,"DVD_EX_DT")))</f>
        <v/>
      </c>
      <c r="E276" s="22">
        <f>IF(LEFT((_xll.BDP(A276,"DVD_SH_LAST")), 4) = "#N/A", NA(), (_xll.BDP(A276,"DVD_SH_LAST")))</f>
        <v/>
      </c>
      <c r="F276" s="22">
        <f>IF(LEFT((_xll.BDP(A276,"DVD_TYP_LAST")), 4) = "#N/A", NA(), (_xll.BDP(A276,"DVD_TYP_LAST")))</f>
        <v/>
      </c>
      <c r="G276" s="16">
        <f>IF(ISNUMBER(C276),IF(C276&gt;=Settings!$B$5,"Y","N"),"")</f>
        <v/>
      </c>
      <c r="H276" s="16">
        <f>IF(G276="Y",IF(ISNUMBER(SEARCH("Special",F276)),"SPECIAL DIVIDEND","NEW DIVIDEND"),IF(ISNUMBER(SEARCH("Special",F276)),"SPECIAL DIVIDEND",""))</f>
        <v/>
      </c>
    </row>
    <row r="277">
      <c r="A277" s="16">
        <f>'Rest Universe'!A278</f>
        <v/>
      </c>
      <c r="B277" s="22">
        <f>IFERROR(_xll.BDP(A277,"NAME"),"")</f>
        <v/>
      </c>
      <c r="C277" s="22">
        <f>IF(LEFT((_xll.BDP(A277,"DVD_DECLARED_DT")),4)="#N/A",NA(),(_xll.BDP(A277,"DVD_DECLARED_DT")))</f>
        <v/>
      </c>
      <c r="D277" s="22">
        <f>IF(LEFT((_xll.BDP(A277,"DVD_EX_DT")),4)="#N/A",NA(),(_xll.BDP(A277,"DVD_EX_DT")))</f>
        <v/>
      </c>
      <c r="E277" s="22">
        <f>IF(LEFT((_xll.BDP(A277,"DVD_SH_LAST")), 4) = "#N/A", NA(), (_xll.BDP(A277,"DVD_SH_LAST")))</f>
        <v/>
      </c>
      <c r="F277" s="22">
        <f>IF(LEFT((_xll.BDP(A277,"DVD_TYP_LAST")), 4) = "#N/A", NA(), (_xll.BDP(A277,"DVD_TYP_LAST")))</f>
        <v/>
      </c>
      <c r="G277" s="16">
        <f>IF(ISNUMBER(C277),IF(C277&gt;=Settings!$B$5,"Y","N"),"")</f>
        <v/>
      </c>
      <c r="H277" s="16">
        <f>IF(G277="Y",IF(ISNUMBER(SEARCH("Special",F277)),"SPECIAL DIVIDEND","NEW DIVIDEND"),IF(ISNUMBER(SEARCH("Special",F277)),"SPECIAL DIVIDEND",""))</f>
        <v/>
      </c>
    </row>
    <row r="278">
      <c r="A278" s="16">
        <f>'Rest Universe'!A279</f>
        <v/>
      </c>
      <c r="B278" s="22">
        <f>IFERROR(_xll.BDP(A278,"NAME"),"")</f>
        <v/>
      </c>
      <c r="C278" s="22">
        <f>IF(LEFT((_xll.BDP(A278,"DVD_DECLARED_DT")),4)="#N/A",NA(),(_xll.BDP(A278,"DVD_DECLARED_DT")))</f>
        <v/>
      </c>
      <c r="D278" s="22">
        <f>IF(LEFT((_xll.BDP(A278,"DVD_EX_DT")),4)="#N/A",NA(),(_xll.BDP(A278,"DVD_EX_DT")))</f>
        <v/>
      </c>
      <c r="E278" s="22">
        <f>IF(LEFT((_xll.BDP(A278,"DVD_SH_LAST")), 4) = "#N/A", NA(), (_xll.BDP(A278,"DVD_SH_LAST")))</f>
        <v/>
      </c>
      <c r="F278" s="22">
        <f>IF(LEFT((_xll.BDP(A278,"DVD_TYP_LAST")), 4) = "#N/A", NA(), (_xll.BDP(A278,"DVD_TYP_LAST")))</f>
        <v/>
      </c>
      <c r="G278" s="16">
        <f>IF(ISNUMBER(C278),IF(C278&gt;=Settings!$B$5,"Y","N"),"")</f>
        <v/>
      </c>
      <c r="H278" s="16">
        <f>IF(G278="Y",IF(ISNUMBER(SEARCH("Special",F278)),"SPECIAL DIVIDEND","NEW DIVIDEND"),IF(ISNUMBER(SEARCH("Special",F278)),"SPECIAL DIVIDEND",""))</f>
        <v/>
      </c>
    </row>
    <row r="279">
      <c r="A279" s="16">
        <f>'Rest Universe'!A280</f>
        <v/>
      </c>
      <c r="B279" s="22">
        <f>IFERROR(_xll.BDP(A279,"NAME"),"")</f>
        <v/>
      </c>
      <c r="C279" s="22">
        <f>IF(LEFT((_xll.BDP(A279,"DVD_DECLARED_DT")),4)="#N/A",NA(),(_xll.BDP(A279,"DVD_DECLARED_DT")))</f>
        <v/>
      </c>
      <c r="D279" s="22">
        <f>IF(LEFT((_xll.BDP(A279,"DVD_EX_DT")),4)="#N/A",NA(),(_xll.BDP(A279,"DVD_EX_DT")))</f>
        <v/>
      </c>
      <c r="E279" s="22">
        <f>IF(LEFT((_xll.BDP(A279,"DVD_SH_LAST")), 4) = "#N/A", NA(), (_xll.BDP(A279,"DVD_SH_LAST")))</f>
        <v/>
      </c>
      <c r="F279" s="22">
        <f>IF(LEFT((_xll.BDP(A279,"DVD_TYP_LAST")), 4) = "#N/A", NA(), (_xll.BDP(A279,"DVD_TYP_LAST")))</f>
        <v/>
      </c>
      <c r="G279" s="16">
        <f>IF(ISNUMBER(C279),IF(C279&gt;=Settings!$B$5,"Y","N"),"")</f>
        <v/>
      </c>
      <c r="H279" s="16">
        <f>IF(G279="Y",IF(ISNUMBER(SEARCH("Special",F279)),"SPECIAL DIVIDEND","NEW DIVIDEND"),IF(ISNUMBER(SEARCH("Special",F279)),"SPECIAL DIVIDEND",""))</f>
        <v/>
      </c>
    </row>
    <row r="280">
      <c r="A280" s="16">
        <f>'Rest Universe'!A281</f>
        <v/>
      </c>
      <c r="B280" s="22">
        <f>IFERROR(_xll.BDP(A280,"NAME"),"")</f>
        <v/>
      </c>
      <c r="C280" s="22">
        <f>IF(LEFT((_xll.BDP(A280,"DVD_DECLARED_DT")),4)="#N/A",NA(),(_xll.BDP(A280,"DVD_DECLARED_DT")))</f>
        <v/>
      </c>
      <c r="D280" s="22">
        <f>IF(LEFT((_xll.BDP(A280,"DVD_EX_DT")),4)="#N/A",NA(),(_xll.BDP(A280,"DVD_EX_DT")))</f>
        <v/>
      </c>
      <c r="E280" s="22">
        <f>IF(LEFT((_xll.BDP(A280,"DVD_SH_LAST")), 4) = "#N/A", NA(), (_xll.BDP(A280,"DVD_SH_LAST")))</f>
        <v/>
      </c>
      <c r="F280" s="22">
        <f>IF(LEFT((_xll.BDP(A280,"DVD_TYP_LAST")), 4) = "#N/A", NA(), (_xll.BDP(A280,"DVD_TYP_LAST")))</f>
        <v/>
      </c>
      <c r="G280" s="16">
        <f>IF(ISNUMBER(C280),IF(C280&gt;=Settings!$B$5,"Y","N"),"")</f>
        <v/>
      </c>
      <c r="H280" s="16">
        <f>IF(G280="Y",IF(ISNUMBER(SEARCH("Special",F280)),"SPECIAL DIVIDEND","NEW DIVIDEND"),IF(ISNUMBER(SEARCH("Special",F280)),"SPECIAL DIVIDEND",""))</f>
        <v/>
      </c>
    </row>
    <row r="281">
      <c r="A281" s="16">
        <f>'Rest Universe'!A282</f>
        <v/>
      </c>
      <c r="B281" s="22">
        <f>IFERROR(_xll.BDP(A281,"NAME"),"")</f>
        <v/>
      </c>
      <c r="C281" s="22">
        <f>IF(LEFT((_xll.BDP(A281,"DVD_DECLARED_DT")),4)="#N/A",NA(),(_xll.BDP(A281,"DVD_DECLARED_DT")))</f>
        <v/>
      </c>
      <c r="D281" s="22">
        <f>IF(LEFT((_xll.BDP(A281,"DVD_EX_DT")),4)="#N/A",NA(),(_xll.BDP(A281,"DVD_EX_DT")))</f>
        <v/>
      </c>
      <c r="E281" s="22">
        <f>IF(LEFT((_xll.BDP(A281,"DVD_SH_LAST")), 4) = "#N/A", NA(), (_xll.BDP(A281,"DVD_SH_LAST")))</f>
        <v/>
      </c>
      <c r="F281" s="22">
        <f>IF(LEFT((_xll.BDP(A281,"DVD_TYP_LAST")), 4) = "#N/A", NA(), (_xll.BDP(A281,"DVD_TYP_LAST")))</f>
        <v/>
      </c>
      <c r="G281" s="16">
        <f>IF(ISNUMBER(C281),IF(C281&gt;=Settings!$B$5,"Y","N"),"")</f>
        <v/>
      </c>
      <c r="H281" s="16">
        <f>IF(G281="Y",IF(ISNUMBER(SEARCH("Special",F281)),"SPECIAL DIVIDEND","NEW DIVIDEND"),IF(ISNUMBER(SEARCH("Special",F281)),"SPECIAL DIVIDEND",""))</f>
        <v/>
      </c>
    </row>
    <row r="282">
      <c r="A282" s="16">
        <f>'Rest Universe'!A283</f>
        <v/>
      </c>
      <c r="B282" s="22">
        <f>IFERROR(_xll.BDP(A282,"NAME"),"")</f>
        <v/>
      </c>
      <c r="C282" s="22">
        <f>IF(LEFT((_xll.BDP(A282,"DVD_DECLARED_DT")),4)="#N/A",NA(),(_xll.BDP(A282,"DVD_DECLARED_DT")))</f>
        <v/>
      </c>
      <c r="D282" s="22">
        <f>IF(LEFT((_xll.BDP(A282,"DVD_EX_DT")),4)="#N/A",NA(),(_xll.BDP(A282,"DVD_EX_DT")))</f>
        <v/>
      </c>
      <c r="E282" s="22">
        <f>IF(LEFT((_xll.BDP(A282,"DVD_SH_LAST")), 4) = "#N/A", NA(), (_xll.BDP(A282,"DVD_SH_LAST")))</f>
        <v/>
      </c>
      <c r="F282" s="22">
        <f>IF(LEFT((_xll.BDP(A282,"DVD_TYP_LAST")), 4) = "#N/A", NA(), (_xll.BDP(A282,"DVD_TYP_LAST")))</f>
        <v/>
      </c>
      <c r="G282" s="16">
        <f>IF(ISNUMBER(C282),IF(C282&gt;=Settings!$B$5,"Y","N"),"")</f>
        <v/>
      </c>
      <c r="H282" s="16">
        <f>IF(G282="Y",IF(ISNUMBER(SEARCH("Special",F282)),"SPECIAL DIVIDEND","NEW DIVIDEND"),IF(ISNUMBER(SEARCH("Special",F282)),"SPECIAL DIVIDEND",""))</f>
        <v/>
      </c>
    </row>
    <row r="283">
      <c r="A283" s="16">
        <f>'Rest Universe'!A284</f>
        <v/>
      </c>
      <c r="B283" s="22">
        <f>IFERROR(_xll.BDP(A283,"NAME"),"")</f>
        <v/>
      </c>
      <c r="C283" s="22">
        <f>IF(LEFT((_xll.BDP(A283,"DVD_DECLARED_DT")),4)="#N/A",NA(),(_xll.BDP(A283,"DVD_DECLARED_DT")))</f>
        <v/>
      </c>
      <c r="D283" s="22">
        <f>IF(LEFT((_xll.BDP(A283,"DVD_EX_DT")),4)="#N/A",NA(),(_xll.BDP(A283,"DVD_EX_DT")))</f>
        <v/>
      </c>
      <c r="E283" s="22">
        <f>IF(LEFT((_xll.BDP(A283,"DVD_SH_LAST")), 4) = "#N/A", NA(), (_xll.BDP(A283,"DVD_SH_LAST")))</f>
        <v/>
      </c>
      <c r="F283" s="22">
        <f>IF(LEFT((_xll.BDP(A283,"DVD_TYP_LAST")), 4) = "#N/A", NA(), (_xll.BDP(A283,"DVD_TYP_LAST")))</f>
        <v/>
      </c>
      <c r="G283" s="16">
        <f>IF(ISNUMBER(C283),IF(C283&gt;=Settings!$B$5,"Y","N"),"")</f>
        <v/>
      </c>
      <c r="H283" s="16">
        <f>IF(G283="Y",IF(ISNUMBER(SEARCH("Special",F283)),"SPECIAL DIVIDEND","NEW DIVIDEND"),IF(ISNUMBER(SEARCH("Special",F283)),"SPECIAL DIVIDEND",""))</f>
        <v/>
      </c>
    </row>
    <row r="284">
      <c r="A284" s="16">
        <f>'Rest Universe'!A285</f>
        <v/>
      </c>
      <c r="B284" s="22">
        <f>IFERROR(_xll.BDP(A284,"NAME"),"")</f>
        <v/>
      </c>
      <c r="C284" s="22">
        <f>IF(LEFT((_xll.BDP(A284,"DVD_DECLARED_DT")),4)="#N/A",NA(),(_xll.BDP(A284,"DVD_DECLARED_DT")))</f>
        <v/>
      </c>
      <c r="D284" s="22">
        <f>IF(LEFT((_xll.BDP(A284,"DVD_EX_DT")),4)="#N/A",NA(),(_xll.BDP(A284,"DVD_EX_DT")))</f>
        <v/>
      </c>
      <c r="E284" s="22">
        <f>IF(LEFT((_xll.BDP(A284,"DVD_SH_LAST")), 4) = "#N/A", NA(), (_xll.BDP(A284,"DVD_SH_LAST")))</f>
        <v/>
      </c>
      <c r="F284" s="22">
        <f>IF(LEFT((_xll.BDP(A284,"DVD_TYP_LAST")), 4) = "#N/A", NA(), (_xll.BDP(A284,"DVD_TYP_LAST")))</f>
        <v/>
      </c>
      <c r="G284" s="16">
        <f>IF(ISNUMBER(C284),IF(C284&gt;=Settings!$B$5,"Y","N"),"")</f>
        <v/>
      </c>
      <c r="H284" s="16">
        <f>IF(G284="Y",IF(ISNUMBER(SEARCH("Special",F284)),"SPECIAL DIVIDEND","NEW DIVIDEND"),IF(ISNUMBER(SEARCH("Special",F284)),"SPECIAL DIVIDEND",""))</f>
        <v/>
      </c>
    </row>
    <row r="285">
      <c r="A285" s="16">
        <f>'Rest Universe'!A286</f>
        <v/>
      </c>
      <c r="B285" s="22">
        <f>IFERROR(_xll.BDP(A285,"NAME"),"")</f>
        <v/>
      </c>
      <c r="C285" s="22">
        <f>IF(LEFT((_xll.BDP(A285,"DVD_DECLARED_DT")),4)="#N/A",NA(),(_xll.BDP(A285,"DVD_DECLARED_DT")))</f>
        <v/>
      </c>
      <c r="D285" s="22">
        <f>IF(LEFT((_xll.BDP(A285,"DVD_EX_DT")),4)="#N/A",NA(),(_xll.BDP(A285,"DVD_EX_DT")))</f>
        <v/>
      </c>
      <c r="E285" s="22">
        <f>IF(LEFT((_xll.BDP(A285,"DVD_SH_LAST")), 4) = "#N/A", NA(), (_xll.BDP(A285,"DVD_SH_LAST")))</f>
        <v/>
      </c>
      <c r="F285" s="22">
        <f>IF(LEFT((_xll.BDP(A285,"DVD_TYP_LAST")), 4) = "#N/A", NA(), (_xll.BDP(A285,"DVD_TYP_LAST")))</f>
        <v/>
      </c>
      <c r="G285" s="16">
        <f>IF(ISNUMBER(C285),IF(C285&gt;=Settings!$B$5,"Y","N"),"")</f>
        <v/>
      </c>
      <c r="H285" s="16">
        <f>IF(G285="Y",IF(ISNUMBER(SEARCH("Special",F285)),"SPECIAL DIVIDEND","NEW DIVIDEND"),IF(ISNUMBER(SEARCH("Special",F285)),"SPECIAL DIVIDEND",""))</f>
        <v/>
      </c>
    </row>
    <row r="286">
      <c r="A286" s="16">
        <f>'Rest Universe'!A287</f>
        <v/>
      </c>
      <c r="B286" s="22">
        <f>IFERROR(_xll.BDP(A286,"NAME"),"")</f>
        <v/>
      </c>
      <c r="C286" s="22">
        <f>IF(LEFT((_xll.BDP(A286,"DVD_DECLARED_DT")),4)="#N/A",NA(),(_xll.BDP(A286,"DVD_DECLARED_DT")))</f>
        <v/>
      </c>
      <c r="D286" s="22">
        <f>IF(LEFT((_xll.BDP(A286,"DVD_EX_DT")),4)="#N/A",NA(),(_xll.BDP(A286,"DVD_EX_DT")))</f>
        <v/>
      </c>
      <c r="E286" s="22">
        <f>IF(LEFT((_xll.BDP(A286,"DVD_SH_LAST")), 4) = "#N/A", NA(), (_xll.BDP(A286,"DVD_SH_LAST")))</f>
        <v/>
      </c>
      <c r="F286" s="22">
        <f>IF(LEFT((_xll.BDP(A286,"DVD_TYP_LAST")), 4) = "#N/A", NA(), (_xll.BDP(A286,"DVD_TYP_LAST")))</f>
        <v/>
      </c>
      <c r="G286" s="16">
        <f>IF(ISNUMBER(C286),IF(C286&gt;=Settings!$B$5,"Y","N"),"")</f>
        <v/>
      </c>
      <c r="H286" s="16">
        <f>IF(G286="Y",IF(ISNUMBER(SEARCH("Special",F286)),"SPECIAL DIVIDEND","NEW DIVIDEND"),IF(ISNUMBER(SEARCH("Special",F286)),"SPECIAL DIVIDEND",""))</f>
        <v/>
      </c>
    </row>
    <row r="287">
      <c r="A287" s="16">
        <f>'Rest Universe'!A288</f>
        <v/>
      </c>
      <c r="B287" s="22">
        <f>IFERROR(_xll.BDP(A287,"NAME"),"")</f>
        <v/>
      </c>
      <c r="C287" s="22">
        <f>IF(LEFT((_xll.BDP(A287,"DVD_DECLARED_DT")),4)="#N/A",NA(),(_xll.BDP(A287,"DVD_DECLARED_DT")))</f>
        <v/>
      </c>
      <c r="D287" s="22">
        <f>IF(LEFT((_xll.BDP(A287,"DVD_EX_DT")),4)="#N/A",NA(),(_xll.BDP(A287,"DVD_EX_DT")))</f>
        <v/>
      </c>
      <c r="E287" s="22">
        <f>IF(LEFT((_xll.BDP(A287,"DVD_SH_LAST")), 4) = "#N/A", NA(), (_xll.BDP(A287,"DVD_SH_LAST")))</f>
        <v/>
      </c>
      <c r="F287" s="22">
        <f>IF(LEFT((_xll.BDP(A287,"DVD_TYP_LAST")), 4) = "#N/A", NA(), (_xll.BDP(A287,"DVD_TYP_LAST")))</f>
        <v/>
      </c>
      <c r="G287" s="16">
        <f>IF(ISNUMBER(C287),IF(C287&gt;=Settings!$B$5,"Y","N"),"")</f>
        <v/>
      </c>
      <c r="H287" s="16">
        <f>IF(G287="Y",IF(ISNUMBER(SEARCH("Special",F287)),"SPECIAL DIVIDEND","NEW DIVIDEND"),IF(ISNUMBER(SEARCH("Special",F287)),"SPECIAL DIVIDEND",""))</f>
        <v/>
      </c>
    </row>
    <row r="288">
      <c r="A288" s="16">
        <f>'Rest Universe'!A289</f>
        <v/>
      </c>
      <c r="B288" s="22">
        <f>IFERROR(_xll.BDP(A288,"NAME"),"")</f>
        <v/>
      </c>
      <c r="C288" s="22">
        <f>IF(LEFT((_xll.BDP(A288,"DVD_DECLARED_DT")),4)="#N/A",NA(),(_xll.BDP(A288,"DVD_DECLARED_DT")))</f>
        <v/>
      </c>
      <c r="D288" s="22">
        <f>IF(LEFT((_xll.BDP(A288,"DVD_EX_DT")),4)="#N/A",NA(),(_xll.BDP(A288,"DVD_EX_DT")))</f>
        <v/>
      </c>
      <c r="E288" s="22">
        <f>IF(LEFT((_xll.BDP(A288,"DVD_SH_LAST")), 4) = "#N/A", NA(), (_xll.BDP(A288,"DVD_SH_LAST")))</f>
        <v/>
      </c>
      <c r="F288" s="22">
        <f>IF(LEFT((_xll.BDP(A288,"DVD_TYP_LAST")), 4) = "#N/A", NA(), (_xll.BDP(A288,"DVD_TYP_LAST")))</f>
        <v/>
      </c>
      <c r="G288" s="16">
        <f>IF(ISNUMBER(C288),IF(C288&gt;=Settings!$B$5,"Y","N"),"")</f>
        <v/>
      </c>
      <c r="H288" s="16">
        <f>IF(G288="Y",IF(ISNUMBER(SEARCH("Special",F288)),"SPECIAL DIVIDEND","NEW DIVIDEND"),IF(ISNUMBER(SEARCH("Special",F288)),"SPECIAL DIVIDEND",""))</f>
        <v/>
      </c>
    </row>
    <row r="289">
      <c r="A289" s="16">
        <f>'Rest Universe'!A290</f>
        <v/>
      </c>
      <c r="B289" s="22">
        <f>IFERROR(_xll.BDP(A289,"NAME"),"")</f>
        <v/>
      </c>
      <c r="C289" s="22">
        <f>IF(LEFT((_xll.BDP(A289,"DVD_DECLARED_DT")),4)="#N/A",NA(),(_xll.BDP(A289,"DVD_DECLARED_DT")))</f>
        <v/>
      </c>
      <c r="D289" s="22">
        <f>IF(LEFT((_xll.BDP(A289,"DVD_EX_DT")),4)="#N/A",NA(),(_xll.BDP(A289,"DVD_EX_DT")))</f>
        <v/>
      </c>
      <c r="E289" s="22">
        <f>IF(LEFT((_xll.BDP(A289,"DVD_SH_LAST")), 4) = "#N/A", NA(), (_xll.BDP(A289,"DVD_SH_LAST")))</f>
        <v/>
      </c>
      <c r="F289" s="22">
        <f>IF(LEFT((_xll.BDP(A289,"DVD_TYP_LAST")), 4) = "#N/A", NA(), (_xll.BDP(A289,"DVD_TYP_LAST")))</f>
        <v/>
      </c>
      <c r="G289" s="16">
        <f>IF(ISNUMBER(C289),IF(C289&gt;=Settings!$B$5,"Y","N"),"")</f>
        <v/>
      </c>
      <c r="H289" s="16">
        <f>IF(G289="Y",IF(ISNUMBER(SEARCH("Special",F289)),"SPECIAL DIVIDEND","NEW DIVIDEND"),IF(ISNUMBER(SEARCH("Special",F289)),"SPECIAL DIVIDEND",""))</f>
        <v/>
      </c>
    </row>
    <row r="290">
      <c r="A290" s="16">
        <f>'Rest Universe'!A291</f>
        <v/>
      </c>
      <c r="B290" s="22">
        <f>IFERROR(_xll.BDP(A290,"NAME"),"")</f>
        <v/>
      </c>
      <c r="C290" s="22">
        <f>IF(LEFT((_xll.BDP(A290,"DVD_DECLARED_DT")),4)="#N/A",NA(),(_xll.BDP(A290,"DVD_DECLARED_DT")))</f>
        <v/>
      </c>
      <c r="D290" s="22">
        <f>IF(LEFT((_xll.BDP(A290,"DVD_EX_DT")),4)="#N/A",NA(),(_xll.BDP(A290,"DVD_EX_DT")))</f>
        <v/>
      </c>
      <c r="E290" s="22">
        <f>IF(LEFT((_xll.BDP(A290,"DVD_SH_LAST")), 4) = "#N/A", NA(), (_xll.BDP(A290,"DVD_SH_LAST")))</f>
        <v/>
      </c>
      <c r="F290" s="22">
        <f>IF(LEFT((_xll.BDP(A290,"DVD_TYP_LAST")), 4) = "#N/A", NA(), (_xll.BDP(A290,"DVD_TYP_LAST")))</f>
        <v/>
      </c>
      <c r="G290" s="16">
        <f>IF(ISNUMBER(C290),IF(C290&gt;=Settings!$B$5,"Y","N"),"")</f>
        <v/>
      </c>
      <c r="H290" s="16">
        <f>IF(G290="Y",IF(ISNUMBER(SEARCH("Special",F290)),"SPECIAL DIVIDEND","NEW DIVIDEND"),IF(ISNUMBER(SEARCH("Special",F290)),"SPECIAL DIVIDEND",""))</f>
        <v/>
      </c>
    </row>
    <row r="291">
      <c r="A291" s="16">
        <f>'Rest Universe'!A292</f>
        <v/>
      </c>
      <c r="B291" s="22">
        <f>IFERROR(_xll.BDP(A291,"NAME"),"")</f>
        <v/>
      </c>
      <c r="C291" s="22">
        <f>IF(LEFT((_xll.BDP(A291,"DVD_DECLARED_DT")),4)="#N/A",NA(),(_xll.BDP(A291,"DVD_DECLARED_DT")))</f>
        <v/>
      </c>
      <c r="D291" s="22">
        <f>IF(LEFT((_xll.BDP(A291,"DVD_EX_DT")),4)="#N/A",NA(),(_xll.BDP(A291,"DVD_EX_DT")))</f>
        <v/>
      </c>
      <c r="E291" s="22">
        <f>IF(LEFT((_xll.BDP(A291,"DVD_SH_LAST")), 4) = "#N/A", NA(), (_xll.BDP(A291,"DVD_SH_LAST")))</f>
        <v/>
      </c>
      <c r="F291" s="22">
        <f>IF(LEFT((_xll.BDP(A291,"DVD_TYP_LAST")), 4) = "#N/A", NA(), (_xll.BDP(A291,"DVD_TYP_LAST")))</f>
        <v/>
      </c>
      <c r="G291" s="16">
        <f>IF(ISNUMBER(C291),IF(C291&gt;=Settings!$B$5,"Y","N"),"")</f>
        <v/>
      </c>
      <c r="H291" s="16">
        <f>IF(G291="Y",IF(ISNUMBER(SEARCH("Special",F291)),"SPECIAL DIVIDEND","NEW DIVIDEND"),IF(ISNUMBER(SEARCH("Special",F291)),"SPECIAL DIVIDEND",""))</f>
        <v/>
      </c>
    </row>
    <row r="292">
      <c r="A292" s="16">
        <f>'Rest Universe'!A293</f>
        <v/>
      </c>
      <c r="B292" s="22">
        <f>IFERROR(_xll.BDP(A292,"NAME"),"")</f>
        <v/>
      </c>
      <c r="C292" s="22">
        <f>IF(LEFT((_xll.BDP(A292,"DVD_DECLARED_DT")),4)="#N/A",NA(),(_xll.BDP(A292,"DVD_DECLARED_DT")))</f>
        <v/>
      </c>
      <c r="D292" s="22">
        <f>IF(LEFT((_xll.BDP(A292,"DVD_EX_DT")),4)="#N/A",NA(),(_xll.BDP(A292,"DVD_EX_DT")))</f>
        <v/>
      </c>
      <c r="E292" s="22">
        <f>IF(LEFT((_xll.BDP(A292,"DVD_SH_LAST")), 4) = "#N/A", NA(), (_xll.BDP(A292,"DVD_SH_LAST")))</f>
        <v/>
      </c>
      <c r="F292" s="22">
        <f>IF(LEFT((_xll.BDP(A292,"DVD_TYP_LAST")), 4) = "#N/A", NA(), (_xll.BDP(A292,"DVD_TYP_LAST")))</f>
        <v/>
      </c>
      <c r="G292" s="16">
        <f>IF(ISNUMBER(C292),IF(C292&gt;=Settings!$B$5,"Y","N"),"")</f>
        <v/>
      </c>
      <c r="H292" s="16">
        <f>IF(G292="Y",IF(ISNUMBER(SEARCH("Special",F292)),"SPECIAL DIVIDEND","NEW DIVIDEND"),IF(ISNUMBER(SEARCH("Special",F292)),"SPECIAL DIVIDEND",""))</f>
        <v/>
      </c>
    </row>
    <row r="293">
      <c r="A293" s="16">
        <f>'Rest Universe'!A294</f>
        <v/>
      </c>
      <c r="B293" s="22">
        <f>IFERROR(_xll.BDP(A293,"NAME"),"")</f>
        <v/>
      </c>
      <c r="C293" s="22">
        <f>IF(LEFT((_xll.BDP(A293,"DVD_DECLARED_DT")),4)="#N/A",NA(),(_xll.BDP(A293,"DVD_DECLARED_DT")))</f>
        <v/>
      </c>
      <c r="D293" s="22">
        <f>IF(LEFT((_xll.BDP(A293,"DVD_EX_DT")),4)="#N/A",NA(),(_xll.BDP(A293,"DVD_EX_DT")))</f>
        <v/>
      </c>
      <c r="E293" s="22">
        <f>IF(LEFT((_xll.BDP(A293,"DVD_SH_LAST")), 4) = "#N/A", NA(), (_xll.BDP(A293,"DVD_SH_LAST")))</f>
        <v/>
      </c>
      <c r="F293" s="22">
        <f>IF(LEFT((_xll.BDP(A293,"DVD_TYP_LAST")), 4) = "#N/A", NA(), (_xll.BDP(A293,"DVD_TYP_LAST")))</f>
        <v/>
      </c>
      <c r="G293" s="16">
        <f>IF(ISNUMBER(C293),IF(C293&gt;=Settings!$B$5,"Y","N"),"")</f>
        <v/>
      </c>
      <c r="H293" s="16">
        <f>IF(G293="Y",IF(ISNUMBER(SEARCH("Special",F293)),"SPECIAL DIVIDEND","NEW DIVIDEND"),IF(ISNUMBER(SEARCH("Special",F293)),"SPECIAL DIVIDEND",""))</f>
        <v/>
      </c>
    </row>
    <row r="294">
      <c r="A294" s="16">
        <f>'Rest Universe'!A295</f>
        <v/>
      </c>
      <c r="B294" s="22">
        <f>IFERROR(_xll.BDP(A294,"NAME"),"")</f>
        <v/>
      </c>
      <c r="C294" s="22">
        <f>IF(LEFT((_xll.BDP(A294,"DVD_DECLARED_DT")),4)="#N/A",NA(),(_xll.BDP(A294,"DVD_DECLARED_DT")))</f>
        <v/>
      </c>
      <c r="D294" s="22">
        <f>IF(LEFT((_xll.BDP(A294,"DVD_EX_DT")),4)="#N/A",NA(),(_xll.BDP(A294,"DVD_EX_DT")))</f>
        <v/>
      </c>
      <c r="E294" s="22">
        <f>IF(LEFT((_xll.BDP(A294,"DVD_SH_LAST")), 4) = "#N/A", NA(), (_xll.BDP(A294,"DVD_SH_LAST")))</f>
        <v/>
      </c>
      <c r="F294" s="22">
        <f>IF(LEFT((_xll.BDP(A294,"DVD_TYP_LAST")), 4) = "#N/A", NA(), (_xll.BDP(A294,"DVD_TYP_LAST")))</f>
        <v/>
      </c>
      <c r="G294" s="16">
        <f>IF(ISNUMBER(C294),IF(C294&gt;=Settings!$B$5,"Y","N"),"")</f>
        <v/>
      </c>
      <c r="H294" s="16">
        <f>IF(G294="Y",IF(ISNUMBER(SEARCH("Special",F294)),"SPECIAL DIVIDEND","NEW DIVIDEND"),IF(ISNUMBER(SEARCH("Special",F294)),"SPECIAL DIVIDEND",""))</f>
        <v/>
      </c>
    </row>
    <row r="295">
      <c r="A295" s="16">
        <f>'Rest Universe'!A296</f>
        <v/>
      </c>
      <c r="B295" s="22">
        <f>IFERROR(_xll.BDP(A295,"NAME"),"")</f>
        <v/>
      </c>
      <c r="C295" s="22">
        <f>IF(LEFT((_xll.BDP(A295,"DVD_DECLARED_DT")),4)="#N/A",NA(),(_xll.BDP(A295,"DVD_DECLARED_DT")))</f>
        <v/>
      </c>
      <c r="D295" s="22">
        <f>IF(LEFT((_xll.BDP(A295,"DVD_EX_DT")),4)="#N/A",NA(),(_xll.BDP(A295,"DVD_EX_DT")))</f>
        <v/>
      </c>
      <c r="E295" s="22">
        <f>IF(LEFT((_xll.BDP(A295,"DVD_SH_LAST")), 4) = "#N/A", NA(), (_xll.BDP(A295,"DVD_SH_LAST")))</f>
        <v/>
      </c>
      <c r="F295" s="22">
        <f>IF(LEFT((_xll.BDP(A295,"DVD_TYP_LAST")), 4) = "#N/A", NA(), (_xll.BDP(A295,"DVD_TYP_LAST")))</f>
        <v/>
      </c>
      <c r="G295" s="16">
        <f>IF(ISNUMBER(C295),IF(C295&gt;=Settings!$B$5,"Y","N"),"")</f>
        <v/>
      </c>
      <c r="H295" s="16">
        <f>IF(G295="Y",IF(ISNUMBER(SEARCH("Special",F295)),"SPECIAL DIVIDEND","NEW DIVIDEND"),IF(ISNUMBER(SEARCH("Special",F295)),"SPECIAL DIVIDEND",""))</f>
        <v/>
      </c>
    </row>
    <row r="296">
      <c r="A296" s="16">
        <f>'Rest Universe'!A297</f>
        <v/>
      </c>
      <c r="B296" s="22">
        <f>IFERROR(_xll.BDP(A296,"NAME"),"")</f>
        <v/>
      </c>
      <c r="C296" s="22">
        <f>IF(LEFT((_xll.BDP(A296,"DVD_DECLARED_DT")),4)="#N/A",NA(),(_xll.BDP(A296,"DVD_DECLARED_DT")))</f>
        <v/>
      </c>
      <c r="D296" s="22">
        <f>IF(LEFT((_xll.BDP(A296,"DVD_EX_DT")),4)="#N/A",NA(),(_xll.BDP(A296,"DVD_EX_DT")))</f>
        <v/>
      </c>
      <c r="E296" s="22">
        <f>IF(LEFT((_xll.BDP(A296,"DVD_SH_LAST")), 4) = "#N/A", NA(), (_xll.BDP(A296,"DVD_SH_LAST")))</f>
        <v/>
      </c>
      <c r="F296" s="22">
        <f>IF(LEFT((_xll.BDP(A296,"DVD_TYP_LAST")), 4) = "#N/A", NA(), (_xll.BDP(A296,"DVD_TYP_LAST")))</f>
        <v/>
      </c>
      <c r="G296" s="16">
        <f>IF(ISNUMBER(C296),IF(C296&gt;=Settings!$B$5,"Y","N"),"")</f>
        <v/>
      </c>
      <c r="H296" s="16">
        <f>IF(G296="Y",IF(ISNUMBER(SEARCH("Special",F296)),"SPECIAL DIVIDEND","NEW DIVIDEND"),IF(ISNUMBER(SEARCH("Special",F296)),"SPECIAL DIVIDEND",""))</f>
        <v/>
      </c>
    </row>
    <row r="297">
      <c r="A297" s="16">
        <f>'Rest Universe'!A298</f>
        <v/>
      </c>
      <c r="B297" s="22">
        <f>IFERROR(_xll.BDP(A297,"NAME"),"")</f>
        <v/>
      </c>
      <c r="C297" s="22">
        <f>IF(LEFT((_xll.BDP(A297,"DVD_DECLARED_DT")),4)="#N/A",NA(),(_xll.BDP(A297,"DVD_DECLARED_DT")))</f>
        <v/>
      </c>
      <c r="D297" s="22">
        <f>IF(LEFT((_xll.BDP(A297,"DVD_EX_DT")),4)="#N/A",NA(),(_xll.BDP(A297,"DVD_EX_DT")))</f>
        <v/>
      </c>
      <c r="E297" s="22">
        <f>IF(LEFT((_xll.BDP(A297,"DVD_SH_LAST")), 4) = "#N/A", NA(), (_xll.BDP(A297,"DVD_SH_LAST")))</f>
        <v/>
      </c>
      <c r="F297" s="22">
        <f>IF(LEFT((_xll.BDP(A297,"DVD_TYP_LAST")), 4) = "#N/A", NA(), (_xll.BDP(A297,"DVD_TYP_LAST")))</f>
        <v/>
      </c>
      <c r="G297" s="16">
        <f>IF(ISNUMBER(C297),IF(C297&gt;=Settings!$B$5,"Y","N"),"")</f>
        <v/>
      </c>
      <c r="H297" s="16">
        <f>IF(G297="Y",IF(ISNUMBER(SEARCH("Special",F297)),"SPECIAL DIVIDEND","NEW DIVIDEND"),IF(ISNUMBER(SEARCH("Special",F297)),"SPECIAL DIVIDEND",""))</f>
        <v/>
      </c>
    </row>
    <row r="298">
      <c r="A298" s="16">
        <f>'Rest Universe'!A299</f>
        <v/>
      </c>
      <c r="B298" s="22">
        <f>IFERROR(_xll.BDP(A298,"NAME"),"")</f>
        <v/>
      </c>
      <c r="C298" s="22">
        <f>IF(LEFT((_xll.BDP(A298,"DVD_DECLARED_DT")),4)="#N/A",NA(),(_xll.BDP(A298,"DVD_DECLARED_DT")))</f>
        <v/>
      </c>
      <c r="D298" s="22">
        <f>IF(LEFT((_xll.BDP(A298,"DVD_EX_DT")),4)="#N/A",NA(),(_xll.BDP(A298,"DVD_EX_DT")))</f>
        <v/>
      </c>
      <c r="E298" s="22">
        <f>IF(LEFT((_xll.BDP(A298,"DVD_SH_LAST")), 4) = "#N/A", NA(), (_xll.BDP(A298,"DVD_SH_LAST")))</f>
        <v/>
      </c>
      <c r="F298" s="22">
        <f>IF(LEFT((_xll.BDP(A298,"DVD_TYP_LAST")), 4) = "#N/A", NA(), (_xll.BDP(A298,"DVD_TYP_LAST")))</f>
        <v/>
      </c>
      <c r="G298" s="16">
        <f>IF(ISNUMBER(C298),IF(C298&gt;=Settings!$B$5,"Y","N"),"")</f>
        <v/>
      </c>
      <c r="H298" s="16">
        <f>IF(G298="Y",IF(ISNUMBER(SEARCH("Special",F298)),"SPECIAL DIVIDEND","NEW DIVIDEND"),IF(ISNUMBER(SEARCH("Special",F298)),"SPECIAL DIVIDEND",""))</f>
        <v/>
      </c>
    </row>
    <row r="299">
      <c r="A299" s="16">
        <f>'Rest Universe'!A300</f>
        <v/>
      </c>
      <c r="B299" s="22">
        <f>IFERROR(_xll.BDP(A299,"NAME"),"")</f>
        <v/>
      </c>
      <c r="C299" s="22">
        <f>IF(LEFT((_xll.BDP(A299,"DVD_DECLARED_DT")),4)="#N/A",NA(),(_xll.BDP(A299,"DVD_DECLARED_DT")))</f>
        <v/>
      </c>
      <c r="D299" s="22">
        <f>IF(LEFT((_xll.BDP(A299,"DVD_EX_DT")),4)="#N/A",NA(),(_xll.BDP(A299,"DVD_EX_DT")))</f>
        <v/>
      </c>
      <c r="E299" s="22">
        <f>IF(LEFT((_xll.BDP(A299,"DVD_SH_LAST")), 4) = "#N/A", NA(), (_xll.BDP(A299,"DVD_SH_LAST")))</f>
        <v/>
      </c>
      <c r="F299" s="22">
        <f>IF(LEFT((_xll.BDP(A299,"DVD_TYP_LAST")), 4) = "#N/A", NA(), (_xll.BDP(A299,"DVD_TYP_LAST")))</f>
        <v/>
      </c>
      <c r="G299" s="16">
        <f>IF(ISNUMBER(C299),IF(C299&gt;=Settings!$B$5,"Y","N"),"")</f>
        <v/>
      </c>
      <c r="H299" s="16">
        <f>IF(G299="Y",IF(ISNUMBER(SEARCH("Special",F299)),"SPECIAL DIVIDEND","NEW DIVIDEND"),IF(ISNUMBER(SEARCH("Special",F299)),"SPECIAL DIVIDEND",""))</f>
        <v/>
      </c>
    </row>
    <row r="300">
      <c r="A300" s="16">
        <f>'Rest Universe'!A301</f>
        <v/>
      </c>
      <c r="B300" s="22">
        <f>IFERROR(_xll.BDP(A300,"NAME"),"")</f>
        <v/>
      </c>
      <c r="C300" s="22">
        <f>IF(LEFT((_xll.BDP(A300,"DVD_DECLARED_DT")),4)="#N/A",NA(),(_xll.BDP(A300,"DVD_DECLARED_DT")))</f>
        <v/>
      </c>
      <c r="D300" s="22">
        <f>IF(LEFT((_xll.BDP(A300,"DVD_EX_DT")),4)="#N/A",NA(),(_xll.BDP(A300,"DVD_EX_DT")))</f>
        <v/>
      </c>
      <c r="E300" s="22">
        <f>IF(LEFT((_xll.BDP(A300,"DVD_SH_LAST")), 4) = "#N/A", NA(), (_xll.BDP(A300,"DVD_SH_LAST")))</f>
        <v/>
      </c>
      <c r="F300" s="22">
        <f>IF(LEFT((_xll.BDP(A300,"DVD_TYP_LAST")), 4) = "#N/A", NA(), (_xll.BDP(A300,"DVD_TYP_LAST")))</f>
        <v/>
      </c>
      <c r="G300" s="16">
        <f>IF(ISNUMBER(C300),IF(C300&gt;=Settings!$B$5,"Y","N"),"")</f>
        <v/>
      </c>
      <c r="H300" s="16">
        <f>IF(G300="Y",IF(ISNUMBER(SEARCH("Special",F300)),"SPECIAL DIVIDEND","NEW DIVIDEND"),IF(ISNUMBER(SEARCH("Special",F300)),"SPECIAL DIVIDEND",""))</f>
        <v/>
      </c>
    </row>
    <row r="301">
      <c r="A301" s="16">
        <f>'Rest Universe'!A302</f>
        <v/>
      </c>
      <c r="B301" s="22">
        <f>IFERROR(_xll.BDP(A301,"NAME"),"")</f>
        <v/>
      </c>
      <c r="C301" s="22">
        <f>IF(LEFT((_xll.BDP(A301,"DVD_DECLARED_DT")),4)="#N/A",NA(),(_xll.BDP(A301,"DVD_DECLARED_DT")))</f>
        <v/>
      </c>
      <c r="D301" s="22">
        <f>IF(LEFT((_xll.BDP(A301,"DVD_EX_DT")),4)="#N/A",NA(),(_xll.BDP(A301,"DVD_EX_DT")))</f>
        <v/>
      </c>
      <c r="E301" s="22">
        <f>IF(LEFT((_xll.BDP(A301,"DVD_SH_LAST")), 4) = "#N/A", NA(), (_xll.BDP(A301,"DVD_SH_LAST")))</f>
        <v/>
      </c>
      <c r="F301" s="22">
        <f>IF(LEFT((_xll.BDP(A301,"DVD_TYP_LAST")), 4) = "#N/A", NA(), (_xll.BDP(A301,"DVD_TYP_LAST")))</f>
        <v/>
      </c>
      <c r="G301" s="16">
        <f>IF(ISNUMBER(C301),IF(C301&gt;=Settings!$B$5,"Y","N"),"")</f>
        <v/>
      </c>
      <c r="H301" s="16">
        <f>IF(G301="Y",IF(ISNUMBER(SEARCH("Special",F301)),"SPECIAL DIVIDEND","NEW DIVIDEND"),IF(ISNUMBER(SEARCH("Special",F301)),"SPECIAL DIVIDEND",""))</f>
        <v/>
      </c>
    </row>
    <row r="302">
      <c r="A302" s="16">
        <f>'Rest Universe'!A303</f>
        <v/>
      </c>
      <c r="B302" s="22">
        <f>IFERROR(_xll.BDP(A302,"NAME"),"")</f>
        <v/>
      </c>
      <c r="C302" s="22">
        <f>IF(LEFT((_xll.BDP(A302,"DVD_DECLARED_DT")),4)="#N/A",NA(),(_xll.BDP(A302,"DVD_DECLARED_DT")))</f>
        <v/>
      </c>
      <c r="D302" s="22">
        <f>IF(LEFT((_xll.BDP(A302,"DVD_EX_DT")),4)="#N/A",NA(),(_xll.BDP(A302,"DVD_EX_DT")))</f>
        <v/>
      </c>
      <c r="E302" s="22">
        <f>IF(LEFT((_xll.BDP(A302,"DVD_SH_LAST")), 4) = "#N/A", NA(), (_xll.BDP(A302,"DVD_SH_LAST")))</f>
        <v/>
      </c>
      <c r="F302" s="22">
        <f>IF(LEFT((_xll.BDP(A302,"DVD_TYP_LAST")), 4) = "#N/A", NA(), (_xll.BDP(A302,"DVD_TYP_LAST")))</f>
        <v/>
      </c>
      <c r="G302" s="16">
        <f>IF(ISNUMBER(C302),IF(C302&gt;=Settings!$B$5,"Y","N"),"")</f>
        <v/>
      </c>
      <c r="H302" s="16">
        <f>IF(G302="Y",IF(ISNUMBER(SEARCH("Special",F302)),"SPECIAL DIVIDEND","NEW DIVIDEND"),IF(ISNUMBER(SEARCH("Special",F302)),"SPECIAL DIVIDEND",""))</f>
        <v/>
      </c>
    </row>
    <row r="303">
      <c r="A303" s="16">
        <f>'Rest Universe'!A304</f>
        <v/>
      </c>
      <c r="B303" s="22">
        <f>IFERROR(_xll.BDP(A303,"NAME"),"")</f>
        <v/>
      </c>
      <c r="C303" s="22">
        <f>IF(LEFT((_xll.BDP(A303,"DVD_DECLARED_DT")),4)="#N/A",NA(),(_xll.BDP(A303,"DVD_DECLARED_DT")))</f>
        <v/>
      </c>
      <c r="D303" s="22">
        <f>IF(LEFT((_xll.BDP(A303,"DVD_EX_DT")),4)="#N/A",NA(),(_xll.BDP(A303,"DVD_EX_DT")))</f>
        <v/>
      </c>
      <c r="E303" s="22">
        <f>IF(LEFT((_xll.BDP(A303,"DVD_SH_LAST")), 4) = "#N/A", NA(), (_xll.BDP(A303,"DVD_SH_LAST")))</f>
        <v/>
      </c>
      <c r="F303" s="22">
        <f>IF(LEFT((_xll.BDP(A303,"DVD_TYP_LAST")), 4) = "#N/A", NA(), (_xll.BDP(A303,"DVD_TYP_LAST")))</f>
        <v/>
      </c>
      <c r="G303" s="16">
        <f>IF(ISNUMBER(C303),IF(C303&gt;=Settings!$B$5,"Y","N"),"")</f>
        <v/>
      </c>
      <c r="H303" s="16">
        <f>IF(G303="Y",IF(ISNUMBER(SEARCH("Special",F303)),"SPECIAL DIVIDEND","NEW DIVIDEND"),IF(ISNUMBER(SEARCH("Special",F303)),"SPECIAL DIVIDEND",""))</f>
        <v/>
      </c>
    </row>
    <row r="304">
      <c r="A304" s="16">
        <f>'Rest Universe'!A305</f>
        <v/>
      </c>
      <c r="B304" s="22">
        <f>IFERROR(_xll.BDP(A304,"NAME"),"")</f>
        <v/>
      </c>
      <c r="C304" s="22">
        <f>IF(LEFT((_xll.BDP(A304,"DVD_DECLARED_DT")),4)="#N/A",NA(),(_xll.BDP(A304,"DVD_DECLARED_DT")))</f>
        <v/>
      </c>
      <c r="D304" s="22">
        <f>IF(LEFT((_xll.BDP(A304,"DVD_EX_DT")),4)="#N/A",NA(),(_xll.BDP(A304,"DVD_EX_DT")))</f>
        <v/>
      </c>
      <c r="E304" s="22">
        <f>IF(LEFT((_xll.BDP(A304,"DVD_SH_LAST")), 4) = "#N/A", NA(), (_xll.BDP(A304,"DVD_SH_LAST")))</f>
        <v/>
      </c>
      <c r="F304" s="22">
        <f>IF(LEFT((_xll.BDP(A304,"DVD_TYP_LAST")), 4) = "#N/A", NA(), (_xll.BDP(A304,"DVD_TYP_LAST")))</f>
        <v/>
      </c>
      <c r="G304" s="16">
        <f>IF(ISNUMBER(C304),IF(C304&gt;=Settings!$B$5,"Y","N"),"")</f>
        <v/>
      </c>
      <c r="H304" s="16">
        <f>IF(G304="Y",IF(ISNUMBER(SEARCH("Special",F304)),"SPECIAL DIVIDEND","NEW DIVIDEND"),IF(ISNUMBER(SEARCH("Special",F304)),"SPECIAL DIVIDEND",""))</f>
        <v/>
      </c>
    </row>
    <row r="305">
      <c r="A305" s="16">
        <f>'Rest Universe'!A306</f>
        <v/>
      </c>
      <c r="B305" s="22">
        <f>IFERROR(_xll.BDP(A305,"NAME"),"")</f>
        <v/>
      </c>
      <c r="C305" s="22">
        <f>IF(LEFT((_xll.BDP(A305,"DVD_DECLARED_DT")),4)="#N/A",NA(),(_xll.BDP(A305,"DVD_DECLARED_DT")))</f>
        <v/>
      </c>
      <c r="D305" s="22">
        <f>IF(LEFT((_xll.BDP(A305,"DVD_EX_DT")),4)="#N/A",NA(),(_xll.BDP(A305,"DVD_EX_DT")))</f>
        <v/>
      </c>
      <c r="E305" s="22">
        <f>IF(LEFT((_xll.BDP(A305,"DVD_SH_LAST")), 4) = "#N/A", NA(), (_xll.BDP(A305,"DVD_SH_LAST")))</f>
        <v/>
      </c>
      <c r="F305" s="22">
        <f>IF(LEFT((_xll.BDP(A305,"DVD_TYP_LAST")), 4) = "#N/A", NA(), (_xll.BDP(A305,"DVD_TYP_LAST")))</f>
        <v/>
      </c>
      <c r="G305" s="16">
        <f>IF(ISNUMBER(C305),IF(C305&gt;=Settings!$B$5,"Y","N"),"")</f>
        <v/>
      </c>
      <c r="H305" s="16">
        <f>IF(G305="Y",IF(ISNUMBER(SEARCH("Special",F305)),"SPECIAL DIVIDEND","NEW DIVIDEND"),IF(ISNUMBER(SEARCH("Special",F305)),"SPECIAL DIVIDEND",""))</f>
        <v/>
      </c>
    </row>
    <row r="306">
      <c r="A306" s="16">
        <f>'Rest Universe'!A307</f>
        <v/>
      </c>
      <c r="B306" s="22">
        <f>IFERROR(_xll.BDP(A306,"NAME"),"")</f>
        <v/>
      </c>
      <c r="C306" s="22">
        <f>IF(LEFT((_xll.BDP(A306,"DVD_DECLARED_DT")),4)="#N/A",NA(),(_xll.BDP(A306,"DVD_DECLARED_DT")))</f>
        <v/>
      </c>
      <c r="D306" s="22">
        <f>IF(LEFT((_xll.BDP(A306,"DVD_EX_DT")),4)="#N/A",NA(),(_xll.BDP(A306,"DVD_EX_DT")))</f>
        <v/>
      </c>
      <c r="E306" s="22">
        <f>IF(LEFT((_xll.BDP(A306,"DVD_SH_LAST")), 4) = "#N/A", NA(), (_xll.BDP(A306,"DVD_SH_LAST")))</f>
        <v/>
      </c>
      <c r="F306" s="22">
        <f>IF(LEFT((_xll.BDP(A306,"DVD_TYP_LAST")), 4) = "#N/A", NA(), (_xll.BDP(A306,"DVD_TYP_LAST")))</f>
        <v/>
      </c>
      <c r="G306" s="16">
        <f>IF(ISNUMBER(C306),IF(C306&gt;=Settings!$B$5,"Y","N"),"")</f>
        <v/>
      </c>
      <c r="H306" s="16">
        <f>IF(G306="Y",IF(ISNUMBER(SEARCH("Special",F306)),"SPECIAL DIVIDEND","NEW DIVIDEND"),IF(ISNUMBER(SEARCH("Special",F306)),"SPECIAL DIVIDEND",""))</f>
        <v/>
      </c>
    </row>
    <row r="307">
      <c r="A307" s="16">
        <f>'Rest Universe'!A308</f>
        <v/>
      </c>
      <c r="B307" s="22">
        <f>IFERROR(_xll.BDP(A307,"NAME"),"")</f>
        <v/>
      </c>
      <c r="C307" s="22">
        <f>IF(LEFT((_xll.BDP(A307,"DVD_DECLARED_DT")),4)="#N/A",NA(),(_xll.BDP(A307,"DVD_DECLARED_DT")))</f>
        <v/>
      </c>
      <c r="D307" s="22">
        <f>IF(LEFT((_xll.BDP(A307,"DVD_EX_DT")),4)="#N/A",NA(),(_xll.BDP(A307,"DVD_EX_DT")))</f>
        <v/>
      </c>
      <c r="E307" s="22">
        <f>IF(LEFT((_xll.BDP(A307,"DVD_SH_LAST")), 4) = "#N/A", NA(), (_xll.BDP(A307,"DVD_SH_LAST")))</f>
        <v/>
      </c>
      <c r="F307" s="22">
        <f>IF(LEFT((_xll.BDP(A307,"DVD_TYP_LAST")), 4) = "#N/A", NA(), (_xll.BDP(A307,"DVD_TYP_LAST")))</f>
        <v/>
      </c>
      <c r="G307" s="16">
        <f>IF(ISNUMBER(C307),IF(C307&gt;=Settings!$B$5,"Y","N"),"")</f>
        <v/>
      </c>
      <c r="H307" s="16">
        <f>IF(G307="Y",IF(ISNUMBER(SEARCH("Special",F307)),"SPECIAL DIVIDEND","NEW DIVIDEND"),IF(ISNUMBER(SEARCH("Special",F307)),"SPECIAL DIVIDEND",""))</f>
        <v/>
      </c>
    </row>
    <row r="308">
      <c r="A308" s="16">
        <f>'Rest Universe'!A309</f>
        <v/>
      </c>
      <c r="B308" s="22">
        <f>IFERROR(_xll.BDP(A308,"NAME"),"")</f>
        <v/>
      </c>
      <c r="C308" s="22">
        <f>IF(LEFT((_xll.BDP(A308,"DVD_DECLARED_DT")),4)="#N/A",NA(),(_xll.BDP(A308,"DVD_DECLARED_DT")))</f>
        <v/>
      </c>
      <c r="D308" s="22">
        <f>IF(LEFT((_xll.BDP(A308,"DVD_EX_DT")),4)="#N/A",NA(),(_xll.BDP(A308,"DVD_EX_DT")))</f>
        <v/>
      </c>
      <c r="E308" s="22">
        <f>IF(LEFT((_xll.BDP(A308,"DVD_SH_LAST")), 4) = "#N/A", NA(), (_xll.BDP(A308,"DVD_SH_LAST")))</f>
        <v/>
      </c>
      <c r="F308" s="22">
        <f>IF(LEFT((_xll.BDP(A308,"DVD_TYP_LAST")), 4) = "#N/A", NA(), (_xll.BDP(A308,"DVD_TYP_LAST")))</f>
        <v/>
      </c>
      <c r="G308" s="16">
        <f>IF(ISNUMBER(C308),IF(C308&gt;=Settings!$B$5,"Y","N"),"")</f>
        <v/>
      </c>
      <c r="H308" s="16">
        <f>IF(G308="Y",IF(ISNUMBER(SEARCH("Special",F308)),"SPECIAL DIVIDEND","NEW DIVIDEND"),IF(ISNUMBER(SEARCH("Special",F308)),"SPECIAL DIVIDEND",""))</f>
        <v/>
      </c>
    </row>
    <row r="309">
      <c r="A309" s="16">
        <f>'Rest Universe'!A310</f>
        <v/>
      </c>
      <c r="B309" s="22">
        <f>IFERROR(_xll.BDP(A309,"NAME"),"")</f>
        <v/>
      </c>
      <c r="C309" s="22">
        <f>IF(LEFT((_xll.BDP(A309,"DVD_DECLARED_DT")),4)="#N/A",NA(),(_xll.BDP(A309,"DVD_DECLARED_DT")))</f>
        <v/>
      </c>
      <c r="D309" s="22">
        <f>IF(LEFT((_xll.BDP(A309,"DVD_EX_DT")),4)="#N/A",NA(),(_xll.BDP(A309,"DVD_EX_DT")))</f>
        <v/>
      </c>
      <c r="E309" s="22">
        <f>IF(LEFT((_xll.BDP(A309,"DVD_SH_LAST")), 4) = "#N/A", NA(), (_xll.BDP(A309,"DVD_SH_LAST")))</f>
        <v/>
      </c>
      <c r="F309" s="22">
        <f>IF(LEFT((_xll.BDP(A309,"DVD_TYP_LAST")), 4) = "#N/A", NA(), (_xll.BDP(A309,"DVD_TYP_LAST")))</f>
        <v/>
      </c>
      <c r="G309" s="16">
        <f>IF(ISNUMBER(C309),IF(C309&gt;=Settings!$B$5,"Y","N"),"")</f>
        <v/>
      </c>
      <c r="H309" s="16">
        <f>IF(G309="Y",IF(ISNUMBER(SEARCH("Special",F309)),"SPECIAL DIVIDEND","NEW DIVIDEND"),IF(ISNUMBER(SEARCH("Special",F309)),"SPECIAL DIVIDEND",""))</f>
        <v/>
      </c>
    </row>
    <row r="310">
      <c r="A310" s="16">
        <f>'Rest Universe'!A311</f>
        <v/>
      </c>
      <c r="B310" s="22">
        <f>IFERROR(_xll.BDP(A310,"NAME"),"")</f>
        <v/>
      </c>
      <c r="C310" s="22">
        <f>IF(LEFT((_xll.BDP(A310,"DVD_DECLARED_DT")),4)="#N/A",NA(),(_xll.BDP(A310,"DVD_DECLARED_DT")))</f>
        <v/>
      </c>
      <c r="D310" s="22">
        <f>IF(LEFT((_xll.BDP(A310,"DVD_EX_DT")),4)="#N/A",NA(),(_xll.BDP(A310,"DVD_EX_DT")))</f>
        <v/>
      </c>
      <c r="E310" s="22">
        <f>IF(LEFT((_xll.BDP(A310,"DVD_SH_LAST")), 4) = "#N/A", NA(), (_xll.BDP(A310,"DVD_SH_LAST")))</f>
        <v/>
      </c>
      <c r="F310" s="22">
        <f>IF(LEFT((_xll.BDP(A310,"DVD_TYP_LAST")), 4) = "#N/A", NA(), (_xll.BDP(A310,"DVD_TYP_LAST")))</f>
        <v/>
      </c>
      <c r="G310" s="16">
        <f>IF(ISNUMBER(C310),IF(C310&gt;=Settings!$B$5,"Y","N"),"")</f>
        <v/>
      </c>
      <c r="H310" s="16">
        <f>IF(G310="Y",IF(ISNUMBER(SEARCH("Special",F310)),"SPECIAL DIVIDEND","NEW DIVIDEND"),IF(ISNUMBER(SEARCH("Special",F310)),"SPECIAL DIVIDEND",""))</f>
        <v/>
      </c>
    </row>
    <row r="311">
      <c r="A311" s="16">
        <f>'Rest Universe'!A312</f>
        <v/>
      </c>
      <c r="B311" s="22">
        <f>IFERROR(_xll.BDP(A311,"NAME"),"")</f>
        <v/>
      </c>
      <c r="C311" s="22">
        <f>IF(LEFT((_xll.BDP(A311,"DVD_DECLARED_DT")),4)="#N/A",NA(),(_xll.BDP(A311,"DVD_DECLARED_DT")))</f>
        <v/>
      </c>
      <c r="D311" s="22">
        <f>IF(LEFT((_xll.BDP(A311,"DVD_EX_DT")),4)="#N/A",NA(),(_xll.BDP(A311,"DVD_EX_DT")))</f>
        <v/>
      </c>
      <c r="E311" s="22">
        <f>IF(LEFT((_xll.BDP(A311,"DVD_SH_LAST")), 4) = "#N/A", NA(), (_xll.BDP(A311,"DVD_SH_LAST")))</f>
        <v/>
      </c>
      <c r="F311" s="22">
        <f>IF(LEFT((_xll.BDP(A311,"DVD_TYP_LAST")), 4) = "#N/A", NA(), (_xll.BDP(A311,"DVD_TYP_LAST")))</f>
        <v/>
      </c>
      <c r="G311" s="16">
        <f>IF(ISNUMBER(C311),IF(C311&gt;=Settings!$B$5,"Y","N"),"")</f>
        <v/>
      </c>
      <c r="H311" s="16">
        <f>IF(G311="Y",IF(ISNUMBER(SEARCH("Special",F311)),"SPECIAL DIVIDEND","NEW DIVIDEND"),IF(ISNUMBER(SEARCH("Special",F311)),"SPECIAL DIVIDEND",""))</f>
        <v/>
      </c>
    </row>
    <row r="312">
      <c r="A312" s="16">
        <f>'Rest Universe'!A313</f>
        <v/>
      </c>
      <c r="B312" s="22">
        <f>IFERROR(_xll.BDP(A312,"NAME"),"")</f>
        <v/>
      </c>
      <c r="C312" s="22">
        <f>IF(LEFT((_xll.BDP(A312,"DVD_DECLARED_DT")),4)="#N/A",NA(),(_xll.BDP(A312,"DVD_DECLARED_DT")))</f>
        <v/>
      </c>
      <c r="D312" s="22">
        <f>IF(LEFT((_xll.BDP(A312,"DVD_EX_DT")),4)="#N/A",NA(),(_xll.BDP(A312,"DVD_EX_DT")))</f>
        <v/>
      </c>
      <c r="E312" s="22">
        <f>IF(LEFT((_xll.BDP(A312,"DVD_SH_LAST")), 4) = "#N/A", NA(), (_xll.BDP(A312,"DVD_SH_LAST")))</f>
        <v/>
      </c>
      <c r="F312" s="22">
        <f>IF(LEFT((_xll.BDP(A312,"DVD_TYP_LAST")), 4) = "#N/A", NA(), (_xll.BDP(A312,"DVD_TYP_LAST")))</f>
        <v/>
      </c>
      <c r="G312" s="16">
        <f>IF(ISNUMBER(C312),IF(C312&gt;=Settings!$B$5,"Y","N"),"")</f>
        <v/>
      </c>
      <c r="H312" s="16">
        <f>IF(G312="Y",IF(ISNUMBER(SEARCH("Special",F312)),"SPECIAL DIVIDEND","NEW DIVIDEND"),IF(ISNUMBER(SEARCH("Special",F312)),"SPECIAL DIVIDEND",""))</f>
        <v/>
      </c>
    </row>
    <row r="313">
      <c r="A313" s="16">
        <f>'Rest Universe'!A314</f>
        <v/>
      </c>
      <c r="B313" s="22">
        <f>IFERROR(_xll.BDP(A313,"NAME"),"")</f>
        <v/>
      </c>
      <c r="C313" s="22">
        <f>IF(LEFT((_xll.BDP(A313,"DVD_DECLARED_DT")),4)="#N/A",NA(),(_xll.BDP(A313,"DVD_DECLARED_DT")))</f>
        <v/>
      </c>
      <c r="D313" s="22">
        <f>IF(LEFT((_xll.BDP(A313,"DVD_EX_DT")),4)="#N/A",NA(),(_xll.BDP(A313,"DVD_EX_DT")))</f>
        <v/>
      </c>
      <c r="E313" s="22">
        <f>IF(LEFT((_xll.BDP(A313,"DVD_SH_LAST")), 4) = "#N/A", NA(), (_xll.BDP(A313,"DVD_SH_LAST")))</f>
        <v/>
      </c>
      <c r="F313" s="22">
        <f>IF(LEFT((_xll.BDP(A313,"DVD_TYP_LAST")), 4) = "#N/A", NA(), (_xll.BDP(A313,"DVD_TYP_LAST")))</f>
        <v/>
      </c>
      <c r="G313" s="16">
        <f>IF(ISNUMBER(C313),IF(C313&gt;=Settings!$B$5,"Y","N"),"")</f>
        <v/>
      </c>
      <c r="H313" s="16">
        <f>IF(G313="Y",IF(ISNUMBER(SEARCH("Special",F313)),"SPECIAL DIVIDEND","NEW DIVIDEND"),IF(ISNUMBER(SEARCH("Special",F313)),"SPECIAL DIVIDEND",""))</f>
        <v/>
      </c>
    </row>
    <row r="314">
      <c r="A314" s="16">
        <f>'Rest Universe'!A315</f>
        <v/>
      </c>
      <c r="B314" s="22">
        <f>IFERROR(_xll.BDP(A314,"NAME"),"")</f>
        <v/>
      </c>
      <c r="C314" s="22">
        <f>IF(LEFT((_xll.BDP(A314,"DVD_DECLARED_DT")),4)="#N/A",NA(),(_xll.BDP(A314,"DVD_DECLARED_DT")))</f>
        <v/>
      </c>
      <c r="D314" s="22">
        <f>IF(LEFT((_xll.BDP(A314,"DVD_EX_DT")),4)="#N/A",NA(),(_xll.BDP(A314,"DVD_EX_DT")))</f>
        <v/>
      </c>
      <c r="E314" s="22">
        <f>IF(LEFT((_xll.BDP(A314,"DVD_SH_LAST")), 4) = "#N/A", NA(), (_xll.BDP(A314,"DVD_SH_LAST")))</f>
        <v/>
      </c>
      <c r="F314" s="22">
        <f>IF(LEFT((_xll.BDP(A314,"DVD_TYP_LAST")), 4) = "#N/A", NA(), (_xll.BDP(A314,"DVD_TYP_LAST")))</f>
        <v/>
      </c>
      <c r="G314" s="16">
        <f>IF(ISNUMBER(C314),IF(C314&gt;=Settings!$B$5,"Y","N"),"")</f>
        <v/>
      </c>
      <c r="H314" s="16">
        <f>IF(G314="Y",IF(ISNUMBER(SEARCH("Special",F314)),"SPECIAL DIVIDEND","NEW DIVIDEND"),IF(ISNUMBER(SEARCH("Special",F314)),"SPECIAL DIVIDEND",""))</f>
        <v/>
      </c>
    </row>
    <row r="315">
      <c r="A315" s="16">
        <f>'Rest Universe'!A316</f>
        <v/>
      </c>
      <c r="B315" s="22">
        <f>IFERROR(_xll.BDP(A315,"NAME"),"")</f>
        <v/>
      </c>
      <c r="C315" s="22">
        <f>IF(LEFT((_xll.BDP(A315,"DVD_DECLARED_DT")),4)="#N/A",NA(),(_xll.BDP(A315,"DVD_DECLARED_DT")))</f>
        <v/>
      </c>
      <c r="D315" s="22">
        <f>IF(LEFT((_xll.BDP(A315,"DVD_EX_DT")),4)="#N/A",NA(),(_xll.BDP(A315,"DVD_EX_DT")))</f>
        <v/>
      </c>
      <c r="E315" s="22">
        <f>IF(LEFT((_xll.BDP(A315,"DVD_SH_LAST")), 4) = "#N/A", NA(), (_xll.BDP(A315,"DVD_SH_LAST")))</f>
        <v/>
      </c>
      <c r="F315" s="22">
        <f>IF(LEFT((_xll.BDP(A315,"DVD_TYP_LAST")), 4) = "#N/A", NA(), (_xll.BDP(A315,"DVD_TYP_LAST")))</f>
        <v/>
      </c>
      <c r="G315" s="16">
        <f>IF(ISNUMBER(C315),IF(C315&gt;=Settings!$B$5,"Y","N"),"")</f>
        <v/>
      </c>
      <c r="H315" s="16">
        <f>IF(G315="Y",IF(ISNUMBER(SEARCH("Special",F315)),"SPECIAL DIVIDEND","NEW DIVIDEND"),IF(ISNUMBER(SEARCH("Special",F315)),"SPECIAL DIVIDEND",""))</f>
        <v/>
      </c>
    </row>
    <row r="316">
      <c r="A316" s="16">
        <f>'Rest Universe'!A317</f>
        <v/>
      </c>
      <c r="B316" s="22">
        <f>IFERROR(_xll.BDP(A316,"NAME"),"")</f>
        <v/>
      </c>
      <c r="C316" s="22">
        <f>IF(LEFT((_xll.BDP(A316,"DVD_DECLARED_DT")),4)="#N/A",NA(),(_xll.BDP(A316,"DVD_DECLARED_DT")))</f>
        <v/>
      </c>
      <c r="D316" s="22">
        <f>IF(LEFT((_xll.BDP(A316,"DVD_EX_DT")),4)="#N/A",NA(),(_xll.BDP(A316,"DVD_EX_DT")))</f>
        <v/>
      </c>
      <c r="E316" s="22">
        <f>IF(LEFT((_xll.BDP(A316,"DVD_SH_LAST")), 4) = "#N/A", NA(), (_xll.BDP(A316,"DVD_SH_LAST")))</f>
        <v/>
      </c>
      <c r="F316" s="22">
        <f>IF(LEFT((_xll.BDP(A316,"DVD_TYP_LAST")), 4) = "#N/A", NA(), (_xll.BDP(A316,"DVD_TYP_LAST")))</f>
        <v/>
      </c>
      <c r="G316" s="16">
        <f>IF(ISNUMBER(C316),IF(C316&gt;=Settings!$B$5,"Y","N"),"")</f>
        <v/>
      </c>
      <c r="H316" s="16">
        <f>IF(G316="Y",IF(ISNUMBER(SEARCH("Special",F316)),"SPECIAL DIVIDEND","NEW DIVIDEND"),IF(ISNUMBER(SEARCH("Special",F316)),"SPECIAL DIVIDEND",""))</f>
        <v/>
      </c>
    </row>
    <row r="317">
      <c r="A317" s="16">
        <f>'Rest Universe'!A318</f>
        <v/>
      </c>
      <c r="B317" s="22">
        <f>IFERROR(_xll.BDP(A317,"NAME"),"")</f>
        <v/>
      </c>
      <c r="C317" s="22">
        <f>IF(LEFT((_xll.BDP(A317,"DVD_DECLARED_DT")),4)="#N/A",NA(),(_xll.BDP(A317,"DVD_DECLARED_DT")))</f>
        <v/>
      </c>
      <c r="D317" s="22">
        <f>IF(LEFT((_xll.BDP(A317,"DVD_EX_DT")),4)="#N/A",NA(),(_xll.BDP(A317,"DVD_EX_DT")))</f>
        <v/>
      </c>
      <c r="E317" s="22">
        <f>IF(LEFT((_xll.BDP(A317,"DVD_SH_LAST")), 4) = "#N/A", NA(), (_xll.BDP(A317,"DVD_SH_LAST")))</f>
        <v/>
      </c>
      <c r="F317" s="22">
        <f>IF(LEFT((_xll.BDP(A317,"DVD_TYP_LAST")), 4) = "#N/A", NA(), (_xll.BDP(A317,"DVD_TYP_LAST")))</f>
        <v/>
      </c>
      <c r="G317" s="16">
        <f>IF(ISNUMBER(C317),IF(C317&gt;=Settings!$B$5,"Y","N"),"")</f>
        <v/>
      </c>
      <c r="H317" s="16">
        <f>IF(G317="Y",IF(ISNUMBER(SEARCH("Special",F317)),"SPECIAL DIVIDEND","NEW DIVIDEND"),IF(ISNUMBER(SEARCH("Special",F317)),"SPECIAL DIVIDEND",""))</f>
        <v/>
      </c>
    </row>
    <row r="318">
      <c r="A318" s="16">
        <f>'Rest Universe'!A319</f>
        <v/>
      </c>
      <c r="B318" s="22">
        <f>IFERROR(_xll.BDP(A318,"NAME"),"")</f>
        <v/>
      </c>
      <c r="C318" s="22">
        <f>IF(LEFT((_xll.BDP(A318,"DVD_DECLARED_DT")),4)="#N/A",NA(),(_xll.BDP(A318,"DVD_DECLARED_DT")))</f>
        <v/>
      </c>
      <c r="D318" s="22">
        <f>IF(LEFT((_xll.BDP(A318,"DVD_EX_DT")),4)="#N/A",NA(),(_xll.BDP(A318,"DVD_EX_DT")))</f>
        <v/>
      </c>
      <c r="E318" s="22">
        <f>IF(LEFT((_xll.BDP(A318,"DVD_SH_LAST")), 4) = "#N/A", NA(), (_xll.BDP(A318,"DVD_SH_LAST")))</f>
        <v/>
      </c>
      <c r="F318" s="22">
        <f>IF(LEFT((_xll.BDP(A318,"DVD_TYP_LAST")), 4) = "#N/A", NA(), (_xll.BDP(A318,"DVD_TYP_LAST")))</f>
        <v/>
      </c>
      <c r="G318" s="16">
        <f>IF(ISNUMBER(C318),IF(C318&gt;=Settings!$B$5,"Y","N"),"")</f>
        <v/>
      </c>
      <c r="H318" s="16">
        <f>IF(G318="Y",IF(ISNUMBER(SEARCH("Special",F318)),"SPECIAL DIVIDEND","NEW DIVIDEND"),IF(ISNUMBER(SEARCH("Special",F318)),"SPECIAL DIVIDEND",""))</f>
        <v/>
      </c>
    </row>
    <row r="319">
      <c r="A319" s="16">
        <f>'Rest Universe'!A320</f>
        <v/>
      </c>
      <c r="B319" s="22">
        <f>IFERROR(_xll.BDP(A319,"NAME"),"")</f>
        <v/>
      </c>
      <c r="C319" s="22">
        <f>IF(LEFT((_xll.BDP(A319,"DVD_DECLARED_DT")),4)="#N/A",NA(),(_xll.BDP(A319,"DVD_DECLARED_DT")))</f>
        <v/>
      </c>
      <c r="D319" s="22">
        <f>IF(LEFT((_xll.BDP(A319,"DVD_EX_DT")),4)="#N/A",NA(),(_xll.BDP(A319,"DVD_EX_DT")))</f>
        <v/>
      </c>
      <c r="E319" s="22">
        <f>IF(LEFT((_xll.BDP(A319,"DVD_SH_LAST")), 4) = "#N/A", NA(), (_xll.BDP(A319,"DVD_SH_LAST")))</f>
        <v/>
      </c>
      <c r="F319" s="22">
        <f>IF(LEFT((_xll.BDP(A319,"DVD_TYP_LAST")), 4) = "#N/A", NA(), (_xll.BDP(A319,"DVD_TYP_LAST")))</f>
        <v/>
      </c>
      <c r="G319" s="16">
        <f>IF(ISNUMBER(C319),IF(C319&gt;=Settings!$B$5,"Y","N"),"")</f>
        <v/>
      </c>
      <c r="H319" s="16">
        <f>IF(G319="Y",IF(ISNUMBER(SEARCH("Special",F319)),"SPECIAL DIVIDEND","NEW DIVIDEND"),IF(ISNUMBER(SEARCH("Special",F319)),"SPECIAL DIVIDEND",""))</f>
        <v/>
      </c>
    </row>
    <row r="320">
      <c r="A320" s="16">
        <f>'Rest Universe'!A321</f>
        <v/>
      </c>
      <c r="B320" s="22">
        <f>IFERROR(_xll.BDP(A320,"NAME"),"")</f>
        <v/>
      </c>
      <c r="C320" s="22">
        <f>IF(LEFT((_xll.BDP(A320,"DVD_DECLARED_DT")),4)="#N/A",NA(),(_xll.BDP(A320,"DVD_DECLARED_DT")))</f>
        <v/>
      </c>
      <c r="D320" s="22">
        <f>IF(LEFT((_xll.BDP(A320,"DVD_EX_DT")),4)="#N/A",NA(),(_xll.BDP(A320,"DVD_EX_DT")))</f>
        <v/>
      </c>
      <c r="E320" s="22">
        <f>IF(LEFT((_xll.BDP(A320,"DVD_SH_LAST")), 4) = "#N/A", NA(), (_xll.BDP(A320,"DVD_SH_LAST")))</f>
        <v/>
      </c>
      <c r="F320" s="22">
        <f>IF(LEFT((_xll.BDP(A320,"DVD_TYP_LAST")), 4) = "#N/A", NA(), (_xll.BDP(A320,"DVD_TYP_LAST")))</f>
        <v/>
      </c>
      <c r="G320" s="16">
        <f>IF(ISNUMBER(C320),IF(C320&gt;=Settings!$B$5,"Y","N"),"")</f>
        <v/>
      </c>
      <c r="H320" s="16">
        <f>IF(G320="Y",IF(ISNUMBER(SEARCH("Special",F320)),"SPECIAL DIVIDEND","NEW DIVIDEND"),IF(ISNUMBER(SEARCH("Special",F320)),"SPECIAL DIVIDEND",""))</f>
        <v/>
      </c>
    </row>
    <row r="321">
      <c r="A321" s="16">
        <f>'Rest Universe'!A322</f>
        <v/>
      </c>
      <c r="B321" s="22">
        <f>IFERROR(_xll.BDP(A321,"NAME"),"")</f>
        <v/>
      </c>
      <c r="C321" s="22">
        <f>IF(LEFT((_xll.BDP(A321,"DVD_DECLARED_DT")),4)="#N/A",NA(),(_xll.BDP(A321,"DVD_DECLARED_DT")))</f>
        <v/>
      </c>
      <c r="D321" s="22">
        <f>IF(LEFT((_xll.BDP(A321,"DVD_EX_DT")),4)="#N/A",NA(),(_xll.BDP(A321,"DVD_EX_DT")))</f>
        <v/>
      </c>
      <c r="E321" s="22">
        <f>IF(LEFT((_xll.BDP(A321,"DVD_SH_LAST")), 4) = "#N/A", NA(), (_xll.BDP(A321,"DVD_SH_LAST")))</f>
        <v/>
      </c>
      <c r="F321" s="22">
        <f>IF(LEFT((_xll.BDP(A321,"DVD_TYP_LAST")), 4) = "#N/A", NA(), (_xll.BDP(A321,"DVD_TYP_LAST")))</f>
        <v/>
      </c>
      <c r="G321" s="16">
        <f>IF(ISNUMBER(C321),IF(C321&gt;=Settings!$B$5,"Y","N"),"")</f>
        <v/>
      </c>
      <c r="H321" s="16">
        <f>IF(G321="Y",IF(ISNUMBER(SEARCH("Special",F321)),"SPECIAL DIVIDEND","NEW DIVIDEND"),IF(ISNUMBER(SEARCH("Special",F321)),"SPECIAL DIVIDEND",""))</f>
        <v/>
      </c>
    </row>
    <row r="322">
      <c r="A322" s="16">
        <f>'Rest Universe'!A323</f>
        <v/>
      </c>
      <c r="B322" s="22">
        <f>IFERROR(_xll.BDP(A322,"NAME"),"")</f>
        <v/>
      </c>
      <c r="C322" s="22">
        <f>IF(LEFT((_xll.BDP(A322,"DVD_DECLARED_DT")),4)="#N/A",NA(),(_xll.BDP(A322,"DVD_DECLARED_DT")))</f>
        <v/>
      </c>
      <c r="D322" s="22">
        <f>IF(LEFT((_xll.BDP(A322,"DVD_EX_DT")),4)="#N/A",NA(),(_xll.BDP(A322,"DVD_EX_DT")))</f>
        <v/>
      </c>
      <c r="E322" s="22">
        <f>IF(LEFT((_xll.BDP(A322,"DVD_SH_LAST")), 4) = "#N/A", NA(), (_xll.BDP(A322,"DVD_SH_LAST")))</f>
        <v/>
      </c>
      <c r="F322" s="22">
        <f>IF(LEFT((_xll.BDP(A322,"DVD_TYP_LAST")), 4) = "#N/A", NA(), (_xll.BDP(A322,"DVD_TYP_LAST")))</f>
        <v/>
      </c>
      <c r="G322" s="16">
        <f>IF(ISNUMBER(C322),IF(C322&gt;=Settings!$B$5,"Y","N"),"")</f>
        <v/>
      </c>
      <c r="H322" s="16">
        <f>IF(G322="Y",IF(ISNUMBER(SEARCH("Special",F322)),"SPECIAL DIVIDEND","NEW DIVIDEND"),IF(ISNUMBER(SEARCH("Special",F322)),"SPECIAL DIVIDEND",""))</f>
        <v/>
      </c>
    </row>
    <row r="323">
      <c r="A323" s="16">
        <f>'Rest Universe'!A324</f>
        <v/>
      </c>
      <c r="B323" s="22">
        <f>IFERROR(_xll.BDP(A323,"NAME"),"")</f>
        <v/>
      </c>
      <c r="C323" s="22">
        <f>IF(LEFT((_xll.BDP(A323,"DVD_DECLARED_DT")),4)="#N/A",NA(),(_xll.BDP(A323,"DVD_DECLARED_DT")))</f>
        <v/>
      </c>
      <c r="D323" s="22">
        <f>IF(LEFT((_xll.BDP(A323,"DVD_EX_DT")),4)="#N/A",NA(),(_xll.BDP(A323,"DVD_EX_DT")))</f>
        <v/>
      </c>
      <c r="E323" s="22">
        <f>IF(LEFT((_xll.BDP(A323,"DVD_SH_LAST")), 4) = "#N/A", NA(), (_xll.BDP(A323,"DVD_SH_LAST")))</f>
        <v/>
      </c>
      <c r="F323" s="22">
        <f>IF(LEFT((_xll.BDP(A323,"DVD_TYP_LAST")), 4) = "#N/A", NA(), (_xll.BDP(A323,"DVD_TYP_LAST")))</f>
        <v/>
      </c>
      <c r="G323" s="16">
        <f>IF(ISNUMBER(C323),IF(C323&gt;=Settings!$B$5,"Y","N"),"")</f>
        <v/>
      </c>
      <c r="H323" s="16">
        <f>IF(G323="Y",IF(ISNUMBER(SEARCH("Special",F323)),"SPECIAL DIVIDEND","NEW DIVIDEND"),IF(ISNUMBER(SEARCH("Special",F323)),"SPECIAL DIVIDEND",""))</f>
        <v/>
      </c>
    </row>
    <row r="324">
      <c r="A324" s="16">
        <f>'Rest Universe'!A325</f>
        <v/>
      </c>
      <c r="B324" s="22">
        <f>IFERROR(_xll.BDP(A324,"NAME"),"")</f>
        <v/>
      </c>
      <c r="C324" s="22">
        <f>IF(LEFT((_xll.BDP(A324,"DVD_DECLARED_DT")),4)="#N/A",NA(),(_xll.BDP(A324,"DVD_DECLARED_DT")))</f>
        <v/>
      </c>
      <c r="D324" s="22">
        <f>IF(LEFT((_xll.BDP(A324,"DVD_EX_DT")),4)="#N/A",NA(),(_xll.BDP(A324,"DVD_EX_DT")))</f>
        <v/>
      </c>
      <c r="E324" s="22">
        <f>IF(LEFT((_xll.BDP(A324,"DVD_SH_LAST")), 4) = "#N/A", NA(), (_xll.BDP(A324,"DVD_SH_LAST")))</f>
        <v/>
      </c>
      <c r="F324" s="22">
        <f>IF(LEFT((_xll.BDP(A324,"DVD_TYP_LAST")), 4) = "#N/A", NA(), (_xll.BDP(A324,"DVD_TYP_LAST")))</f>
        <v/>
      </c>
      <c r="G324" s="16">
        <f>IF(ISNUMBER(C324),IF(C324&gt;=Settings!$B$5,"Y","N"),"")</f>
        <v/>
      </c>
      <c r="H324" s="16">
        <f>IF(G324="Y",IF(ISNUMBER(SEARCH("Special",F324)),"SPECIAL DIVIDEND","NEW DIVIDEND"),IF(ISNUMBER(SEARCH("Special",F324)),"SPECIAL DIVIDEND",""))</f>
        <v/>
      </c>
    </row>
    <row r="325">
      <c r="A325" s="16">
        <f>'Rest Universe'!A326</f>
        <v/>
      </c>
      <c r="B325" s="22">
        <f>IFERROR(_xll.BDP(A325,"NAME"),"")</f>
        <v/>
      </c>
      <c r="C325" s="22">
        <f>IF(LEFT((_xll.BDP(A325,"DVD_DECLARED_DT")),4)="#N/A",NA(),(_xll.BDP(A325,"DVD_DECLARED_DT")))</f>
        <v/>
      </c>
      <c r="D325" s="22">
        <f>IF(LEFT((_xll.BDP(A325,"DVD_EX_DT")),4)="#N/A",NA(),(_xll.BDP(A325,"DVD_EX_DT")))</f>
        <v/>
      </c>
      <c r="E325" s="22">
        <f>IF(LEFT((_xll.BDP(A325,"DVD_SH_LAST")), 4) = "#N/A", NA(), (_xll.BDP(A325,"DVD_SH_LAST")))</f>
        <v/>
      </c>
      <c r="F325" s="22">
        <f>IF(LEFT((_xll.BDP(A325,"DVD_TYP_LAST")), 4) = "#N/A", NA(), (_xll.BDP(A325,"DVD_TYP_LAST")))</f>
        <v/>
      </c>
      <c r="G325" s="16">
        <f>IF(ISNUMBER(C325),IF(C325&gt;=Settings!$B$5,"Y","N"),"")</f>
        <v/>
      </c>
      <c r="H325" s="16">
        <f>IF(G325="Y",IF(ISNUMBER(SEARCH("Special",F325)),"SPECIAL DIVIDEND","NEW DIVIDEND"),IF(ISNUMBER(SEARCH("Special",F325)),"SPECIAL DIVIDEND",""))</f>
        <v/>
      </c>
    </row>
    <row r="326">
      <c r="A326" s="16">
        <f>'Rest Universe'!A327</f>
        <v/>
      </c>
      <c r="B326" s="22">
        <f>IFERROR(_xll.BDP(A326,"NAME"),"")</f>
        <v/>
      </c>
      <c r="C326" s="22">
        <f>IF(LEFT((_xll.BDP(A326,"DVD_DECLARED_DT")),4)="#N/A",NA(),(_xll.BDP(A326,"DVD_DECLARED_DT")))</f>
        <v/>
      </c>
      <c r="D326" s="22">
        <f>IF(LEFT((_xll.BDP(A326,"DVD_EX_DT")),4)="#N/A",NA(),(_xll.BDP(A326,"DVD_EX_DT")))</f>
        <v/>
      </c>
      <c r="E326" s="22">
        <f>IF(LEFT((_xll.BDP(A326,"DVD_SH_LAST")), 4) = "#N/A", NA(), (_xll.BDP(A326,"DVD_SH_LAST")))</f>
        <v/>
      </c>
      <c r="F326" s="22">
        <f>IF(LEFT((_xll.BDP(A326,"DVD_TYP_LAST")), 4) = "#N/A", NA(), (_xll.BDP(A326,"DVD_TYP_LAST")))</f>
        <v/>
      </c>
      <c r="G326" s="16">
        <f>IF(ISNUMBER(C326),IF(C326&gt;=Settings!$B$5,"Y","N"),"")</f>
        <v/>
      </c>
      <c r="H326" s="16">
        <f>IF(G326="Y",IF(ISNUMBER(SEARCH("Special",F326)),"SPECIAL DIVIDEND","NEW DIVIDEND"),IF(ISNUMBER(SEARCH("Special",F326)),"SPECIAL DIVIDEND",""))</f>
        <v/>
      </c>
    </row>
    <row r="327">
      <c r="A327" s="16">
        <f>'Rest Universe'!A328</f>
        <v/>
      </c>
      <c r="B327" s="22">
        <f>IFERROR(_xll.BDP(A327,"NAME"),"")</f>
        <v/>
      </c>
      <c r="C327" s="22">
        <f>IF(LEFT((_xll.BDP(A327,"DVD_DECLARED_DT")),4)="#N/A",NA(),(_xll.BDP(A327,"DVD_DECLARED_DT")))</f>
        <v/>
      </c>
      <c r="D327" s="22">
        <f>IF(LEFT((_xll.BDP(A327,"DVD_EX_DT")),4)="#N/A",NA(),(_xll.BDP(A327,"DVD_EX_DT")))</f>
        <v/>
      </c>
      <c r="E327" s="22">
        <f>IF(LEFT((_xll.BDP(A327,"DVD_SH_LAST")), 4) = "#N/A", NA(), (_xll.BDP(A327,"DVD_SH_LAST")))</f>
        <v/>
      </c>
      <c r="F327" s="22">
        <f>IF(LEFT((_xll.BDP(A327,"DVD_TYP_LAST")), 4) = "#N/A", NA(), (_xll.BDP(A327,"DVD_TYP_LAST")))</f>
        <v/>
      </c>
      <c r="G327" s="16">
        <f>IF(ISNUMBER(C327),IF(C327&gt;=Settings!$B$5,"Y","N"),"")</f>
        <v/>
      </c>
      <c r="H327" s="16">
        <f>IF(G327="Y",IF(ISNUMBER(SEARCH("Special",F327)),"SPECIAL DIVIDEND","NEW DIVIDEND"),IF(ISNUMBER(SEARCH("Special",F327)),"SPECIAL DIVIDEND",""))</f>
        <v/>
      </c>
    </row>
    <row r="328">
      <c r="A328" s="16">
        <f>'Rest Universe'!A329</f>
        <v/>
      </c>
      <c r="B328" s="22">
        <f>IFERROR(_xll.BDP(A328,"NAME"),"")</f>
        <v/>
      </c>
      <c r="C328" s="22">
        <f>IF(LEFT((_xll.BDP(A328,"DVD_DECLARED_DT")),4)="#N/A",NA(),(_xll.BDP(A328,"DVD_DECLARED_DT")))</f>
        <v/>
      </c>
      <c r="D328" s="22">
        <f>IF(LEFT((_xll.BDP(A328,"DVD_EX_DT")),4)="#N/A",NA(),(_xll.BDP(A328,"DVD_EX_DT")))</f>
        <v/>
      </c>
      <c r="E328" s="22">
        <f>IF(LEFT((_xll.BDP(A328,"DVD_SH_LAST")), 4) = "#N/A", NA(), (_xll.BDP(A328,"DVD_SH_LAST")))</f>
        <v/>
      </c>
      <c r="F328" s="22">
        <f>IF(LEFT((_xll.BDP(A328,"DVD_TYP_LAST")), 4) = "#N/A", NA(), (_xll.BDP(A328,"DVD_TYP_LAST")))</f>
        <v/>
      </c>
      <c r="G328" s="16">
        <f>IF(ISNUMBER(C328),IF(C328&gt;=Settings!$B$5,"Y","N"),"")</f>
        <v/>
      </c>
      <c r="H328" s="16">
        <f>IF(G328="Y",IF(ISNUMBER(SEARCH("Special",F328)),"SPECIAL DIVIDEND","NEW DIVIDEND"),IF(ISNUMBER(SEARCH("Special",F328)),"SPECIAL DIVIDEND",""))</f>
        <v/>
      </c>
    </row>
    <row r="329">
      <c r="A329" s="16">
        <f>'Rest Universe'!A330</f>
        <v/>
      </c>
      <c r="B329" s="22">
        <f>IFERROR(_xll.BDP(A329,"NAME"),"")</f>
        <v/>
      </c>
      <c r="C329" s="22">
        <f>IF(LEFT((_xll.BDP(A329,"DVD_DECLARED_DT")),4)="#N/A",NA(),(_xll.BDP(A329,"DVD_DECLARED_DT")))</f>
        <v/>
      </c>
      <c r="D329" s="22">
        <f>IF(LEFT((_xll.BDP(A329,"DVD_EX_DT")),4)="#N/A",NA(),(_xll.BDP(A329,"DVD_EX_DT")))</f>
        <v/>
      </c>
      <c r="E329" s="22">
        <f>IF(LEFT((_xll.BDP(A329,"DVD_SH_LAST")), 4) = "#N/A", NA(), (_xll.BDP(A329,"DVD_SH_LAST")))</f>
        <v/>
      </c>
      <c r="F329" s="22">
        <f>IF(LEFT((_xll.BDP(A329,"DVD_TYP_LAST")), 4) = "#N/A", NA(), (_xll.BDP(A329,"DVD_TYP_LAST")))</f>
        <v/>
      </c>
      <c r="G329" s="16">
        <f>IF(ISNUMBER(C329),IF(C329&gt;=Settings!$B$5,"Y","N"),"")</f>
        <v/>
      </c>
      <c r="H329" s="16">
        <f>IF(G329="Y",IF(ISNUMBER(SEARCH("Special",F329)),"SPECIAL DIVIDEND","NEW DIVIDEND"),IF(ISNUMBER(SEARCH("Special",F329)),"SPECIAL DIVIDEND",""))</f>
        <v/>
      </c>
    </row>
    <row r="330">
      <c r="A330" s="16">
        <f>'Rest Universe'!A331</f>
        <v/>
      </c>
      <c r="B330" s="22">
        <f>IFERROR(_xll.BDP(A330,"NAME"),"")</f>
        <v/>
      </c>
      <c r="C330" s="22">
        <f>IF(LEFT((_xll.BDP(A330,"DVD_DECLARED_DT")),4)="#N/A",NA(),(_xll.BDP(A330,"DVD_DECLARED_DT")))</f>
        <v/>
      </c>
      <c r="D330" s="22">
        <f>IF(LEFT((_xll.BDP(A330,"DVD_EX_DT")),4)="#N/A",NA(),(_xll.BDP(A330,"DVD_EX_DT")))</f>
        <v/>
      </c>
      <c r="E330" s="22">
        <f>IF(LEFT((_xll.BDP(A330,"DVD_SH_LAST")), 4) = "#N/A", NA(), (_xll.BDP(A330,"DVD_SH_LAST")))</f>
        <v/>
      </c>
      <c r="F330" s="22">
        <f>IF(LEFT((_xll.BDP(A330,"DVD_TYP_LAST")), 4) = "#N/A", NA(), (_xll.BDP(A330,"DVD_TYP_LAST")))</f>
        <v/>
      </c>
      <c r="G330" s="16">
        <f>IF(ISNUMBER(C330),IF(C330&gt;=Settings!$B$5,"Y","N"),"")</f>
        <v/>
      </c>
      <c r="H330" s="16">
        <f>IF(G330="Y",IF(ISNUMBER(SEARCH("Special",F330)),"SPECIAL DIVIDEND","NEW DIVIDEND"),IF(ISNUMBER(SEARCH("Special",F330)),"SPECIAL DIVIDEND",""))</f>
        <v/>
      </c>
    </row>
    <row r="331">
      <c r="A331" s="16">
        <f>'Rest Universe'!A332</f>
        <v/>
      </c>
      <c r="B331" s="22">
        <f>IFERROR(_xll.BDP(A331,"NAME"),"")</f>
        <v/>
      </c>
      <c r="C331" s="22">
        <f>IF(LEFT((_xll.BDP(A331,"DVD_DECLARED_DT")),4)="#N/A",NA(),(_xll.BDP(A331,"DVD_DECLARED_DT")))</f>
        <v/>
      </c>
      <c r="D331" s="22">
        <f>IF(LEFT((_xll.BDP(A331,"DVD_EX_DT")),4)="#N/A",NA(),(_xll.BDP(A331,"DVD_EX_DT")))</f>
        <v/>
      </c>
      <c r="E331" s="22">
        <f>IF(LEFT((_xll.BDP(A331,"DVD_SH_LAST")), 4) = "#N/A", NA(), (_xll.BDP(A331,"DVD_SH_LAST")))</f>
        <v/>
      </c>
      <c r="F331" s="22">
        <f>IF(LEFT((_xll.BDP(A331,"DVD_TYP_LAST")), 4) = "#N/A", NA(), (_xll.BDP(A331,"DVD_TYP_LAST")))</f>
        <v/>
      </c>
      <c r="G331" s="16">
        <f>IF(ISNUMBER(C331),IF(C331&gt;=Settings!$B$5,"Y","N"),"")</f>
        <v/>
      </c>
      <c r="H331" s="16">
        <f>IF(G331="Y",IF(ISNUMBER(SEARCH("Special",F331)),"SPECIAL DIVIDEND","NEW DIVIDEND"),IF(ISNUMBER(SEARCH("Special",F331)),"SPECIAL DIVIDEND",""))</f>
        <v/>
      </c>
    </row>
    <row r="332">
      <c r="A332" s="16">
        <f>'Rest Universe'!A333</f>
        <v/>
      </c>
      <c r="B332" s="22">
        <f>IFERROR(_xll.BDP(A332,"NAME"),"")</f>
        <v/>
      </c>
      <c r="C332" s="22">
        <f>IF(LEFT((_xll.BDP(A332,"DVD_DECLARED_DT")),4)="#N/A",NA(),(_xll.BDP(A332,"DVD_DECLARED_DT")))</f>
        <v/>
      </c>
      <c r="D332" s="22">
        <f>IF(LEFT((_xll.BDP(A332,"DVD_EX_DT")),4)="#N/A",NA(),(_xll.BDP(A332,"DVD_EX_DT")))</f>
        <v/>
      </c>
      <c r="E332" s="22">
        <f>IF(LEFT((_xll.BDP(A332,"DVD_SH_LAST")), 4) = "#N/A", NA(), (_xll.BDP(A332,"DVD_SH_LAST")))</f>
        <v/>
      </c>
      <c r="F332" s="22">
        <f>IF(LEFT((_xll.BDP(A332,"DVD_TYP_LAST")), 4) = "#N/A", NA(), (_xll.BDP(A332,"DVD_TYP_LAST")))</f>
        <v/>
      </c>
      <c r="G332" s="16">
        <f>IF(ISNUMBER(C332),IF(C332&gt;=Settings!$B$5,"Y","N"),"")</f>
        <v/>
      </c>
      <c r="H332" s="16">
        <f>IF(G332="Y",IF(ISNUMBER(SEARCH("Special",F332)),"SPECIAL DIVIDEND","NEW DIVIDEND"),IF(ISNUMBER(SEARCH("Special",F332)),"SPECIAL DIVIDEND",""))</f>
        <v/>
      </c>
    </row>
    <row r="333">
      <c r="A333" s="16">
        <f>'Rest Universe'!A334</f>
        <v/>
      </c>
      <c r="B333" s="22">
        <f>IFERROR(_xll.BDP(A333,"NAME"),"")</f>
        <v/>
      </c>
      <c r="C333" s="22">
        <f>IF(LEFT((_xll.BDP(A333,"DVD_DECLARED_DT")),4)="#N/A",NA(),(_xll.BDP(A333,"DVD_DECLARED_DT")))</f>
        <v/>
      </c>
      <c r="D333" s="22">
        <f>IF(LEFT((_xll.BDP(A333,"DVD_EX_DT")),4)="#N/A",NA(),(_xll.BDP(A333,"DVD_EX_DT")))</f>
        <v/>
      </c>
      <c r="E333" s="22">
        <f>IF(LEFT((_xll.BDP(A333,"DVD_SH_LAST")), 4) = "#N/A", NA(), (_xll.BDP(A333,"DVD_SH_LAST")))</f>
        <v/>
      </c>
      <c r="F333" s="22">
        <f>IF(LEFT((_xll.BDP(A333,"DVD_TYP_LAST")), 4) = "#N/A", NA(), (_xll.BDP(A333,"DVD_TYP_LAST")))</f>
        <v/>
      </c>
      <c r="G333" s="16">
        <f>IF(ISNUMBER(C333),IF(C333&gt;=Settings!$B$5,"Y","N"),"")</f>
        <v/>
      </c>
      <c r="H333" s="16">
        <f>IF(G333="Y",IF(ISNUMBER(SEARCH("Special",F333)),"SPECIAL DIVIDEND","NEW DIVIDEND"),IF(ISNUMBER(SEARCH("Special",F333)),"SPECIAL DIVIDEND",""))</f>
        <v/>
      </c>
    </row>
    <row r="334">
      <c r="A334" s="16">
        <f>'Rest Universe'!A335</f>
        <v/>
      </c>
      <c r="B334" s="22">
        <f>IFERROR(_xll.BDP(A334,"NAME"),"")</f>
        <v/>
      </c>
      <c r="C334" s="22">
        <f>IF(LEFT((_xll.BDP(A334,"DVD_DECLARED_DT")),4)="#N/A",NA(),(_xll.BDP(A334,"DVD_DECLARED_DT")))</f>
        <v/>
      </c>
      <c r="D334" s="22">
        <f>IF(LEFT((_xll.BDP(A334,"DVD_EX_DT")),4)="#N/A",NA(),(_xll.BDP(A334,"DVD_EX_DT")))</f>
        <v/>
      </c>
      <c r="E334" s="22">
        <f>IF(LEFT((_xll.BDP(A334,"DVD_SH_LAST")), 4) = "#N/A", NA(), (_xll.BDP(A334,"DVD_SH_LAST")))</f>
        <v/>
      </c>
      <c r="F334" s="22">
        <f>IF(LEFT((_xll.BDP(A334,"DVD_TYP_LAST")), 4) = "#N/A", NA(), (_xll.BDP(A334,"DVD_TYP_LAST")))</f>
        <v/>
      </c>
      <c r="G334" s="16">
        <f>IF(ISNUMBER(C334),IF(C334&gt;=Settings!$B$5,"Y","N"),"")</f>
        <v/>
      </c>
      <c r="H334" s="16">
        <f>IF(G334="Y",IF(ISNUMBER(SEARCH("Special",F334)),"SPECIAL DIVIDEND","NEW DIVIDEND"),IF(ISNUMBER(SEARCH("Special",F334)),"SPECIAL DIVIDEND",""))</f>
        <v/>
      </c>
    </row>
    <row r="335">
      <c r="A335" s="16">
        <f>'Rest Universe'!A336</f>
        <v/>
      </c>
      <c r="B335" s="22">
        <f>IFERROR(_xll.BDP(A335,"NAME"),"")</f>
        <v/>
      </c>
      <c r="C335" s="22">
        <f>IF(LEFT((_xll.BDP(A335,"DVD_DECLARED_DT")),4)="#N/A",NA(),(_xll.BDP(A335,"DVD_DECLARED_DT")))</f>
        <v/>
      </c>
      <c r="D335" s="22">
        <f>IF(LEFT((_xll.BDP(A335,"DVD_EX_DT")),4)="#N/A",NA(),(_xll.BDP(A335,"DVD_EX_DT")))</f>
        <v/>
      </c>
      <c r="E335" s="22">
        <f>IF(LEFT((_xll.BDP(A335,"DVD_SH_LAST")), 4) = "#N/A", NA(), (_xll.BDP(A335,"DVD_SH_LAST")))</f>
        <v/>
      </c>
      <c r="F335" s="22">
        <f>IF(LEFT((_xll.BDP(A335,"DVD_TYP_LAST")), 4) = "#N/A", NA(), (_xll.BDP(A335,"DVD_TYP_LAST")))</f>
        <v/>
      </c>
      <c r="G335" s="16">
        <f>IF(ISNUMBER(C335),IF(C335&gt;=Settings!$B$5,"Y","N"),"")</f>
        <v/>
      </c>
      <c r="H335" s="16">
        <f>IF(G335="Y",IF(ISNUMBER(SEARCH("Special",F335)),"SPECIAL DIVIDEND","NEW DIVIDEND"),IF(ISNUMBER(SEARCH("Special",F335)),"SPECIAL DIVIDEND",""))</f>
        <v/>
      </c>
    </row>
    <row r="336">
      <c r="A336" s="16">
        <f>'Rest Universe'!A337</f>
        <v/>
      </c>
      <c r="B336" s="22">
        <f>IFERROR(_xll.BDP(A336,"NAME"),"")</f>
        <v/>
      </c>
      <c r="C336" s="22">
        <f>IF(LEFT((_xll.BDP(A336,"DVD_DECLARED_DT")),4)="#N/A",NA(),(_xll.BDP(A336,"DVD_DECLARED_DT")))</f>
        <v/>
      </c>
      <c r="D336" s="22">
        <f>IF(LEFT((_xll.BDP(A336,"DVD_EX_DT")),4)="#N/A",NA(),(_xll.BDP(A336,"DVD_EX_DT")))</f>
        <v/>
      </c>
      <c r="E336" s="22">
        <f>IF(LEFT((_xll.BDP(A336,"DVD_SH_LAST")), 4) = "#N/A", NA(), (_xll.BDP(A336,"DVD_SH_LAST")))</f>
        <v/>
      </c>
      <c r="F336" s="22">
        <f>IF(LEFT((_xll.BDP(A336,"DVD_TYP_LAST")), 4) = "#N/A", NA(), (_xll.BDP(A336,"DVD_TYP_LAST")))</f>
        <v/>
      </c>
      <c r="G336" s="16">
        <f>IF(ISNUMBER(C336),IF(C336&gt;=Settings!$B$5,"Y","N"),"")</f>
        <v/>
      </c>
      <c r="H336" s="16">
        <f>IF(G336="Y",IF(ISNUMBER(SEARCH("Special",F336)),"SPECIAL DIVIDEND","NEW DIVIDEND"),IF(ISNUMBER(SEARCH("Special",F336)),"SPECIAL DIVIDEND",""))</f>
        <v/>
      </c>
    </row>
    <row r="337">
      <c r="A337" s="16">
        <f>'Rest Universe'!A338</f>
        <v/>
      </c>
      <c r="B337" s="22">
        <f>IFERROR(_xll.BDP(A337,"NAME"),"")</f>
        <v/>
      </c>
      <c r="C337" s="22">
        <f>IF(LEFT((_xll.BDP(A337,"DVD_DECLARED_DT")),4)="#N/A",NA(),(_xll.BDP(A337,"DVD_DECLARED_DT")))</f>
        <v/>
      </c>
      <c r="D337" s="22">
        <f>IF(LEFT((_xll.BDP(A337,"DVD_EX_DT")),4)="#N/A",NA(),(_xll.BDP(A337,"DVD_EX_DT")))</f>
        <v/>
      </c>
      <c r="E337" s="22">
        <f>IF(LEFT((_xll.BDP(A337,"DVD_SH_LAST")), 4) = "#N/A", NA(), (_xll.BDP(A337,"DVD_SH_LAST")))</f>
        <v/>
      </c>
      <c r="F337" s="22">
        <f>IF(LEFT((_xll.BDP(A337,"DVD_TYP_LAST")), 4) = "#N/A", NA(), (_xll.BDP(A337,"DVD_TYP_LAST")))</f>
        <v/>
      </c>
      <c r="G337" s="16">
        <f>IF(ISNUMBER(C337),IF(C337&gt;=Settings!$B$5,"Y","N"),"")</f>
        <v/>
      </c>
      <c r="H337" s="16">
        <f>IF(G337="Y",IF(ISNUMBER(SEARCH("Special",F337)),"SPECIAL DIVIDEND","NEW DIVIDEND"),IF(ISNUMBER(SEARCH("Special",F337)),"SPECIAL DIVIDEND",""))</f>
        <v/>
      </c>
    </row>
    <row r="338">
      <c r="A338" s="16">
        <f>'Rest Universe'!A339</f>
        <v/>
      </c>
      <c r="B338" s="22">
        <f>IFERROR(_xll.BDP(A338,"NAME"),"")</f>
        <v/>
      </c>
      <c r="C338" s="22">
        <f>IF(LEFT((_xll.BDP(A338,"DVD_DECLARED_DT")),4)="#N/A",NA(),(_xll.BDP(A338,"DVD_DECLARED_DT")))</f>
        <v/>
      </c>
      <c r="D338" s="22">
        <f>IF(LEFT((_xll.BDP(A338,"DVD_EX_DT")),4)="#N/A",NA(),(_xll.BDP(A338,"DVD_EX_DT")))</f>
        <v/>
      </c>
      <c r="E338" s="22">
        <f>IF(LEFT((_xll.BDP(A338,"DVD_SH_LAST")), 4) = "#N/A", NA(), (_xll.BDP(A338,"DVD_SH_LAST")))</f>
        <v/>
      </c>
      <c r="F338" s="22">
        <f>IF(LEFT((_xll.BDP(A338,"DVD_TYP_LAST")), 4) = "#N/A", NA(), (_xll.BDP(A338,"DVD_TYP_LAST")))</f>
        <v/>
      </c>
      <c r="G338" s="16">
        <f>IF(ISNUMBER(C338),IF(C338&gt;=Settings!$B$5,"Y","N"),"")</f>
        <v/>
      </c>
      <c r="H338" s="16">
        <f>IF(G338="Y",IF(ISNUMBER(SEARCH("Special",F338)),"SPECIAL DIVIDEND","NEW DIVIDEND"),IF(ISNUMBER(SEARCH("Special",F338)),"SPECIAL DIVIDEND",""))</f>
        <v/>
      </c>
    </row>
    <row r="339">
      <c r="A339" s="16">
        <f>'Rest Universe'!A340</f>
        <v/>
      </c>
      <c r="B339" s="22">
        <f>IFERROR(_xll.BDP(A339,"NAME"),"")</f>
        <v/>
      </c>
      <c r="C339" s="22">
        <f>IF(LEFT((_xll.BDP(A339,"DVD_DECLARED_DT")),4)="#N/A",NA(),(_xll.BDP(A339,"DVD_DECLARED_DT")))</f>
        <v/>
      </c>
      <c r="D339" s="22">
        <f>IF(LEFT((_xll.BDP(A339,"DVD_EX_DT")),4)="#N/A",NA(),(_xll.BDP(A339,"DVD_EX_DT")))</f>
        <v/>
      </c>
      <c r="E339" s="22">
        <f>IF(LEFT((_xll.BDP(A339,"DVD_SH_LAST")), 4) = "#N/A", NA(), (_xll.BDP(A339,"DVD_SH_LAST")))</f>
        <v/>
      </c>
      <c r="F339" s="22">
        <f>IF(LEFT((_xll.BDP(A339,"DVD_TYP_LAST")), 4) = "#N/A", NA(), (_xll.BDP(A339,"DVD_TYP_LAST")))</f>
        <v/>
      </c>
      <c r="G339" s="16">
        <f>IF(ISNUMBER(C339),IF(C339&gt;=Settings!$B$5,"Y","N"),"")</f>
        <v/>
      </c>
      <c r="H339" s="16">
        <f>IF(G339="Y",IF(ISNUMBER(SEARCH("Special",F339)),"SPECIAL DIVIDEND","NEW DIVIDEND"),IF(ISNUMBER(SEARCH("Special",F339)),"SPECIAL DIVIDEND",""))</f>
        <v/>
      </c>
    </row>
    <row r="340">
      <c r="A340" s="16">
        <f>'Rest Universe'!A341</f>
        <v/>
      </c>
      <c r="B340" s="22">
        <f>IFERROR(_xll.BDP(A340,"NAME"),"")</f>
        <v/>
      </c>
      <c r="C340" s="22">
        <f>IF(LEFT((_xll.BDP(A340,"DVD_DECLARED_DT")),4)="#N/A",NA(),(_xll.BDP(A340,"DVD_DECLARED_DT")))</f>
        <v/>
      </c>
      <c r="D340" s="22">
        <f>IF(LEFT((_xll.BDP(A340,"DVD_EX_DT")),4)="#N/A",NA(),(_xll.BDP(A340,"DVD_EX_DT")))</f>
        <v/>
      </c>
      <c r="E340" s="22">
        <f>IF(LEFT((_xll.BDP(A340,"DVD_SH_LAST")), 4) = "#N/A", NA(), (_xll.BDP(A340,"DVD_SH_LAST")))</f>
        <v/>
      </c>
      <c r="F340" s="22">
        <f>IF(LEFT((_xll.BDP(A340,"DVD_TYP_LAST")), 4) = "#N/A", NA(), (_xll.BDP(A340,"DVD_TYP_LAST")))</f>
        <v/>
      </c>
      <c r="G340" s="16">
        <f>IF(ISNUMBER(C340),IF(C340&gt;=Settings!$B$5,"Y","N"),"")</f>
        <v/>
      </c>
      <c r="H340" s="16">
        <f>IF(G340="Y",IF(ISNUMBER(SEARCH("Special",F340)),"SPECIAL DIVIDEND","NEW DIVIDEND"),IF(ISNUMBER(SEARCH("Special",F340)),"SPECIAL DIVIDEND",""))</f>
        <v/>
      </c>
    </row>
    <row r="341">
      <c r="A341" s="16">
        <f>'Rest Universe'!A342</f>
        <v/>
      </c>
      <c r="B341" s="22">
        <f>IFERROR(_xll.BDP(A341,"NAME"),"")</f>
        <v/>
      </c>
      <c r="C341" s="22">
        <f>IF(LEFT((_xll.BDP(A341,"DVD_DECLARED_DT")),4)="#N/A",NA(),(_xll.BDP(A341,"DVD_DECLARED_DT")))</f>
        <v/>
      </c>
      <c r="D341" s="22">
        <f>IF(LEFT((_xll.BDP(A341,"DVD_EX_DT")),4)="#N/A",NA(),(_xll.BDP(A341,"DVD_EX_DT")))</f>
        <v/>
      </c>
      <c r="E341" s="22">
        <f>IF(LEFT((_xll.BDP(A341,"DVD_SH_LAST")), 4) = "#N/A", NA(), (_xll.BDP(A341,"DVD_SH_LAST")))</f>
        <v/>
      </c>
      <c r="F341" s="22">
        <f>IF(LEFT((_xll.BDP(A341,"DVD_TYP_LAST")), 4) = "#N/A", NA(), (_xll.BDP(A341,"DVD_TYP_LAST")))</f>
        <v/>
      </c>
      <c r="G341" s="16">
        <f>IF(ISNUMBER(C341),IF(C341&gt;=Settings!$B$5,"Y","N"),"")</f>
        <v/>
      </c>
      <c r="H341" s="16">
        <f>IF(G341="Y",IF(ISNUMBER(SEARCH("Special",F341)),"SPECIAL DIVIDEND","NEW DIVIDEND"),IF(ISNUMBER(SEARCH("Special",F341)),"SPECIAL DIVIDEND",""))</f>
        <v/>
      </c>
    </row>
    <row r="342">
      <c r="A342" s="16">
        <f>'Rest Universe'!A343</f>
        <v/>
      </c>
      <c r="B342" s="22">
        <f>IFERROR(_xll.BDP(A342,"NAME"),"")</f>
        <v/>
      </c>
      <c r="C342" s="22">
        <f>IF(LEFT((_xll.BDP(A342,"DVD_DECLARED_DT")),4)="#N/A",NA(),(_xll.BDP(A342,"DVD_DECLARED_DT")))</f>
        <v/>
      </c>
      <c r="D342" s="22">
        <f>IF(LEFT((_xll.BDP(A342,"DVD_EX_DT")),4)="#N/A",NA(),(_xll.BDP(A342,"DVD_EX_DT")))</f>
        <v/>
      </c>
      <c r="E342" s="22">
        <f>IF(LEFT((_xll.BDP(A342,"DVD_SH_LAST")), 4) = "#N/A", NA(), (_xll.BDP(A342,"DVD_SH_LAST")))</f>
        <v/>
      </c>
      <c r="F342" s="22">
        <f>IF(LEFT((_xll.BDP(A342,"DVD_TYP_LAST")), 4) = "#N/A", NA(), (_xll.BDP(A342,"DVD_TYP_LAST")))</f>
        <v/>
      </c>
      <c r="G342" s="16">
        <f>IF(ISNUMBER(C342),IF(C342&gt;=Settings!$B$5,"Y","N"),"")</f>
        <v/>
      </c>
      <c r="H342" s="16">
        <f>IF(G342="Y",IF(ISNUMBER(SEARCH("Special",F342)),"SPECIAL DIVIDEND","NEW DIVIDEND"),IF(ISNUMBER(SEARCH("Special",F342)),"SPECIAL DIVIDEND",""))</f>
        <v/>
      </c>
    </row>
    <row r="343">
      <c r="A343" s="16">
        <f>'Rest Universe'!A344</f>
        <v/>
      </c>
      <c r="B343" s="22">
        <f>IFERROR(_xll.BDP(A343,"NAME"),"")</f>
        <v/>
      </c>
      <c r="C343" s="22">
        <f>IF(LEFT((_xll.BDP(A343,"DVD_DECLARED_DT")),4)="#N/A",NA(),(_xll.BDP(A343,"DVD_DECLARED_DT")))</f>
        <v/>
      </c>
      <c r="D343" s="22">
        <f>IF(LEFT((_xll.BDP(A343,"DVD_EX_DT")),4)="#N/A",NA(),(_xll.BDP(A343,"DVD_EX_DT")))</f>
        <v/>
      </c>
      <c r="E343" s="22">
        <f>IF(LEFT((_xll.BDP(A343,"DVD_SH_LAST")), 4) = "#N/A", NA(), (_xll.BDP(A343,"DVD_SH_LAST")))</f>
        <v/>
      </c>
      <c r="F343" s="22">
        <f>IF(LEFT((_xll.BDP(A343,"DVD_TYP_LAST")), 4) = "#N/A", NA(), (_xll.BDP(A343,"DVD_TYP_LAST")))</f>
        <v/>
      </c>
      <c r="G343" s="16">
        <f>IF(ISNUMBER(C343),IF(C343&gt;=Settings!$B$5,"Y","N"),"")</f>
        <v/>
      </c>
      <c r="H343" s="16">
        <f>IF(G343="Y",IF(ISNUMBER(SEARCH("Special",F343)),"SPECIAL DIVIDEND","NEW DIVIDEND"),IF(ISNUMBER(SEARCH("Special",F343)),"SPECIAL DIVIDEND",""))</f>
        <v/>
      </c>
    </row>
    <row r="344">
      <c r="A344" s="16">
        <f>'Rest Universe'!A345</f>
        <v/>
      </c>
      <c r="B344" s="22">
        <f>IFERROR(_xll.BDP(A344,"NAME"),"")</f>
        <v/>
      </c>
      <c r="C344" s="22">
        <f>IF(LEFT((_xll.BDP(A344,"DVD_DECLARED_DT")),4)="#N/A",NA(),(_xll.BDP(A344,"DVD_DECLARED_DT")))</f>
        <v/>
      </c>
      <c r="D344" s="22">
        <f>IF(LEFT((_xll.BDP(A344,"DVD_EX_DT")),4)="#N/A",NA(),(_xll.BDP(A344,"DVD_EX_DT")))</f>
        <v/>
      </c>
      <c r="E344" s="22">
        <f>IF(LEFT((_xll.BDP(A344,"DVD_SH_LAST")), 4) = "#N/A", NA(), (_xll.BDP(A344,"DVD_SH_LAST")))</f>
        <v/>
      </c>
      <c r="F344" s="22">
        <f>IF(LEFT((_xll.BDP(A344,"DVD_TYP_LAST")), 4) = "#N/A", NA(), (_xll.BDP(A344,"DVD_TYP_LAST")))</f>
        <v/>
      </c>
      <c r="G344" s="16">
        <f>IF(ISNUMBER(C344),IF(C344&gt;=Settings!$B$5,"Y","N"),"")</f>
        <v/>
      </c>
      <c r="H344" s="16">
        <f>IF(G344="Y",IF(ISNUMBER(SEARCH("Special",F344)),"SPECIAL DIVIDEND","NEW DIVIDEND"),IF(ISNUMBER(SEARCH("Special",F344)),"SPECIAL DIVIDEND",""))</f>
        <v/>
      </c>
    </row>
    <row r="345">
      <c r="A345" s="16">
        <f>'Rest Universe'!A346</f>
        <v/>
      </c>
      <c r="B345" s="22">
        <f>IFERROR(_xll.BDP(A345,"NAME"),"")</f>
        <v/>
      </c>
      <c r="C345" s="22">
        <f>IF(LEFT((_xll.BDP(A345,"DVD_DECLARED_DT")),4)="#N/A",NA(),(_xll.BDP(A345,"DVD_DECLARED_DT")))</f>
        <v/>
      </c>
      <c r="D345" s="22">
        <f>IF(LEFT((_xll.BDP(A345,"DVD_EX_DT")),4)="#N/A",NA(),(_xll.BDP(A345,"DVD_EX_DT")))</f>
        <v/>
      </c>
      <c r="E345" s="22">
        <f>IF(LEFT((_xll.BDP(A345,"DVD_SH_LAST")), 4) = "#N/A", NA(), (_xll.BDP(A345,"DVD_SH_LAST")))</f>
        <v/>
      </c>
      <c r="F345" s="22">
        <f>IF(LEFT((_xll.BDP(A345,"DVD_TYP_LAST")), 4) = "#N/A", NA(), (_xll.BDP(A345,"DVD_TYP_LAST")))</f>
        <v/>
      </c>
      <c r="G345" s="16">
        <f>IF(ISNUMBER(C345),IF(C345&gt;=Settings!$B$5,"Y","N"),"")</f>
        <v/>
      </c>
      <c r="H345" s="16">
        <f>IF(G345="Y",IF(ISNUMBER(SEARCH("Special",F345)),"SPECIAL DIVIDEND","NEW DIVIDEND"),IF(ISNUMBER(SEARCH("Special",F345)),"SPECIAL DIVIDEND",""))</f>
        <v/>
      </c>
    </row>
    <row r="346">
      <c r="A346" s="16">
        <f>'Rest Universe'!A347</f>
        <v/>
      </c>
      <c r="B346" s="22">
        <f>IFERROR(_xll.BDP(A346,"NAME"),"")</f>
        <v/>
      </c>
      <c r="C346" s="22">
        <f>IF(LEFT((_xll.BDP(A346,"DVD_DECLARED_DT")),4)="#N/A",NA(),(_xll.BDP(A346,"DVD_DECLARED_DT")))</f>
        <v/>
      </c>
      <c r="D346" s="22">
        <f>IF(LEFT((_xll.BDP(A346,"DVD_EX_DT")),4)="#N/A",NA(),(_xll.BDP(A346,"DVD_EX_DT")))</f>
        <v/>
      </c>
      <c r="E346" s="22">
        <f>IF(LEFT((_xll.BDP(A346,"DVD_SH_LAST")), 4) = "#N/A", NA(), (_xll.BDP(A346,"DVD_SH_LAST")))</f>
        <v/>
      </c>
      <c r="F346" s="22">
        <f>IF(LEFT((_xll.BDP(A346,"DVD_TYP_LAST")), 4) = "#N/A", NA(), (_xll.BDP(A346,"DVD_TYP_LAST")))</f>
        <v/>
      </c>
      <c r="G346" s="16">
        <f>IF(ISNUMBER(C346),IF(C346&gt;=Settings!$B$5,"Y","N"),"")</f>
        <v/>
      </c>
      <c r="H346" s="16">
        <f>IF(G346="Y",IF(ISNUMBER(SEARCH("Special",F346)),"SPECIAL DIVIDEND","NEW DIVIDEND"),IF(ISNUMBER(SEARCH("Special",F346)),"SPECIAL DIVIDEND",""))</f>
        <v/>
      </c>
    </row>
    <row r="347">
      <c r="A347" s="16">
        <f>'Rest Universe'!A348</f>
        <v/>
      </c>
      <c r="B347" s="22">
        <f>IFERROR(_xll.BDP(A347,"NAME"),"")</f>
        <v/>
      </c>
      <c r="C347" s="22">
        <f>IF(LEFT((_xll.BDP(A347,"DVD_DECLARED_DT")),4)="#N/A",NA(),(_xll.BDP(A347,"DVD_DECLARED_DT")))</f>
        <v/>
      </c>
      <c r="D347" s="22">
        <f>IF(LEFT((_xll.BDP(A347,"DVD_EX_DT")),4)="#N/A",NA(),(_xll.BDP(A347,"DVD_EX_DT")))</f>
        <v/>
      </c>
      <c r="E347" s="22">
        <f>IF(LEFT((_xll.BDP(A347,"DVD_SH_LAST")), 4) = "#N/A", NA(), (_xll.BDP(A347,"DVD_SH_LAST")))</f>
        <v/>
      </c>
      <c r="F347" s="22">
        <f>IF(LEFT((_xll.BDP(A347,"DVD_TYP_LAST")), 4) = "#N/A", NA(), (_xll.BDP(A347,"DVD_TYP_LAST")))</f>
        <v/>
      </c>
      <c r="G347" s="16">
        <f>IF(ISNUMBER(C347),IF(C347&gt;=Settings!$B$5,"Y","N"),"")</f>
        <v/>
      </c>
      <c r="H347" s="16">
        <f>IF(G347="Y",IF(ISNUMBER(SEARCH("Special",F347)),"SPECIAL DIVIDEND","NEW DIVIDEND"),IF(ISNUMBER(SEARCH("Special",F347)),"SPECIAL DIVIDEND",""))</f>
        <v/>
      </c>
    </row>
    <row r="348">
      <c r="A348" s="16">
        <f>'Rest Universe'!A349</f>
        <v/>
      </c>
      <c r="B348" s="22">
        <f>IFERROR(_xll.BDP(A348,"NAME"),"")</f>
        <v/>
      </c>
      <c r="C348" s="22">
        <f>IF(LEFT((_xll.BDP(A348,"DVD_DECLARED_DT")),4)="#N/A",NA(),(_xll.BDP(A348,"DVD_DECLARED_DT")))</f>
        <v/>
      </c>
      <c r="D348" s="22">
        <f>IF(LEFT((_xll.BDP(A348,"DVD_EX_DT")),4)="#N/A",NA(),(_xll.BDP(A348,"DVD_EX_DT")))</f>
        <v/>
      </c>
      <c r="E348" s="22">
        <f>IF(LEFT((_xll.BDP(A348,"DVD_SH_LAST")), 4) = "#N/A", NA(), (_xll.BDP(A348,"DVD_SH_LAST")))</f>
        <v/>
      </c>
      <c r="F348" s="22">
        <f>IF(LEFT((_xll.BDP(A348,"DVD_TYP_LAST")), 4) = "#N/A", NA(), (_xll.BDP(A348,"DVD_TYP_LAST")))</f>
        <v/>
      </c>
      <c r="G348" s="16">
        <f>IF(ISNUMBER(C348),IF(C348&gt;=Settings!$B$5,"Y","N"),"")</f>
        <v/>
      </c>
      <c r="H348" s="16">
        <f>IF(G348="Y",IF(ISNUMBER(SEARCH("Special",F348)),"SPECIAL DIVIDEND","NEW DIVIDEND"),IF(ISNUMBER(SEARCH("Special",F348)),"SPECIAL DIVIDEND",""))</f>
        <v/>
      </c>
    </row>
    <row r="349">
      <c r="A349" s="16">
        <f>'Rest Universe'!A350</f>
        <v/>
      </c>
      <c r="B349" s="22">
        <f>IFERROR(_xll.BDP(A349,"NAME"),"")</f>
        <v/>
      </c>
      <c r="C349" s="22">
        <f>IF(LEFT((_xll.BDP(A349,"DVD_DECLARED_DT")),4)="#N/A",NA(),(_xll.BDP(A349,"DVD_DECLARED_DT")))</f>
        <v/>
      </c>
      <c r="D349" s="22">
        <f>IF(LEFT((_xll.BDP(A349,"DVD_EX_DT")),4)="#N/A",NA(),(_xll.BDP(A349,"DVD_EX_DT")))</f>
        <v/>
      </c>
      <c r="E349" s="22">
        <f>IF(LEFT((_xll.BDP(A349,"DVD_SH_LAST")), 4) = "#N/A", NA(), (_xll.BDP(A349,"DVD_SH_LAST")))</f>
        <v/>
      </c>
      <c r="F349" s="22">
        <f>IF(LEFT((_xll.BDP(A349,"DVD_TYP_LAST")), 4) = "#N/A", NA(), (_xll.BDP(A349,"DVD_TYP_LAST")))</f>
        <v/>
      </c>
      <c r="G349" s="16">
        <f>IF(ISNUMBER(C349),IF(C349&gt;=Settings!$B$5,"Y","N"),"")</f>
        <v/>
      </c>
      <c r="H349" s="16">
        <f>IF(G349="Y",IF(ISNUMBER(SEARCH("Special",F349)),"SPECIAL DIVIDEND","NEW DIVIDEND"),IF(ISNUMBER(SEARCH("Special",F349)),"SPECIAL DIVIDEND",""))</f>
        <v/>
      </c>
    </row>
    <row r="350">
      <c r="A350" s="16">
        <f>'Rest Universe'!A351</f>
        <v/>
      </c>
      <c r="B350" s="22">
        <f>IFERROR(_xll.BDP(A350,"NAME"),"")</f>
        <v/>
      </c>
      <c r="C350" s="22">
        <f>IF(LEFT((_xll.BDP(A350,"DVD_DECLARED_DT")),4)="#N/A",NA(),(_xll.BDP(A350,"DVD_DECLARED_DT")))</f>
        <v/>
      </c>
      <c r="D350" s="22">
        <f>IF(LEFT((_xll.BDP(A350,"DVD_EX_DT")),4)="#N/A",NA(),(_xll.BDP(A350,"DVD_EX_DT")))</f>
        <v/>
      </c>
      <c r="E350" s="22">
        <f>IF(LEFT((_xll.BDP(A350,"DVD_SH_LAST")), 4) = "#N/A", NA(), (_xll.BDP(A350,"DVD_SH_LAST")))</f>
        <v/>
      </c>
      <c r="F350" s="22">
        <f>IF(LEFT((_xll.BDP(A350,"DVD_TYP_LAST")), 4) = "#N/A", NA(), (_xll.BDP(A350,"DVD_TYP_LAST")))</f>
        <v/>
      </c>
      <c r="G350" s="16">
        <f>IF(ISNUMBER(C350),IF(C350&gt;=Settings!$B$5,"Y","N"),"")</f>
        <v/>
      </c>
      <c r="H350" s="16">
        <f>IF(G350="Y",IF(ISNUMBER(SEARCH("Special",F350)),"SPECIAL DIVIDEND","NEW DIVIDEND"),IF(ISNUMBER(SEARCH("Special",F350)),"SPECIAL DIVIDEND",""))</f>
        <v/>
      </c>
    </row>
    <row r="351">
      <c r="A351" s="16">
        <f>'Rest Universe'!A352</f>
        <v/>
      </c>
      <c r="B351" s="22">
        <f>IFERROR(_xll.BDP(A351,"NAME"),"")</f>
        <v/>
      </c>
      <c r="C351" s="22">
        <f>IF(LEFT((_xll.BDP(A351,"DVD_DECLARED_DT")),4)="#N/A",NA(),(_xll.BDP(A351,"DVD_DECLARED_DT")))</f>
        <v/>
      </c>
      <c r="D351" s="22">
        <f>IF(LEFT((_xll.BDP(A351,"DVD_EX_DT")),4)="#N/A",NA(),(_xll.BDP(A351,"DVD_EX_DT")))</f>
        <v/>
      </c>
      <c r="E351" s="22">
        <f>IF(LEFT((_xll.BDP(A351,"DVD_SH_LAST")), 4) = "#N/A", NA(), (_xll.BDP(A351,"DVD_SH_LAST")))</f>
        <v/>
      </c>
      <c r="F351" s="22">
        <f>IF(LEFT((_xll.BDP(A351,"DVD_TYP_LAST")), 4) = "#N/A", NA(), (_xll.BDP(A351,"DVD_TYP_LAST")))</f>
        <v/>
      </c>
      <c r="G351" s="16">
        <f>IF(ISNUMBER(C351),IF(C351&gt;=Settings!$B$5,"Y","N"),"")</f>
        <v/>
      </c>
      <c r="H351" s="16">
        <f>IF(G351="Y",IF(ISNUMBER(SEARCH("Special",F351)),"SPECIAL DIVIDEND","NEW DIVIDEND"),IF(ISNUMBER(SEARCH("Special",F351)),"SPECIAL DIVIDEND",""))</f>
        <v/>
      </c>
    </row>
    <row r="352">
      <c r="A352" s="16">
        <f>'Rest Universe'!A353</f>
        <v/>
      </c>
      <c r="B352" s="22">
        <f>IFERROR(_xll.BDP(A352,"NAME"),"")</f>
        <v/>
      </c>
      <c r="C352" s="22">
        <f>IF(LEFT((_xll.BDP(A352,"DVD_DECLARED_DT")),4)="#N/A",NA(),(_xll.BDP(A352,"DVD_DECLARED_DT")))</f>
        <v/>
      </c>
      <c r="D352" s="22">
        <f>IF(LEFT((_xll.BDP(A352,"DVD_EX_DT")),4)="#N/A",NA(),(_xll.BDP(A352,"DVD_EX_DT")))</f>
        <v/>
      </c>
      <c r="E352" s="22">
        <f>IF(LEFT((_xll.BDP(A352,"DVD_SH_LAST")), 4) = "#N/A", NA(), (_xll.BDP(A352,"DVD_SH_LAST")))</f>
        <v/>
      </c>
      <c r="F352" s="22">
        <f>IF(LEFT((_xll.BDP(A352,"DVD_TYP_LAST")), 4) = "#N/A", NA(), (_xll.BDP(A352,"DVD_TYP_LAST")))</f>
        <v/>
      </c>
      <c r="G352" s="16">
        <f>IF(ISNUMBER(C352),IF(C352&gt;=Settings!$B$5,"Y","N"),"")</f>
        <v/>
      </c>
      <c r="H352" s="16">
        <f>IF(G352="Y",IF(ISNUMBER(SEARCH("Special",F352)),"SPECIAL DIVIDEND","NEW DIVIDEND"),IF(ISNUMBER(SEARCH("Special",F352)),"SPECIAL DIVIDEND",""))</f>
        <v/>
      </c>
    </row>
    <row r="353">
      <c r="A353" s="16">
        <f>'Rest Universe'!A354</f>
        <v/>
      </c>
      <c r="B353" s="22">
        <f>IFERROR(_xll.BDP(A353,"NAME"),"")</f>
        <v/>
      </c>
      <c r="C353" s="22">
        <f>IF(LEFT((_xll.BDP(A353,"DVD_DECLARED_DT")),4)="#N/A",NA(),(_xll.BDP(A353,"DVD_DECLARED_DT")))</f>
        <v/>
      </c>
      <c r="D353" s="22">
        <f>IF(LEFT((_xll.BDP(A353,"DVD_EX_DT")),4)="#N/A",NA(),(_xll.BDP(A353,"DVD_EX_DT")))</f>
        <v/>
      </c>
      <c r="E353" s="22">
        <f>IF(LEFT((_xll.BDP(A353,"DVD_SH_LAST")), 4) = "#N/A", NA(), (_xll.BDP(A353,"DVD_SH_LAST")))</f>
        <v/>
      </c>
      <c r="F353" s="22">
        <f>IF(LEFT((_xll.BDP(A353,"DVD_TYP_LAST")), 4) = "#N/A", NA(), (_xll.BDP(A353,"DVD_TYP_LAST")))</f>
        <v/>
      </c>
      <c r="G353" s="16">
        <f>IF(ISNUMBER(C353),IF(C353&gt;=Settings!$B$5,"Y","N"),"")</f>
        <v/>
      </c>
      <c r="H353" s="16">
        <f>IF(G353="Y",IF(ISNUMBER(SEARCH("Special",F353)),"SPECIAL DIVIDEND","NEW DIVIDEND"),IF(ISNUMBER(SEARCH("Special",F353)),"SPECIAL DIVIDEND",""))</f>
        <v/>
      </c>
    </row>
    <row r="354">
      <c r="A354" s="16">
        <f>'Rest Universe'!A355</f>
        <v/>
      </c>
      <c r="B354" s="22">
        <f>IFERROR(_xll.BDP(A354,"NAME"),"")</f>
        <v/>
      </c>
      <c r="C354" s="22">
        <f>IF(LEFT((_xll.BDP(A354,"DVD_DECLARED_DT")),4)="#N/A",NA(),(_xll.BDP(A354,"DVD_DECLARED_DT")))</f>
        <v/>
      </c>
      <c r="D354" s="22">
        <f>IF(LEFT((_xll.BDP(A354,"DVD_EX_DT")),4)="#N/A",NA(),(_xll.BDP(A354,"DVD_EX_DT")))</f>
        <v/>
      </c>
      <c r="E354" s="22">
        <f>IF(LEFT((_xll.BDP(A354,"DVD_SH_LAST")), 4) = "#N/A", NA(), (_xll.BDP(A354,"DVD_SH_LAST")))</f>
        <v/>
      </c>
      <c r="F354" s="22">
        <f>IF(LEFT((_xll.BDP(A354,"DVD_TYP_LAST")), 4) = "#N/A", NA(), (_xll.BDP(A354,"DVD_TYP_LAST")))</f>
        <v/>
      </c>
      <c r="G354" s="16">
        <f>IF(ISNUMBER(C354),IF(C354&gt;=Settings!$B$5,"Y","N"),"")</f>
        <v/>
      </c>
      <c r="H354" s="16">
        <f>IF(G354="Y",IF(ISNUMBER(SEARCH("Special",F354)),"SPECIAL DIVIDEND","NEW DIVIDEND"),IF(ISNUMBER(SEARCH("Special",F354)),"SPECIAL DIVIDEND",""))</f>
        <v/>
      </c>
    </row>
    <row r="355">
      <c r="A355" s="16">
        <f>'Rest Universe'!A356</f>
        <v/>
      </c>
      <c r="B355" s="22">
        <f>IFERROR(_xll.BDP(A355,"NAME"),"")</f>
        <v/>
      </c>
      <c r="C355" s="22">
        <f>IF(LEFT((_xll.BDP(A355,"DVD_DECLARED_DT")),4)="#N/A",NA(),(_xll.BDP(A355,"DVD_DECLARED_DT")))</f>
        <v/>
      </c>
      <c r="D355" s="22">
        <f>IF(LEFT((_xll.BDP(A355,"DVD_EX_DT")),4)="#N/A",NA(),(_xll.BDP(A355,"DVD_EX_DT")))</f>
        <v/>
      </c>
      <c r="E355" s="22">
        <f>IF(LEFT((_xll.BDP(A355,"DVD_SH_LAST")), 4) = "#N/A", NA(), (_xll.BDP(A355,"DVD_SH_LAST")))</f>
        <v/>
      </c>
      <c r="F355" s="22">
        <f>IF(LEFT((_xll.BDP(A355,"DVD_TYP_LAST")), 4) = "#N/A", NA(), (_xll.BDP(A355,"DVD_TYP_LAST")))</f>
        <v/>
      </c>
      <c r="G355" s="16">
        <f>IF(ISNUMBER(C355),IF(C355&gt;=Settings!$B$5,"Y","N"),"")</f>
        <v/>
      </c>
      <c r="H355" s="16">
        <f>IF(G355="Y",IF(ISNUMBER(SEARCH("Special",F355)),"SPECIAL DIVIDEND","NEW DIVIDEND"),IF(ISNUMBER(SEARCH("Special",F355)),"SPECIAL DIVIDEND",""))</f>
        <v/>
      </c>
    </row>
    <row r="356">
      <c r="A356" s="16">
        <f>'Rest Universe'!A357</f>
        <v/>
      </c>
      <c r="B356" s="22">
        <f>IFERROR(_xll.BDP(A356,"NAME"),"")</f>
        <v/>
      </c>
      <c r="C356" s="22">
        <f>IF(LEFT((_xll.BDP(A356,"DVD_DECLARED_DT")),4)="#N/A",NA(),(_xll.BDP(A356,"DVD_DECLARED_DT")))</f>
        <v/>
      </c>
      <c r="D356" s="22">
        <f>IF(LEFT((_xll.BDP(A356,"DVD_EX_DT")),4)="#N/A",NA(),(_xll.BDP(A356,"DVD_EX_DT")))</f>
        <v/>
      </c>
      <c r="E356" s="22">
        <f>IF(LEFT((_xll.BDP(A356,"DVD_SH_LAST")), 4) = "#N/A", NA(), (_xll.BDP(A356,"DVD_SH_LAST")))</f>
        <v/>
      </c>
      <c r="F356" s="22">
        <f>IF(LEFT((_xll.BDP(A356,"DVD_TYP_LAST")), 4) = "#N/A", NA(), (_xll.BDP(A356,"DVD_TYP_LAST")))</f>
        <v/>
      </c>
      <c r="G356" s="16">
        <f>IF(ISNUMBER(C356),IF(C356&gt;=Settings!$B$5,"Y","N"),"")</f>
        <v/>
      </c>
      <c r="H356" s="16">
        <f>IF(G356="Y",IF(ISNUMBER(SEARCH("Special",F356)),"SPECIAL DIVIDEND","NEW DIVIDEND"),IF(ISNUMBER(SEARCH("Special",F356)),"SPECIAL DIVIDEND",""))</f>
        <v/>
      </c>
    </row>
    <row r="357">
      <c r="A357" s="16">
        <f>'Rest Universe'!A358</f>
        <v/>
      </c>
      <c r="B357" s="22">
        <f>IFERROR(_xll.BDP(A357,"NAME"),"")</f>
        <v/>
      </c>
      <c r="C357" s="22">
        <f>IF(LEFT((_xll.BDP(A357,"DVD_DECLARED_DT")),4)="#N/A",NA(),(_xll.BDP(A357,"DVD_DECLARED_DT")))</f>
        <v/>
      </c>
      <c r="D357" s="22">
        <f>IF(LEFT((_xll.BDP(A357,"DVD_EX_DT")),4)="#N/A",NA(),(_xll.BDP(A357,"DVD_EX_DT")))</f>
        <v/>
      </c>
      <c r="E357" s="22">
        <f>IF(LEFT((_xll.BDP(A357,"DVD_SH_LAST")), 4) = "#N/A", NA(), (_xll.BDP(A357,"DVD_SH_LAST")))</f>
        <v/>
      </c>
      <c r="F357" s="22">
        <f>IF(LEFT((_xll.BDP(A357,"DVD_TYP_LAST")), 4) = "#N/A", NA(), (_xll.BDP(A357,"DVD_TYP_LAST")))</f>
        <v/>
      </c>
      <c r="G357" s="16">
        <f>IF(ISNUMBER(C357),IF(C357&gt;=Settings!$B$5,"Y","N"),"")</f>
        <v/>
      </c>
      <c r="H357" s="16">
        <f>IF(G357="Y",IF(ISNUMBER(SEARCH("Special",F357)),"SPECIAL DIVIDEND","NEW DIVIDEND"),IF(ISNUMBER(SEARCH("Special",F357)),"SPECIAL DIVIDEND",""))</f>
        <v/>
      </c>
    </row>
    <row r="358">
      <c r="A358" s="16">
        <f>'Rest Universe'!A359</f>
        <v/>
      </c>
      <c r="B358" s="22">
        <f>IFERROR(_xll.BDP(A358,"NAME"),"")</f>
        <v/>
      </c>
      <c r="C358" s="22">
        <f>IF(LEFT((_xll.BDP(A358,"DVD_DECLARED_DT")),4)="#N/A",NA(),(_xll.BDP(A358,"DVD_DECLARED_DT")))</f>
        <v/>
      </c>
      <c r="D358" s="22">
        <f>IF(LEFT((_xll.BDP(A358,"DVD_EX_DT")),4)="#N/A",NA(),(_xll.BDP(A358,"DVD_EX_DT")))</f>
        <v/>
      </c>
      <c r="E358" s="22">
        <f>IF(LEFT((_xll.BDP(A358,"DVD_SH_LAST")), 4) = "#N/A", NA(), (_xll.BDP(A358,"DVD_SH_LAST")))</f>
        <v/>
      </c>
      <c r="F358" s="22">
        <f>IF(LEFT((_xll.BDP(A358,"DVD_TYP_LAST")), 4) = "#N/A", NA(), (_xll.BDP(A358,"DVD_TYP_LAST")))</f>
        <v/>
      </c>
      <c r="G358" s="16">
        <f>IF(ISNUMBER(C358),IF(C358&gt;=Settings!$B$5,"Y","N"),"")</f>
        <v/>
      </c>
      <c r="H358" s="16">
        <f>IF(G358="Y",IF(ISNUMBER(SEARCH("Special",F358)),"SPECIAL DIVIDEND","NEW DIVIDEND"),IF(ISNUMBER(SEARCH("Special",F358)),"SPECIAL DIVIDEND",""))</f>
        <v/>
      </c>
    </row>
    <row r="359">
      <c r="A359" s="16">
        <f>'Rest Universe'!A360</f>
        <v/>
      </c>
      <c r="B359" s="22">
        <f>IFERROR(_xll.BDP(A359,"NAME"),"")</f>
        <v/>
      </c>
      <c r="C359" s="22">
        <f>IF(LEFT((_xll.BDP(A359,"DVD_DECLARED_DT")),4)="#N/A",NA(),(_xll.BDP(A359,"DVD_DECLARED_DT")))</f>
        <v/>
      </c>
      <c r="D359" s="22">
        <f>IF(LEFT((_xll.BDP(A359,"DVD_EX_DT")),4)="#N/A",NA(),(_xll.BDP(A359,"DVD_EX_DT")))</f>
        <v/>
      </c>
      <c r="E359" s="22">
        <f>IF(LEFT((_xll.BDP(A359,"DVD_SH_LAST")), 4) = "#N/A", NA(), (_xll.BDP(A359,"DVD_SH_LAST")))</f>
        <v/>
      </c>
      <c r="F359" s="22">
        <f>IF(LEFT((_xll.BDP(A359,"DVD_TYP_LAST")), 4) = "#N/A", NA(), (_xll.BDP(A359,"DVD_TYP_LAST")))</f>
        <v/>
      </c>
      <c r="G359" s="16">
        <f>IF(ISNUMBER(C359),IF(C359&gt;=Settings!$B$5,"Y","N"),"")</f>
        <v/>
      </c>
      <c r="H359" s="16">
        <f>IF(G359="Y",IF(ISNUMBER(SEARCH("Special",F359)),"SPECIAL DIVIDEND","NEW DIVIDEND"),IF(ISNUMBER(SEARCH("Special",F359)),"SPECIAL DIVIDEND",""))</f>
        <v/>
      </c>
    </row>
    <row r="360">
      <c r="A360" s="16">
        <f>'Rest Universe'!A361</f>
        <v/>
      </c>
      <c r="B360" s="22">
        <f>IFERROR(_xll.BDP(A360,"NAME"),"")</f>
        <v/>
      </c>
      <c r="C360" s="22">
        <f>IF(LEFT((_xll.BDP(A360,"DVD_DECLARED_DT")),4)="#N/A",NA(),(_xll.BDP(A360,"DVD_DECLARED_DT")))</f>
        <v/>
      </c>
      <c r="D360" s="22">
        <f>IF(LEFT((_xll.BDP(A360,"DVD_EX_DT")),4)="#N/A",NA(),(_xll.BDP(A360,"DVD_EX_DT")))</f>
        <v/>
      </c>
      <c r="E360" s="22">
        <f>IF(LEFT((_xll.BDP(A360,"DVD_SH_LAST")), 4) = "#N/A", NA(), (_xll.BDP(A360,"DVD_SH_LAST")))</f>
        <v/>
      </c>
      <c r="F360" s="22">
        <f>IF(LEFT((_xll.BDP(A360,"DVD_TYP_LAST")), 4) = "#N/A", NA(), (_xll.BDP(A360,"DVD_TYP_LAST")))</f>
        <v/>
      </c>
      <c r="G360" s="16">
        <f>IF(ISNUMBER(C360),IF(C360&gt;=Settings!$B$5,"Y","N"),"")</f>
        <v/>
      </c>
      <c r="H360" s="16">
        <f>IF(G360="Y",IF(ISNUMBER(SEARCH("Special",F360)),"SPECIAL DIVIDEND","NEW DIVIDEND"),IF(ISNUMBER(SEARCH("Special",F360)),"SPECIAL DIVIDEND",""))</f>
        <v/>
      </c>
    </row>
    <row r="361">
      <c r="A361" s="16">
        <f>'Rest Universe'!A362</f>
        <v/>
      </c>
      <c r="B361" s="22">
        <f>IFERROR(_xll.BDP(A361,"NAME"),"")</f>
        <v/>
      </c>
      <c r="C361" s="22">
        <f>IF(LEFT((_xll.BDP(A361,"DVD_DECLARED_DT")),4)="#N/A",NA(),(_xll.BDP(A361,"DVD_DECLARED_DT")))</f>
        <v/>
      </c>
      <c r="D361" s="22">
        <f>IF(LEFT((_xll.BDP(A361,"DVD_EX_DT")),4)="#N/A",NA(),(_xll.BDP(A361,"DVD_EX_DT")))</f>
        <v/>
      </c>
      <c r="E361" s="22">
        <f>IF(LEFT((_xll.BDP(A361,"DVD_SH_LAST")), 4) = "#N/A", NA(), (_xll.BDP(A361,"DVD_SH_LAST")))</f>
        <v/>
      </c>
      <c r="F361" s="22">
        <f>IF(LEFT((_xll.BDP(A361,"DVD_TYP_LAST")), 4) = "#N/A", NA(), (_xll.BDP(A361,"DVD_TYP_LAST")))</f>
        <v/>
      </c>
      <c r="G361" s="16">
        <f>IF(ISNUMBER(C361),IF(C361&gt;=Settings!$B$5,"Y","N"),"")</f>
        <v/>
      </c>
      <c r="H361" s="16">
        <f>IF(G361="Y",IF(ISNUMBER(SEARCH("Special",F361)),"SPECIAL DIVIDEND","NEW DIVIDEND"),IF(ISNUMBER(SEARCH("Special",F361)),"SPECIAL DIVIDEND",""))</f>
        <v/>
      </c>
    </row>
    <row r="362">
      <c r="A362" s="16">
        <f>'Rest Universe'!A363</f>
        <v/>
      </c>
      <c r="B362" s="22">
        <f>IFERROR(_xll.BDP(A362,"NAME"),"")</f>
        <v/>
      </c>
      <c r="C362" s="22">
        <f>IF(LEFT((_xll.BDP(A362,"DVD_DECLARED_DT")),4)="#N/A",NA(),(_xll.BDP(A362,"DVD_DECLARED_DT")))</f>
        <v/>
      </c>
      <c r="D362" s="22">
        <f>IF(LEFT((_xll.BDP(A362,"DVD_EX_DT")),4)="#N/A",NA(),(_xll.BDP(A362,"DVD_EX_DT")))</f>
        <v/>
      </c>
      <c r="E362" s="22">
        <f>IF(LEFT((_xll.BDP(A362,"DVD_SH_LAST")), 4) = "#N/A", NA(), (_xll.BDP(A362,"DVD_SH_LAST")))</f>
        <v/>
      </c>
      <c r="F362" s="22">
        <f>IF(LEFT((_xll.BDP(A362,"DVD_TYP_LAST")), 4) = "#N/A", NA(), (_xll.BDP(A362,"DVD_TYP_LAST")))</f>
        <v/>
      </c>
      <c r="G362" s="16">
        <f>IF(ISNUMBER(C362),IF(C362&gt;=Settings!$B$5,"Y","N"),"")</f>
        <v/>
      </c>
      <c r="H362" s="16">
        <f>IF(G362="Y",IF(ISNUMBER(SEARCH("Special",F362)),"SPECIAL DIVIDEND","NEW DIVIDEND"),IF(ISNUMBER(SEARCH("Special",F362)),"SPECIAL DIVIDEND",""))</f>
        <v/>
      </c>
    </row>
    <row r="363">
      <c r="A363" s="16">
        <f>'Rest Universe'!A364</f>
        <v/>
      </c>
      <c r="B363" s="22">
        <f>IFERROR(_xll.BDP(A363,"NAME"),"")</f>
        <v/>
      </c>
      <c r="C363" s="22">
        <f>IF(LEFT((_xll.BDP(A363,"DVD_DECLARED_DT")),4)="#N/A",NA(),(_xll.BDP(A363,"DVD_DECLARED_DT")))</f>
        <v/>
      </c>
      <c r="D363" s="22">
        <f>IF(LEFT((_xll.BDP(A363,"DVD_EX_DT")),4)="#N/A",NA(),(_xll.BDP(A363,"DVD_EX_DT")))</f>
        <v/>
      </c>
      <c r="E363" s="22">
        <f>IF(LEFT((_xll.BDP(A363,"DVD_SH_LAST")), 4) = "#N/A", NA(), (_xll.BDP(A363,"DVD_SH_LAST")))</f>
        <v/>
      </c>
      <c r="F363" s="22">
        <f>IF(LEFT((_xll.BDP(A363,"DVD_TYP_LAST")), 4) = "#N/A", NA(), (_xll.BDP(A363,"DVD_TYP_LAST")))</f>
        <v/>
      </c>
      <c r="G363" s="16">
        <f>IF(ISNUMBER(C363),IF(C363&gt;=Settings!$B$5,"Y","N"),"")</f>
        <v/>
      </c>
      <c r="H363" s="16">
        <f>IF(G363="Y",IF(ISNUMBER(SEARCH("Special",F363)),"SPECIAL DIVIDEND","NEW DIVIDEND"),IF(ISNUMBER(SEARCH("Special",F363)),"SPECIAL DIVIDEND",""))</f>
        <v/>
      </c>
    </row>
    <row r="364">
      <c r="A364" s="16">
        <f>'Rest Universe'!A365</f>
        <v/>
      </c>
      <c r="B364" s="22">
        <f>IFERROR(_xll.BDP(A364,"NAME"),"")</f>
        <v/>
      </c>
      <c r="C364" s="22">
        <f>IF(LEFT((_xll.BDP(A364,"DVD_DECLARED_DT")),4)="#N/A",NA(),(_xll.BDP(A364,"DVD_DECLARED_DT")))</f>
        <v/>
      </c>
      <c r="D364" s="22">
        <f>IF(LEFT((_xll.BDP(A364,"DVD_EX_DT")),4)="#N/A",NA(),(_xll.BDP(A364,"DVD_EX_DT")))</f>
        <v/>
      </c>
      <c r="E364" s="22">
        <f>IF(LEFT((_xll.BDP(A364,"DVD_SH_LAST")), 4) = "#N/A", NA(), (_xll.BDP(A364,"DVD_SH_LAST")))</f>
        <v/>
      </c>
      <c r="F364" s="22">
        <f>IF(LEFT((_xll.BDP(A364,"DVD_TYP_LAST")), 4) = "#N/A", NA(), (_xll.BDP(A364,"DVD_TYP_LAST")))</f>
        <v/>
      </c>
      <c r="G364" s="16">
        <f>IF(ISNUMBER(C364),IF(C364&gt;=Settings!$B$5,"Y","N"),"")</f>
        <v/>
      </c>
      <c r="H364" s="16">
        <f>IF(G364="Y",IF(ISNUMBER(SEARCH("Special",F364)),"SPECIAL DIVIDEND","NEW DIVIDEND"),IF(ISNUMBER(SEARCH("Special",F364)),"SPECIAL DIVIDEND",""))</f>
        <v/>
      </c>
    </row>
    <row r="365">
      <c r="A365" s="16">
        <f>'Rest Universe'!A366</f>
        <v/>
      </c>
      <c r="B365" s="22">
        <f>IFERROR(_xll.BDP(A365,"NAME"),"")</f>
        <v/>
      </c>
      <c r="C365" s="22">
        <f>IF(LEFT((_xll.BDP(A365,"DVD_DECLARED_DT")),4)="#N/A",NA(),(_xll.BDP(A365,"DVD_DECLARED_DT")))</f>
        <v/>
      </c>
      <c r="D365" s="22">
        <f>IF(LEFT((_xll.BDP(A365,"DVD_EX_DT")),4)="#N/A",NA(),(_xll.BDP(A365,"DVD_EX_DT")))</f>
        <v/>
      </c>
      <c r="E365" s="22">
        <f>IF(LEFT((_xll.BDP(A365,"DVD_SH_LAST")), 4) = "#N/A", NA(), (_xll.BDP(A365,"DVD_SH_LAST")))</f>
        <v/>
      </c>
      <c r="F365" s="22">
        <f>IF(LEFT((_xll.BDP(A365,"DVD_TYP_LAST")), 4) = "#N/A", NA(), (_xll.BDP(A365,"DVD_TYP_LAST")))</f>
        <v/>
      </c>
      <c r="G365" s="16">
        <f>IF(ISNUMBER(C365),IF(C365&gt;=Settings!$B$5,"Y","N"),"")</f>
        <v/>
      </c>
      <c r="H365" s="16">
        <f>IF(G365="Y",IF(ISNUMBER(SEARCH("Special",F365)),"SPECIAL DIVIDEND","NEW DIVIDEND"),IF(ISNUMBER(SEARCH("Special",F365)),"SPECIAL DIVIDEND",""))</f>
        <v/>
      </c>
    </row>
    <row r="366">
      <c r="A366" s="16">
        <f>'Rest Universe'!A367</f>
        <v/>
      </c>
      <c r="B366" s="22">
        <f>IFERROR(_xll.BDP(A366,"NAME"),"")</f>
        <v/>
      </c>
      <c r="C366" s="22">
        <f>IF(LEFT((_xll.BDP(A366,"DVD_DECLARED_DT")),4)="#N/A",NA(),(_xll.BDP(A366,"DVD_DECLARED_DT")))</f>
        <v/>
      </c>
      <c r="D366" s="22">
        <f>IF(LEFT((_xll.BDP(A366,"DVD_EX_DT")),4)="#N/A",NA(),(_xll.BDP(A366,"DVD_EX_DT")))</f>
        <v/>
      </c>
      <c r="E366" s="22">
        <f>IF(LEFT((_xll.BDP(A366,"DVD_SH_LAST")), 4) = "#N/A", NA(), (_xll.BDP(A366,"DVD_SH_LAST")))</f>
        <v/>
      </c>
      <c r="F366" s="22">
        <f>IF(LEFT((_xll.BDP(A366,"DVD_TYP_LAST")), 4) = "#N/A", NA(), (_xll.BDP(A366,"DVD_TYP_LAST")))</f>
        <v/>
      </c>
      <c r="G366" s="16">
        <f>IF(ISNUMBER(C366),IF(C366&gt;=Settings!$B$5,"Y","N"),"")</f>
        <v/>
      </c>
      <c r="H366" s="16">
        <f>IF(G366="Y",IF(ISNUMBER(SEARCH("Special",F366)),"SPECIAL DIVIDEND","NEW DIVIDEND"),IF(ISNUMBER(SEARCH("Special",F366)),"SPECIAL DIVIDEND",""))</f>
        <v/>
      </c>
    </row>
    <row r="367">
      <c r="A367" s="16">
        <f>'Rest Universe'!A368</f>
        <v/>
      </c>
      <c r="B367" s="22">
        <f>IFERROR(_xll.BDP(A367,"NAME"),"")</f>
        <v/>
      </c>
      <c r="C367" s="22">
        <f>IF(LEFT((_xll.BDP(A367,"DVD_DECLARED_DT")),4)="#N/A",NA(),(_xll.BDP(A367,"DVD_DECLARED_DT")))</f>
        <v/>
      </c>
      <c r="D367" s="22">
        <f>IF(LEFT((_xll.BDP(A367,"DVD_EX_DT")),4)="#N/A",NA(),(_xll.BDP(A367,"DVD_EX_DT")))</f>
        <v/>
      </c>
      <c r="E367" s="22">
        <f>IF(LEFT((_xll.BDP(A367,"DVD_SH_LAST")), 4) = "#N/A", NA(), (_xll.BDP(A367,"DVD_SH_LAST")))</f>
        <v/>
      </c>
      <c r="F367" s="22">
        <f>IF(LEFT((_xll.BDP(A367,"DVD_TYP_LAST")), 4) = "#N/A", NA(), (_xll.BDP(A367,"DVD_TYP_LAST")))</f>
        <v/>
      </c>
      <c r="G367" s="16">
        <f>IF(ISNUMBER(C367),IF(C367&gt;=Settings!$B$5,"Y","N"),"")</f>
        <v/>
      </c>
      <c r="H367" s="16">
        <f>IF(G367="Y",IF(ISNUMBER(SEARCH("Special",F367)),"SPECIAL DIVIDEND","NEW DIVIDEND"),IF(ISNUMBER(SEARCH("Special",F367)),"SPECIAL DIVIDEND",""))</f>
        <v/>
      </c>
    </row>
    <row r="368">
      <c r="A368" s="16">
        <f>'Rest Universe'!A369</f>
        <v/>
      </c>
      <c r="B368" s="22">
        <f>IFERROR(_xll.BDP(A368,"NAME"),"")</f>
        <v/>
      </c>
      <c r="C368" s="22">
        <f>IF(LEFT((_xll.BDP(A368,"DVD_DECLARED_DT")),4)="#N/A",NA(),(_xll.BDP(A368,"DVD_DECLARED_DT")))</f>
        <v/>
      </c>
      <c r="D368" s="22">
        <f>IF(LEFT((_xll.BDP(A368,"DVD_EX_DT")),4)="#N/A",NA(),(_xll.BDP(A368,"DVD_EX_DT")))</f>
        <v/>
      </c>
      <c r="E368" s="22">
        <f>IF(LEFT((_xll.BDP(A368,"DVD_SH_LAST")), 4) = "#N/A", NA(), (_xll.BDP(A368,"DVD_SH_LAST")))</f>
        <v/>
      </c>
      <c r="F368" s="22">
        <f>IF(LEFT((_xll.BDP(A368,"DVD_TYP_LAST")), 4) = "#N/A", NA(), (_xll.BDP(A368,"DVD_TYP_LAST")))</f>
        <v/>
      </c>
      <c r="G368" s="16">
        <f>IF(ISNUMBER(C368),IF(C368&gt;=Settings!$B$5,"Y","N"),"")</f>
        <v/>
      </c>
      <c r="H368" s="16">
        <f>IF(G368="Y",IF(ISNUMBER(SEARCH("Special",F368)),"SPECIAL DIVIDEND","NEW DIVIDEND"),IF(ISNUMBER(SEARCH("Special",F368)),"SPECIAL DIVIDEND",""))</f>
        <v/>
      </c>
    </row>
    <row r="369">
      <c r="A369" s="16">
        <f>'Rest Universe'!A370</f>
        <v/>
      </c>
      <c r="B369" s="22">
        <f>IFERROR(_xll.BDP(A369,"NAME"),"")</f>
        <v/>
      </c>
      <c r="C369" s="22">
        <f>IF(LEFT((_xll.BDP(A369,"DVD_DECLARED_DT")),4)="#N/A",NA(),(_xll.BDP(A369,"DVD_DECLARED_DT")))</f>
        <v/>
      </c>
      <c r="D369" s="22">
        <f>IF(LEFT((_xll.BDP(A369,"DVD_EX_DT")),4)="#N/A",NA(),(_xll.BDP(A369,"DVD_EX_DT")))</f>
        <v/>
      </c>
      <c r="E369" s="22">
        <f>IF(LEFT((_xll.BDP(A369,"DVD_SH_LAST")), 4) = "#N/A", NA(), (_xll.BDP(A369,"DVD_SH_LAST")))</f>
        <v/>
      </c>
      <c r="F369" s="22">
        <f>IF(LEFT((_xll.BDP(A369,"DVD_TYP_LAST")), 4) = "#N/A", NA(), (_xll.BDP(A369,"DVD_TYP_LAST")))</f>
        <v/>
      </c>
      <c r="G369" s="16">
        <f>IF(ISNUMBER(C369),IF(C369&gt;=Settings!$B$5,"Y","N"),"")</f>
        <v/>
      </c>
      <c r="H369" s="16">
        <f>IF(G369="Y",IF(ISNUMBER(SEARCH("Special",F369)),"SPECIAL DIVIDEND","NEW DIVIDEND"),IF(ISNUMBER(SEARCH("Special",F369)),"SPECIAL DIVIDEND",""))</f>
        <v/>
      </c>
    </row>
    <row r="370">
      <c r="A370" s="16">
        <f>'Rest Universe'!A371</f>
        <v/>
      </c>
      <c r="B370" s="22">
        <f>IFERROR(_xll.BDP(A370,"NAME"),"")</f>
        <v/>
      </c>
      <c r="C370" s="22">
        <f>IF(LEFT((_xll.BDP(A370,"DVD_DECLARED_DT")),4)="#N/A",NA(),(_xll.BDP(A370,"DVD_DECLARED_DT")))</f>
        <v/>
      </c>
      <c r="D370" s="22">
        <f>IF(LEFT((_xll.BDP(A370,"DVD_EX_DT")),4)="#N/A",NA(),(_xll.BDP(A370,"DVD_EX_DT")))</f>
        <v/>
      </c>
      <c r="E370" s="22">
        <f>IF(LEFT((_xll.BDP(A370,"DVD_SH_LAST")), 4) = "#N/A", NA(), (_xll.BDP(A370,"DVD_SH_LAST")))</f>
        <v/>
      </c>
      <c r="F370" s="22">
        <f>IF(LEFT((_xll.BDP(A370,"DVD_TYP_LAST")), 4) = "#N/A", NA(), (_xll.BDP(A370,"DVD_TYP_LAST")))</f>
        <v/>
      </c>
      <c r="G370" s="16">
        <f>IF(ISNUMBER(C370),IF(C370&gt;=Settings!$B$5,"Y","N"),"")</f>
        <v/>
      </c>
      <c r="H370" s="16">
        <f>IF(G370="Y",IF(ISNUMBER(SEARCH("Special",F370)),"SPECIAL DIVIDEND","NEW DIVIDEND"),IF(ISNUMBER(SEARCH("Special",F370)),"SPECIAL DIVIDEND",""))</f>
        <v/>
      </c>
    </row>
    <row r="371">
      <c r="A371" s="16">
        <f>'Rest Universe'!A372</f>
        <v/>
      </c>
      <c r="B371" s="22">
        <f>IFERROR(_xll.BDP(A371,"NAME"),"")</f>
        <v/>
      </c>
      <c r="C371" s="22">
        <f>IF(LEFT((_xll.BDP(A371,"DVD_DECLARED_DT")),4)="#N/A",NA(),(_xll.BDP(A371,"DVD_DECLARED_DT")))</f>
        <v/>
      </c>
      <c r="D371" s="22">
        <f>IF(LEFT((_xll.BDP(A371,"DVD_EX_DT")),4)="#N/A",NA(),(_xll.BDP(A371,"DVD_EX_DT")))</f>
        <v/>
      </c>
      <c r="E371" s="22">
        <f>IF(LEFT((_xll.BDP(A371,"DVD_SH_LAST")), 4) = "#N/A", NA(), (_xll.BDP(A371,"DVD_SH_LAST")))</f>
        <v/>
      </c>
      <c r="F371" s="22">
        <f>IF(LEFT((_xll.BDP(A371,"DVD_TYP_LAST")), 4) = "#N/A", NA(), (_xll.BDP(A371,"DVD_TYP_LAST")))</f>
        <v/>
      </c>
      <c r="G371" s="16">
        <f>IF(ISNUMBER(C371),IF(C371&gt;=Settings!$B$5,"Y","N"),"")</f>
        <v/>
      </c>
      <c r="H371" s="16">
        <f>IF(G371="Y",IF(ISNUMBER(SEARCH("Special",F371)),"SPECIAL DIVIDEND","NEW DIVIDEND"),IF(ISNUMBER(SEARCH("Special",F371)),"SPECIAL DIVIDEND",""))</f>
        <v/>
      </c>
    </row>
    <row r="372">
      <c r="A372" s="16">
        <f>'Rest Universe'!A373</f>
        <v/>
      </c>
      <c r="B372" s="22">
        <f>IFERROR(_xll.BDP(A372,"NAME"),"")</f>
        <v/>
      </c>
      <c r="C372" s="22">
        <f>IF(LEFT((_xll.BDP(A372,"DVD_DECLARED_DT")),4)="#N/A",NA(),(_xll.BDP(A372,"DVD_DECLARED_DT")))</f>
        <v/>
      </c>
      <c r="D372" s="22">
        <f>IF(LEFT((_xll.BDP(A372,"DVD_EX_DT")),4)="#N/A",NA(),(_xll.BDP(A372,"DVD_EX_DT")))</f>
        <v/>
      </c>
      <c r="E372" s="22">
        <f>IF(LEFT((_xll.BDP(A372,"DVD_SH_LAST")), 4) = "#N/A", NA(), (_xll.BDP(A372,"DVD_SH_LAST")))</f>
        <v/>
      </c>
      <c r="F372" s="22">
        <f>IF(LEFT((_xll.BDP(A372,"DVD_TYP_LAST")), 4) = "#N/A", NA(), (_xll.BDP(A372,"DVD_TYP_LAST")))</f>
        <v/>
      </c>
      <c r="G372" s="16">
        <f>IF(ISNUMBER(C372),IF(C372&gt;=Settings!$B$5,"Y","N"),"")</f>
        <v/>
      </c>
      <c r="H372" s="16">
        <f>IF(G372="Y",IF(ISNUMBER(SEARCH("Special",F372)),"SPECIAL DIVIDEND","NEW DIVIDEND"),IF(ISNUMBER(SEARCH("Special",F372)),"SPECIAL DIVIDEND",""))</f>
        <v/>
      </c>
    </row>
    <row r="373">
      <c r="A373" s="16">
        <f>'Rest Universe'!A374</f>
        <v/>
      </c>
      <c r="B373" s="22">
        <f>IFERROR(_xll.BDP(A373,"NAME"),"")</f>
        <v/>
      </c>
      <c r="C373" s="22">
        <f>IF(LEFT((_xll.BDP(A373,"DVD_DECLARED_DT")),4)="#N/A",NA(),(_xll.BDP(A373,"DVD_DECLARED_DT")))</f>
        <v/>
      </c>
      <c r="D373" s="22">
        <f>IF(LEFT((_xll.BDP(A373,"DVD_EX_DT")),4)="#N/A",NA(),(_xll.BDP(A373,"DVD_EX_DT")))</f>
        <v/>
      </c>
      <c r="E373" s="22">
        <f>IF(LEFT((_xll.BDP(A373,"DVD_SH_LAST")), 4) = "#N/A", NA(), (_xll.BDP(A373,"DVD_SH_LAST")))</f>
        <v/>
      </c>
      <c r="F373" s="22">
        <f>IF(LEFT((_xll.BDP(A373,"DVD_TYP_LAST")), 4) = "#N/A", NA(), (_xll.BDP(A373,"DVD_TYP_LAST")))</f>
        <v/>
      </c>
      <c r="G373" s="16">
        <f>IF(ISNUMBER(C373),IF(C373&gt;=Settings!$B$5,"Y","N"),"")</f>
        <v/>
      </c>
      <c r="H373" s="16">
        <f>IF(G373="Y",IF(ISNUMBER(SEARCH("Special",F373)),"SPECIAL DIVIDEND","NEW DIVIDEND"),IF(ISNUMBER(SEARCH("Special",F373)),"SPECIAL DIVIDEND",""))</f>
        <v/>
      </c>
    </row>
    <row r="374">
      <c r="A374" s="16">
        <f>'Rest Universe'!A375</f>
        <v/>
      </c>
      <c r="B374" s="22">
        <f>IFERROR(_xll.BDP(A374,"NAME"),"")</f>
        <v/>
      </c>
      <c r="C374" s="22">
        <f>IF(LEFT((_xll.BDP(A374,"DVD_DECLARED_DT")),4)="#N/A",NA(),(_xll.BDP(A374,"DVD_DECLARED_DT")))</f>
        <v/>
      </c>
      <c r="D374" s="22">
        <f>IF(LEFT((_xll.BDP(A374,"DVD_EX_DT")),4)="#N/A",NA(),(_xll.BDP(A374,"DVD_EX_DT")))</f>
        <v/>
      </c>
      <c r="E374" s="22">
        <f>IF(LEFT((_xll.BDP(A374,"DVD_SH_LAST")), 4) = "#N/A", NA(), (_xll.BDP(A374,"DVD_SH_LAST")))</f>
        <v/>
      </c>
      <c r="F374" s="22">
        <f>IF(LEFT((_xll.BDP(A374,"DVD_TYP_LAST")), 4) = "#N/A", NA(), (_xll.BDP(A374,"DVD_TYP_LAST")))</f>
        <v/>
      </c>
      <c r="G374" s="16">
        <f>IF(ISNUMBER(C374),IF(C374&gt;=Settings!$B$5,"Y","N"),"")</f>
        <v/>
      </c>
      <c r="H374" s="16">
        <f>IF(G374="Y",IF(ISNUMBER(SEARCH("Special",F374)),"SPECIAL DIVIDEND","NEW DIVIDEND"),IF(ISNUMBER(SEARCH("Special",F374)),"SPECIAL DIVIDEND",""))</f>
        <v/>
      </c>
    </row>
    <row r="375">
      <c r="A375" s="16">
        <f>'Rest Universe'!A376</f>
        <v/>
      </c>
      <c r="B375" s="22">
        <f>IFERROR(_xll.BDP(A375,"NAME"),"")</f>
        <v/>
      </c>
      <c r="C375" s="22">
        <f>IF(LEFT((_xll.BDP(A375,"DVD_DECLARED_DT")),4)="#N/A",NA(),(_xll.BDP(A375,"DVD_DECLARED_DT")))</f>
        <v/>
      </c>
      <c r="D375" s="22">
        <f>IF(LEFT((_xll.BDP(A375,"DVD_EX_DT")),4)="#N/A",NA(),(_xll.BDP(A375,"DVD_EX_DT")))</f>
        <v/>
      </c>
      <c r="E375" s="22">
        <f>IF(LEFT((_xll.BDP(A375,"DVD_SH_LAST")), 4) = "#N/A", NA(), (_xll.BDP(A375,"DVD_SH_LAST")))</f>
        <v/>
      </c>
      <c r="F375" s="22">
        <f>IF(LEFT((_xll.BDP(A375,"DVD_TYP_LAST")), 4) = "#N/A", NA(), (_xll.BDP(A375,"DVD_TYP_LAST")))</f>
        <v/>
      </c>
      <c r="G375" s="16">
        <f>IF(ISNUMBER(C375),IF(C375&gt;=Settings!$B$5,"Y","N"),"")</f>
        <v/>
      </c>
      <c r="H375" s="16">
        <f>IF(G375="Y",IF(ISNUMBER(SEARCH("Special",F375)),"SPECIAL DIVIDEND","NEW DIVIDEND"),IF(ISNUMBER(SEARCH("Special",F375)),"SPECIAL DIVIDEND",""))</f>
        <v/>
      </c>
    </row>
    <row r="376">
      <c r="A376" s="16">
        <f>'Rest Universe'!A377</f>
        <v/>
      </c>
      <c r="B376" s="22">
        <f>IFERROR(_xll.BDP(A376,"NAME"),"")</f>
        <v/>
      </c>
      <c r="C376" s="22">
        <f>IF(LEFT((_xll.BDP(A376,"DVD_DECLARED_DT")),4)="#N/A",NA(),(_xll.BDP(A376,"DVD_DECLARED_DT")))</f>
        <v/>
      </c>
      <c r="D376" s="22">
        <f>IF(LEFT((_xll.BDP(A376,"DVD_EX_DT")),4)="#N/A",NA(),(_xll.BDP(A376,"DVD_EX_DT")))</f>
        <v/>
      </c>
      <c r="E376" s="22">
        <f>IF(LEFT((_xll.BDP(A376,"DVD_SH_LAST")), 4) = "#N/A", NA(), (_xll.BDP(A376,"DVD_SH_LAST")))</f>
        <v/>
      </c>
      <c r="F376" s="22">
        <f>IF(LEFT((_xll.BDP(A376,"DVD_TYP_LAST")), 4) = "#N/A", NA(), (_xll.BDP(A376,"DVD_TYP_LAST")))</f>
        <v/>
      </c>
      <c r="G376" s="16">
        <f>IF(ISNUMBER(C376),IF(C376&gt;=Settings!$B$5,"Y","N"),"")</f>
        <v/>
      </c>
      <c r="H376" s="16">
        <f>IF(G376="Y",IF(ISNUMBER(SEARCH("Special",F376)),"SPECIAL DIVIDEND","NEW DIVIDEND"),IF(ISNUMBER(SEARCH("Special",F376)),"SPECIAL DIVIDEND",""))</f>
        <v/>
      </c>
    </row>
    <row r="377">
      <c r="A377" s="16">
        <f>'Rest Universe'!A378</f>
        <v/>
      </c>
      <c r="B377" s="22">
        <f>IFERROR(_xll.BDP(A377,"NAME"),"")</f>
        <v/>
      </c>
      <c r="C377" s="22">
        <f>IF(LEFT((_xll.BDP(A377,"DVD_DECLARED_DT")),4)="#N/A",NA(),(_xll.BDP(A377,"DVD_DECLARED_DT")))</f>
        <v/>
      </c>
      <c r="D377" s="22">
        <f>IF(LEFT((_xll.BDP(A377,"DVD_EX_DT")),4)="#N/A",NA(),(_xll.BDP(A377,"DVD_EX_DT")))</f>
        <v/>
      </c>
      <c r="E377" s="22">
        <f>IF(LEFT((_xll.BDP(A377,"DVD_SH_LAST")), 4) = "#N/A", NA(), (_xll.BDP(A377,"DVD_SH_LAST")))</f>
        <v/>
      </c>
      <c r="F377" s="22">
        <f>IF(LEFT((_xll.BDP(A377,"DVD_TYP_LAST")), 4) = "#N/A", NA(), (_xll.BDP(A377,"DVD_TYP_LAST")))</f>
        <v/>
      </c>
      <c r="G377" s="16">
        <f>IF(ISNUMBER(C377),IF(C377&gt;=Settings!$B$5,"Y","N"),"")</f>
        <v/>
      </c>
      <c r="H377" s="16">
        <f>IF(G377="Y",IF(ISNUMBER(SEARCH("Special",F377)),"SPECIAL DIVIDEND","NEW DIVIDEND"),IF(ISNUMBER(SEARCH("Special",F377)),"SPECIAL DIVIDEND",""))</f>
        <v/>
      </c>
    </row>
    <row r="378">
      <c r="A378" s="16">
        <f>'Rest Universe'!A379</f>
        <v/>
      </c>
      <c r="B378" s="22">
        <f>IFERROR(_xll.BDP(A378,"NAME"),"")</f>
        <v/>
      </c>
      <c r="C378" s="22">
        <f>IF(LEFT((_xll.BDP(A378,"DVD_DECLARED_DT")),4)="#N/A",NA(),(_xll.BDP(A378,"DVD_DECLARED_DT")))</f>
        <v/>
      </c>
      <c r="D378" s="22">
        <f>IF(LEFT((_xll.BDP(A378,"DVD_EX_DT")),4)="#N/A",NA(),(_xll.BDP(A378,"DVD_EX_DT")))</f>
        <v/>
      </c>
      <c r="E378" s="22">
        <f>IF(LEFT((_xll.BDP(A378,"DVD_SH_LAST")), 4) = "#N/A", NA(), (_xll.BDP(A378,"DVD_SH_LAST")))</f>
        <v/>
      </c>
      <c r="F378" s="22">
        <f>IF(LEFT((_xll.BDP(A378,"DVD_TYP_LAST")), 4) = "#N/A", NA(), (_xll.BDP(A378,"DVD_TYP_LAST")))</f>
        <v/>
      </c>
      <c r="G378" s="16">
        <f>IF(ISNUMBER(C378),IF(C378&gt;=Settings!$B$5,"Y","N"),"")</f>
        <v/>
      </c>
      <c r="H378" s="16">
        <f>IF(G378="Y",IF(ISNUMBER(SEARCH("Special",F378)),"SPECIAL DIVIDEND","NEW DIVIDEND"),IF(ISNUMBER(SEARCH("Special",F378)),"SPECIAL DIVIDEND",""))</f>
        <v/>
      </c>
    </row>
    <row r="379">
      <c r="A379" s="16">
        <f>'Rest Universe'!A380</f>
        <v/>
      </c>
      <c r="B379" s="22">
        <f>IFERROR(_xll.BDP(A379,"NAME"),"")</f>
        <v/>
      </c>
      <c r="C379" s="22">
        <f>IF(LEFT((_xll.BDP(A379,"DVD_DECLARED_DT")),4)="#N/A",NA(),(_xll.BDP(A379,"DVD_DECLARED_DT")))</f>
        <v/>
      </c>
      <c r="D379" s="22">
        <f>IF(LEFT((_xll.BDP(A379,"DVD_EX_DT")),4)="#N/A",NA(),(_xll.BDP(A379,"DVD_EX_DT")))</f>
        <v/>
      </c>
      <c r="E379" s="22">
        <f>IF(LEFT((_xll.BDP(A379,"DVD_SH_LAST")), 4) = "#N/A", NA(), (_xll.BDP(A379,"DVD_SH_LAST")))</f>
        <v/>
      </c>
      <c r="F379" s="22">
        <f>IF(LEFT((_xll.BDP(A379,"DVD_TYP_LAST")), 4) = "#N/A", NA(), (_xll.BDP(A379,"DVD_TYP_LAST")))</f>
        <v/>
      </c>
      <c r="G379" s="16">
        <f>IF(ISNUMBER(C379),IF(C379&gt;=Settings!$B$5,"Y","N"),"")</f>
        <v/>
      </c>
      <c r="H379" s="16">
        <f>IF(G379="Y",IF(ISNUMBER(SEARCH("Special",F379)),"SPECIAL DIVIDEND","NEW DIVIDEND"),IF(ISNUMBER(SEARCH("Special",F379)),"SPECIAL DIVIDEND",""))</f>
        <v/>
      </c>
    </row>
    <row r="380">
      <c r="A380" s="16">
        <f>'Rest Universe'!A381</f>
        <v/>
      </c>
      <c r="B380" s="22">
        <f>IFERROR(_xll.BDP(A380,"NAME"),"")</f>
        <v/>
      </c>
      <c r="C380" s="22">
        <f>IF(LEFT((_xll.BDP(A380,"DVD_DECLARED_DT")),4)="#N/A",NA(),(_xll.BDP(A380,"DVD_DECLARED_DT")))</f>
        <v/>
      </c>
      <c r="D380" s="22">
        <f>IF(LEFT((_xll.BDP(A380,"DVD_EX_DT")),4)="#N/A",NA(),(_xll.BDP(A380,"DVD_EX_DT")))</f>
        <v/>
      </c>
      <c r="E380" s="22">
        <f>IF(LEFT((_xll.BDP(A380,"DVD_SH_LAST")), 4) = "#N/A", NA(), (_xll.BDP(A380,"DVD_SH_LAST")))</f>
        <v/>
      </c>
      <c r="F380" s="22">
        <f>IF(LEFT((_xll.BDP(A380,"DVD_TYP_LAST")), 4) = "#N/A", NA(), (_xll.BDP(A380,"DVD_TYP_LAST")))</f>
        <v/>
      </c>
      <c r="G380" s="16">
        <f>IF(ISNUMBER(C380),IF(C380&gt;=Settings!$B$5,"Y","N"),"")</f>
        <v/>
      </c>
      <c r="H380" s="16">
        <f>IF(G380="Y",IF(ISNUMBER(SEARCH("Special",F380)),"SPECIAL DIVIDEND","NEW DIVIDEND"),IF(ISNUMBER(SEARCH("Special",F380)),"SPECIAL DIVIDEND",""))</f>
        <v/>
      </c>
    </row>
    <row r="381">
      <c r="A381" s="16">
        <f>'Rest Universe'!A382</f>
        <v/>
      </c>
      <c r="B381" s="22">
        <f>IFERROR(_xll.BDP(A381,"NAME"),"")</f>
        <v/>
      </c>
      <c r="C381" s="22">
        <f>IF(LEFT((_xll.BDP(A381,"DVD_DECLARED_DT")),4)="#N/A",NA(),(_xll.BDP(A381,"DVD_DECLARED_DT")))</f>
        <v/>
      </c>
      <c r="D381" s="22">
        <f>IF(LEFT((_xll.BDP(A381,"DVD_EX_DT")),4)="#N/A",NA(),(_xll.BDP(A381,"DVD_EX_DT")))</f>
        <v/>
      </c>
      <c r="E381" s="22">
        <f>IF(LEFT((_xll.BDP(A381,"DVD_SH_LAST")), 4) = "#N/A", NA(), (_xll.BDP(A381,"DVD_SH_LAST")))</f>
        <v/>
      </c>
      <c r="F381" s="22">
        <f>IF(LEFT((_xll.BDP(A381,"DVD_TYP_LAST")), 4) = "#N/A", NA(), (_xll.BDP(A381,"DVD_TYP_LAST")))</f>
        <v/>
      </c>
      <c r="G381" s="16">
        <f>IF(ISNUMBER(C381),IF(C381&gt;=Settings!$B$5,"Y","N"),"")</f>
        <v/>
      </c>
      <c r="H381" s="16">
        <f>IF(G381="Y",IF(ISNUMBER(SEARCH("Special",F381)),"SPECIAL DIVIDEND","NEW DIVIDEND"),IF(ISNUMBER(SEARCH("Special",F381)),"SPECIAL DIVIDEND",""))</f>
        <v/>
      </c>
    </row>
    <row r="382">
      <c r="A382" s="16">
        <f>'Rest Universe'!A383</f>
        <v/>
      </c>
      <c r="B382" s="22">
        <f>IFERROR(_xll.BDP(A382,"NAME"),"")</f>
        <v/>
      </c>
      <c r="C382" s="22">
        <f>IF(LEFT((_xll.BDP(A382,"DVD_DECLARED_DT")),4)="#N/A",NA(),(_xll.BDP(A382,"DVD_DECLARED_DT")))</f>
        <v/>
      </c>
      <c r="D382" s="22">
        <f>IF(LEFT((_xll.BDP(A382,"DVD_EX_DT")),4)="#N/A",NA(),(_xll.BDP(A382,"DVD_EX_DT")))</f>
        <v/>
      </c>
      <c r="E382" s="22">
        <f>IF(LEFT((_xll.BDP(A382,"DVD_SH_LAST")), 4) = "#N/A", NA(), (_xll.BDP(A382,"DVD_SH_LAST")))</f>
        <v/>
      </c>
      <c r="F382" s="22">
        <f>IF(LEFT((_xll.BDP(A382,"DVD_TYP_LAST")), 4) = "#N/A", NA(), (_xll.BDP(A382,"DVD_TYP_LAST")))</f>
        <v/>
      </c>
      <c r="G382" s="16">
        <f>IF(ISNUMBER(C382),IF(C382&gt;=Settings!$B$5,"Y","N"),"")</f>
        <v/>
      </c>
      <c r="H382" s="16">
        <f>IF(G382="Y",IF(ISNUMBER(SEARCH("Special",F382)),"SPECIAL DIVIDEND","NEW DIVIDEND"),IF(ISNUMBER(SEARCH("Special",F382)),"SPECIAL DIVIDEND",""))</f>
        <v/>
      </c>
    </row>
    <row r="383">
      <c r="A383" s="16">
        <f>'Rest Universe'!A384</f>
        <v/>
      </c>
      <c r="B383" s="22">
        <f>IFERROR(_xll.BDP(A383,"NAME"),"")</f>
        <v/>
      </c>
      <c r="C383" s="22">
        <f>IF(LEFT((_xll.BDP(A383,"DVD_DECLARED_DT")),4)="#N/A",NA(),(_xll.BDP(A383,"DVD_DECLARED_DT")))</f>
        <v/>
      </c>
      <c r="D383" s="22">
        <f>IF(LEFT((_xll.BDP(A383,"DVD_EX_DT")),4)="#N/A",NA(),(_xll.BDP(A383,"DVD_EX_DT")))</f>
        <v/>
      </c>
      <c r="E383" s="22">
        <f>IF(LEFT((_xll.BDP(A383,"DVD_SH_LAST")), 4) = "#N/A", NA(), (_xll.BDP(A383,"DVD_SH_LAST")))</f>
        <v/>
      </c>
      <c r="F383" s="22">
        <f>IF(LEFT((_xll.BDP(A383,"DVD_TYP_LAST")), 4) = "#N/A", NA(), (_xll.BDP(A383,"DVD_TYP_LAST")))</f>
        <v/>
      </c>
      <c r="G383" s="16">
        <f>IF(ISNUMBER(C383),IF(C383&gt;=Settings!$B$5,"Y","N"),"")</f>
        <v/>
      </c>
      <c r="H383" s="16">
        <f>IF(G383="Y",IF(ISNUMBER(SEARCH("Special",F383)),"SPECIAL DIVIDEND","NEW DIVIDEND"),IF(ISNUMBER(SEARCH("Special",F383)),"SPECIAL DIVIDEND",""))</f>
        <v/>
      </c>
    </row>
    <row r="384">
      <c r="A384" s="16">
        <f>'Rest Universe'!A385</f>
        <v/>
      </c>
      <c r="B384" s="22">
        <f>IFERROR(_xll.BDP(A384,"NAME"),"")</f>
        <v/>
      </c>
      <c r="C384" s="22">
        <f>IF(LEFT((_xll.BDP(A384,"DVD_DECLARED_DT")),4)="#N/A",NA(),(_xll.BDP(A384,"DVD_DECLARED_DT")))</f>
        <v/>
      </c>
      <c r="D384" s="22">
        <f>IF(LEFT((_xll.BDP(A384,"DVD_EX_DT")),4)="#N/A",NA(),(_xll.BDP(A384,"DVD_EX_DT")))</f>
        <v/>
      </c>
      <c r="E384" s="22">
        <f>IF(LEFT((_xll.BDP(A384,"DVD_SH_LAST")), 4) = "#N/A", NA(), (_xll.BDP(A384,"DVD_SH_LAST")))</f>
        <v/>
      </c>
      <c r="F384" s="22">
        <f>IF(LEFT((_xll.BDP(A384,"DVD_TYP_LAST")), 4) = "#N/A", NA(), (_xll.BDP(A384,"DVD_TYP_LAST")))</f>
        <v/>
      </c>
      <c r="G384" s="16">
        <f>IF(ISNUMBER(C384),IF(C384&gt;=Settings!$B$5,"Y","N"),"")</f>
        <v/>
      </c>
      <c r="H384" s="16">
        <f>IF(G384="Y",IF(ISNUMBER(SEARCH("Special",F384)),"SPECIAL DIVIDEND","NEW DIVIDEND"),IF(ISNUMBER(SEARCH("Special",F384)),"SPECIAL DIVIDEND",""))</f>
        <v/>
      </c>
    </row>
    <row r="385">
      <c r="A385" s="16">
        <f>'Rest Universe'!A386</f>
        <v/>
      </c>
      <c r="B385" s="22">
        <f>IFERROR(_xll.BDP(A385,"NAME"),"")</f>
        <v/>
      </c>
      <c r="C385" s="22">
        <f>IF(LEFT((_xll.BDP(A385,"DVD_DECLARED_DT")),4)="#N/A",NA(),(_xll.BDP(A385,"DVD_DECLARED_DT")))</f>
        <v/>
      </c>
      <c r="D385" s="22">
        <f>IF(LEFT((_xll.BDP(A385,"DVD_EX_DT")),4)="#N/A",NA(),(_xll.BDP(A385,"DVD_EX_DT")))</f>
        <v/>
      </c>
      <c r="E385" s="22">
        <f>IF(LEFT((_xll.BDP(A385,"DVD_SH_LAST")), 4) = "#N/A", NA(), (_xll.BDP(A385,"DVD_SH_LAST")))</f>
        <v/>
      </c>
      <c r="F385" s="22">
        <f>IF(LEFT((_xll.BDP(A385,"DVD_TYP_LAST")), 4) = "#N/A", NA(), (_xll.BDP(A385,"DVD_TYP_LAST")))</f>
        <v/>
      </c>
      <c r="G385" s="16">
        <f>IF(ISNUMBER(C385),IF(C385&gt;=Settings!$B$5,"Y","N"),"")</f>
        <v/>
      </c>
      <c r="H385" s="16">
        <f>IF(G385="Y",IF(ISNUMBER(SEARCH("Special",F385)),"SPECIAL DIVIDEND","NEW DIVIDEND"),IF(ISNUMBER(SEARCH("Special",F385)),"SPECIAL DIVIDEND",""))</f>
        <v/>
      </c>
    </row>
    <row r="386">
      <c r="A386" s="16">
        <f>'Rest Universe'!A387</f>
        <v/>
      </c>
      <c r="B386" s="22">
        <f>IFERROR(_xll.BDP(A386,"NAME"),"")</f>
        <v/>
      </c>
      <c r="C386" s="22">
        <f>IF(LEFT((_xll.BDP(A386,"DVD_DECLARED_DT")),4)="#N/A",NA(),(_xll.BDP(A386,"DVD_DECLARED_DT")))</f>
        <v/>
      </c>
      <c r="D386" s="22">
        <f>IF(LEFT((_xll.BDP(A386,"DVD_EX_DT")),4)="#N/A",NA(),(_xll.BDP(A386,"DVD_EX_DT")))</f>
        <v/>
      </c>
      <c r="E386" s="22">
        <f>IF(LEFT((_xll.BDP(A386,"DVD_SH_LAST")), 4) = "#N/A", NA(), (_xll.BDP(A386,"DVD_SH_LAST")))</f>
        <v/>
      </c>
      <c r="F386" s="22">
        <f>IF(LEFT((_xll.BDP(A386,"DVD_TYP_LAST")), 4) = "#N/A", NA(), (_xll.BDP(A386,"DVD_TYP_LAST")))</f>
        <v/>
      </c>
      <c r="G386" s="16">
        <f>IF(ISNUMBER(C386),IF(C386&gt;=Settings!$B$5,"Y","N"),"")</f>
        <v/>
      </c>
      <c r="H386" s="16">
        <f>IF(G386="Y",IF(ISNUMBER(SEARCH("Special",F386)),"SPECIAL DIVIDEND","NEW DIVIDEND"),IF(ISNUMBER(SEARCH("Special",F386)),"SPECIAL DIVIDEND",""))</f>
        <v/>
      </c>
    </row>
    <row r="387">
      <c r="A387" s="16">
        <f>'Rest Universe'!A388</f>
        <v/>
      </c>
      <c r="B387" s="22">
        <f>IFERROR(_xll.BDP(A387,"NAME"),"")</f>
        <v/>
      </c>
      <c r="C387" s="22">
        <f>IF(LEFT((_xll.BDP(A387,"DVD_DECLARED_DT")),4)="#N/A",NA(),(_xll.BDP(A387,"DVD_DECLARED_DT")))</f>
        <v/>
      </c>
      <c r="D387" s="22">
        <f>IF(LEFT((_xll.BDP(A387,"DVD_EX_DT")),4)="#N/A",NA(),(_xll.BDP(A387,"DVD_EX_DT")))</f>
        <v/>
      </c>
      <c r="E387" s="22">
        <f>IF(LEFT((_xll.BDP(A387,"DVD_SH_LAST")), 4) = "#N/A", NA(), (_xll.BDP(A387,"DVD_SH_LAST")))</f>
        <v/>
      </c>
      <c r="F387" s="22">
        <f>IF(LEFT((_xll.BDP(A387,"DVD_TYP_LAST")), 4) = "#N/A", NA(), (_xll.BDP(A387,"DVD_TYP_LAST")))</f>
        <v/>
      </c>
      <c r="G387" s="16">
        <f>IF(ISNUMBER(C387),IF(C387&gt;=Settings!$B$5,"Y","N"),"")</f>
        <v/>
      </c>
      <c r="H387" s="16">
        <f>IF(G387="Y",IF(ISNUMBER(SEARCH("Special",F387)),"SPECIAL DIVIDEND","NEW DIVIDEND"),IF(ISNUMBER(SEARCH("Special",F387)),"SPECIAL DIVIDEND",""))</f>
        <v/>
      </c>
    </row>
    <row r="388">
      <c r="A388" s="16">
        <f>'Rest Universe'!A389</f>
        <v/>
      </c>
      <c r="B388" s="22">
        <f>IFERROR(_xll.BDP(A388,"NAME"),"")</f>
        <v/>
      </c>
      <c r="C388" s="22">
        <f>IF(LEFT((_xll.BDP(A388,"DVD_DECLARED_DT")),4)="#N/A",NA(),(_xll.BDP(A388,"DVD_DECLARED_DT")))</f>
        <v/>
      </c>
      <c r="D388" s="22">
        <f>IF(LEFT((_xll.BDP(A388,"DVD_EX_DT")),4)="#N/A",NA(),(_xll.BDP(A388,"DVD_EX_DT")))</f>
        <v/>
      </c>
      <c r="E388" s="22">
        <f>IF(LEFT((_xll.BDP(A388,"DVD_SH_LAST")), 4) = "#N/A", NA(), (_xll.BDP(A388,"DVD_SH_LAST")))</f>
        <v/>
      </c>
      <c r="F388" s="22">
        <f>IF(LEFT((_xll.BDP(A388,"DVD_TYP_LAST")), 4) = "#N/A", NA(), (_xll.BDP(A388,"DVD_TYP_LAST")))</f>
        <v/>
      </c>
      <c r="G388" s="16">
        <f>IF(ISNUMBER(C388),IF(C388&gt;=Settings!$B$5,"Y","N"),"")</f>
        <v/>
      </c>
      <c r="H388" s="16">
        <f>IF(G388="Y",IF(ISNUMBER(SEARCH("Special",F388)),"SPECIAL DIVIDEND","NEW DIVIDEND"),IF(ISNUMBER(SEARCH("Special",F388)),"SPECIAL DIVIDEND",""))</f>
        <v/>
      </c>
    </row>
    <row r="389">
      <c r="A389" s="16">
        <f>'Rest Universe'!A390</f>
        <v/>
      </c>
      <c r="B389" s="22">
        <f>IFERROR(_xll.BDP(A389,"NAME"),"")</f>
        <v/>
      </c>
      <c r="C389" s="22">
        <f>IF(LEFT((_xll.BDP(A389,"DVD_DECLARED_DT")),4)="#N/A",NA(),(_xll.BDP(A389,"DVD_DECLARED_DT")))</f>
        <v/>
      </c>
      <c r="D389" s="22">
        <f>IF(LEFT((_xll.BDP(A389,"DVD_EX_DT")),4)="#N/A",NA(),(_xll.BDP(A389,"DVD_EX_DT")))</f>
        <v/>
      </c>
      <c r="E389" s="22">
        <f>IF(LEFT((_xll.BDP(A389,"DVD_SH_LAST")), 4) = "#N/A", NA(), (_xll.BDP(A389,"DVD_SH_LAST")))</f>
        <v/>
      </c>
      <c r="F389" s="22">
        <f>IF(LEFT((_xll.BDP(A389,"DVD_TYP_LAST")), 4) = "#N/A", NA(), (_xll.BDP(A389,"DVD_TYP_LAST")))</f>
        <v/>
      </c>
      <c r="G389" s="16">
        <f>IF(ISNUMBER(C389),IF(C389&gt;=Settings!$B$5,"Y","N"),"")</f>
        <v/>
      </c>
      <c r="H389" s="16">
        <f>IF(G389="Y",IF(ISNUMBER(SEARCH("Special",F389)),"SPECIAL DIVIDEND","NEW DIVIDEND"),IF(ISNUMBER(SEARCH("Special",F389)),"SPECIAL DIVIDEND",""))</f>
        <v/>
      </c>
    </row>
    <row r="390">
      <c r="A390" s="16">
        <f>'Rest Universe'!A391</f>
        <v/>
      </c>
      <c r="B390" s="22">
        <f>IFERROR(_xll.BDP(A390,"NAME"),"")</f>
        <v/>
      </c>
      <c r="C390" s="22">
        <f>IF(LEFT((_xll.BDP(A390,"DVD_DECLARED_DT")),4)="#N/A",NA(),(_xll.BDP(A390,"DVD_DECLARED_DT")))</f>
        <v/>
      </c>
      <c r="D390" s="22">
        <f>IF(LEFT((_xll.BDP(A390,"DVD_EX_DT")),4)="#N/A",NA(),(_xll.BDP(A390,"DVD_EX_DT")))</f>
        <v/>
      </c>
      <c r="E390" s="22">
        <f>IF(LEFT((_xll.BDP(A390,"DVD_SH_LAST")), 4) = "#N/A", NA(), (_xll.BDP(A390,"DVD_SH_LAST")))</f>
        <v/>
      </c>
      <c r="F390" s="22">
        <f>IF(LEFT((_xll.BDP(A390,"DVD_TYP_LAST")), 4) = "#N/A", NA(), (_xll.BDP(A390,"DVD_TYP_LAST")))</f>
        <v/>
      </c>
      <c r="G390" s="16">
        <f>IF(ISNUMBER(C390),IF(C390&gt;=Settings!$B$5,"Y","N"),"")</f>
        <v/>
      </c>
      <c r="H390" s="16">
        <f>IF(G390="Y",IF(ISNUMBER(SEARCH("Special",F390)),"SPECIAL DIVIDEND","NEW DIVIDEND"),IF(ISNUMBER(SEARCH("Special",F390)),"SPECIAL DIVIDEND",""))</f>
        <v/>
      </c>
    </row>
    <row r="391">
      <c r="A391" s="16">
        <f>'Rest Universe'!A392</f>
        <v/>
      </c>
      <c r="B391" s="22">
        <f>IFERROR(_xll.BDP(A391,"NAME"),"")</f>
        <v/>
      </c>
      <c r="C391" s="22">
        <f>IF(LEFT((_xll.BDP(A391,"DVD_DECLARED_DT")),4)="#N/A",NA(),(_xll.BDP(A391,"DVD_DECLARED_DT")))</f>
        <v/>
      </c>
      <c r="D391" s="22">
        <f>IF(LEFT((_xll.BDP(A391,"DVD_EX_DT")),4)="#N/A",NA(),(_xll.BDP(A391,"DVD_EX_DT")))</f>
        <v/>
      </c>
      <c r="E391" s="22">
        <f>IF(LEFT((_xll.BDP(A391,"DVD_SH_LAST")), 4) = "#N/A", NA(), (_xll.BDP(A391,"DVD_SH_LAST")))</f>
        <v/>
      </c>
      <c r="F391" s="22">
        <f>IF(LEFT((_xll.BDP(A391,"DVD_TYP_LAST")), 4) = "#N/A", NA(), (_xll.BDP(A391,"DVD_TYP_LAST")))</f>
        <v/>
      </c>
      <c r="G391" s="16">
        <f>IF(ISNUMBER(C391),IF(C391&gt;=Settings!$B$5,"Y","N"),"")</f>
        <v/>
      </c>
      <c r="H391" s="16">
        <f>IF(G391="Y",IF(ISNUMBER(SEARCH("Special",F391)),"SPECIAL DIVIDEND","NEW DIVIDEND"),IF(ISNUMBER(SEARCH("Special",F391)),"SPECIAL DIVIDEND",""))</f>
        <v/>
      </c>
    </row>
    <row r="392">
      <c r="A392" s="16">
        <f>'Rest Universe'!A393</f>
        <v/>
      </c>
      <c r="B392" s="22">
        <f>IFERROR(_xll.BDP(A392,"NAME"),"")</f>
        <v/>
      </c>
      <c r="C392" s="22">
        <f>IF(LEFT((_xll.BDP(A392,"DVD_DECLARED_DT")),4)="#N/A",NA(),(_xll.BDP(A392,"DVD_DECLARED_DT")))</f>
        <v/>
      </c>
      <c r="D392" s="22">
        <f>IF(LEFT((_xll.BDP(A392,"DVD_EX_DT")),4)="#N/A",NA(),(_xll.BDP(A392,"DVD_EX_DT")))</f>
        <v/>
      </c>
      <c r="E392" s="22">
        <f>IF(LEFT((_xll.BDP(A392,"DVD_SH_LAST")), 4) = "#N/A", NA(), (_xll.BDP(A392,"DVD_SH_LAST")))</f>
        <v/>
      </c>
      <c r="F392" s="22">
        <f>IF(LEFT((_xll.BDP(A392,"DVD_TYP_LAST")), 4) = "#N/A", NA(), (_xll.BDP(A392,"DVD_TYP_LAST")))</f>
        <v/>
      </c>
      <c r="G392" s="16">
        <f>IF(ISNUMBER(C392),IF(C392&gt;=Settings!$B$5,"Y","N"),"")</f>
        <v/>
      </c>
      <c r="H392" s="16">
        <f>IF(G392="Y",IF(ISNUMBER(SEARCH("Special",F392)),"SPECIAL DIVIDEND","NEW DIVIDEND"),IF(ISNUMBER(SEARCH("Special",F392)),"SPECIAL DIVIDEND",""))</f>
        <v/>
      </c>
    </row>
    <row r="393">
      <c r="A393" s="16">
        <f>'Rest Universe'!A394</f>
        <v/>
      </c>
      <c r="B393" s="22">
        <f>IFERROR(_xll.BDP(A393,"NAME"),"")</f>
        <v/>
      </c>
      <c r="C393" s="22">
        <f>IF(LEFT((_xll.BDP(A393,"DVD_DECLARED_DT")),4)="#N/A",NA(),(_xll.BDP(A393,"DVD_DECLARED_DT")))</f>
        <v/>
      </c>
      <c r="D393" s="22">
        <f>IF(LEFT((_xll.BDP(A393,"DVD_EX_DT")),4)="#N/A",NA(),(_xll.BDP(A393,"DVD_EX_DT")))</f>
        <v/>
      </c>
      <c r="E393" s="22">
        <f>IF(LEFT((_xll.BDP(A393,"DVD_SH_LAST")), 4) = "#N/A", NA(), (_xll.BDP(A393,"DVD_SH_LAST")))</f>
        <v/>
      </c>
      <c r="F393" s="22">
        <f>IF(LEFT((_xll.BDP(A393,"DVD_TYP_LAST")), 4) = "#N/A", NA(), (_xll.BDP(A393,"DVD_TYP_LAST")))</f>
        <v/>
      </c>
      <c r="G393" s="16">
        <f>IF(ISNUMBER(C393),IF(C393&gt;=Settings!$B$5,"Y","N"),"")</f>
        <v/>
      </c>
      <c r="H393" s="16">
        <f>IF(G393="Y",IF(ISNUMBER(SEARCH("Special",F393)),"SPECIAL DIVIDEND","NEW DIVIDEND"),IF(ISNUMBER(SEARCH("Special",F393)),"SPECIAL DIVIDEND",""))</f>
        <v/>
      </c>
    </row>
    <row r="394">
      <c r="A394" s="16">
        <f>'Rest Universe'!A395</f>
        <v/>
      </c>
      <c r="B394" s="22">
        <f>IFERROR(_xll.BDP(A394,"NAME"),"")</f>
        <v/>
      </c>
      <c r="C394" s="22">
        <f>IF(LEFT((_xll.BDP(A394,"DVD_DECLARED_DT")),4)="#N/A",NA(),(_xll.BDP(A394,"DVD_DECLARED_DT")))</f>
        <v/>
      </c>
      <c r="D394" s="22">
        <f>IF(LEFT((_xll.BDP(A394,"DVD_EX_DT")),4)="#N/A",NA(),(_xll.BDP(A394,"DVD_EX_DT")))</f>
        <v/>
      </c>
      <c r="E394" s="22">
        <f>IF(LEFT((_xll.BDP(A394,"DVD_SH_LAST")), 4) = "#N/A", NA(), (_xll.BDP(A394,"DVD_SH_LAST")))</f>
        <v/>
      </c>
      <c r="F394" s="22">
        <f>IF(LEFT((_xll.BDP(A394,"DVD_TYP_LAST")), 4) = "#N/A", NA(), (_xll.BDP(A394,"DVD_TYP_LAST")))</f>
        <v/>
      </c>
      <c r="G394" s="16">
        <f>IF(ISNUMBER(C394),IF(C394&gt;=Settings!$B$5,"Y","N"),"")</f>
        <v/>
      </c>
      <c r="H394" s="16">
        <f>IF(G394="Y",IF(ISNUMBER(SEARCH("Special",F394)),"SPECIAL DIVIDEND","NEW DIVIDEND"),IF(ISNUMBER(SEARCH("Special",F394)),"SPECIAL DIVIDEND",""))</f>
        <v/>
      </c>
    </row>
    <row r="395">
      <c r="A395" s="16">
        <f>'Rest Universe'!A396</f>
        <v/>
      </c>
      <c r="B395" s="22">
        <f>IFERROR(_xll.BDP(A395,"NAME"),"")</f>
        <v/>
      </c>
      <c r="C395" s="22">
        <f>IF(LEFT((_xll.BDP(A395,"DVD_DECLARED_DT")),4)="#N/A",NA(),(_xll.BDP(A395,"DVD_DECLARED_DT")))</f>
        <v/>
      </c>
      <c r="D395" s="22">
        <f>IF(LEFT((_xll.BDP(A395,"DVD_EX_DT")),4)="#N/A",NA(),(_xll.BDP(A395,"DVD_EX_DT")))</f>
        <v/>
      </c>
      <c r="E395" s="22">
        <f>IF(LEFT((_xll.BDP(A395,"DVD_SH_LAST")), 4) = "#N/A", NA(), (_xll.BDP(A395,"DVD_SH_LAST")))</f>
        <v/>
      </c>
      <c r="F395" s="22">
        <f>IF(LEFT((_xll.BDP(A395,"DVD_TYP_LAST")), 4) = "#N/A", NA(), (_xll.BDP(A395,"DVD_TYP_LAST")))</f>
        <v/>
      </c>
      <c r="G395" s="16">
        <f>IF(ISNUMBER(C395),IF(C395&gt;=Settings!$B$5,"Y","N"),"")</f>
        <v/>
      </c>
      <c r="H395" s="16">
        <f>IF(G395="Y",IF(ISNUMBER(SEARCH("Special",F395)),"SPECIAL DIVIDEND","NEW DIVIDEND"),IF(ISNUMBER(SEARCH("Special",F395)),"SPECIAL DIVIDEND",""))</f>
        <v/>
      </c>
    </row>
    <row r="396">
      <c r="A396" s="16">
        <f>'Rest Universe'!A397</f>
        <v/>
      </c>
      <c r="B396" s="22">
        <f>IFERROR(_xll.BDP(A396,"NAME"),"")</f>
        <v/>
      </c>
      <c r="C396" s="22">
        <f>IF(LEFT((_xll.BDP(A396,"DVD_DECLARED_DT")),4)="#N/A",NA(),(_xll.BDP(A396,"DVD_DECLARED_DT")))</f>
        <v/>
      </c>
      <c r="D396" s="22">
        <f>IF(LEFT((_xll.BDP(A396,"DVD_EX_DT")),4)="#N/A",NA(),(_xll.BDP(A396,"DVD_EX_DT")))</f>
        <v/>
      </c>
      <c r="E396" s="22">
        <f>IF(LEFT((_xll.BDP(A396,"DVD_SH_LAST")), 4) = "#N/A", NA(), (_xll.BDP(A396,"DVD_SH_LAST")))</f>
        <v/>
      </c>
      <c r="F396" s="22">
        <f>IF(LEFT((_xll.BDP(A396,"DVD_TYP_LAST")), 4) = "#N/A", NA(), (_xll.BDP(A396,"DVD_TYP_LAST")))</f>
        <v/>
      </c>
      <c r="G396" s="16">
        <f>IF(ISNUMBER(C396),IF(C396&gt;=Settings!$B$5,"Y","N"),"")</f>
        <v/>
      </c>
      <c r="H396" s="16">
        <f>IF(G396="Y",IF(ISNUMBER(SEARCH("Special",F396)),"SPECIAL DIVIDEND","NEW DIVIDEND"),IF(ISNUMBER(SEARCH("Special",F396)),"SPECIAL DIVIDEND",""))</f>
        <v/>
      </c>
    </row>
    <row r="397">
      <c r="A397" s="16">
        <f>'Rest Universe'!A398</f>
        <v/>
      </c>
      <c r="B397" s="22">
        <f>IFERROR(_xll.BDP(A397,"NAME"),"")</f>
        <v/>
      </c>
      <c r="C397" s="22">
        <f>IF(LEFT((_xll.BDP(A397,"DVD_DECLARED_DT")),4)="#N/A",NA(),(_xll.BDP(A397,"DVD_DECLARED_DT")))</f>
        <v/>
      </c>
      <c r="D397" s="22">
        <f>IF(LEFT((_xll.BDP(A397,"DVD_EX_DT")),4)="#N/A",NA(),(_xll.BDP(A397,"DVD_EX_DT")))</f>
        <v/>
      </c>
      <c r="E397" s="22">
        <f>IF(LEFT((_xll.BDP(A397,"DVD_SH_LAST")), 4) = "#N/A", NA(), (_xll.BDP(A397,"DVD_SH_LAST")))</f>
        <v/>
      </c>
      <c r="F397" s="22">
        <f>IF(LEFT((_xll.BDP(A397,"DVD_TYP_LAST")), 4) = "#N/A", NA(), (_xll.BDP(A397,"DVD_TYP_LAST")))</f>
        <v/>
      </c>
      <c r="G397" s="16">
        <f>IF(ISNUMBER(C397),IF(C397&gt;=Settings!$B$5,"Y","N"),"")</f>
        <v/>
      </c>
      <c r="H397" s="16">
        <f>IF(G397="Y",IF(ISNUMBER(SEARCH("Special",F397)),"SPECIAL DIVIDEND","NEW DIVIDEND"),IF(ISNUMBER(SEARCH("Special",F397)),"SPECIAL DIVIDEND",""))</f>
        <v/>
      </c>
    </row>
    <row r="398">
      <c r="A398" s="16">
        <f>'Rest Universe'!A399</f>
        <v/>
      </c>
      <c r="B398" s="22">
        <f>IFERROR(_xll.BDP(A398,"NAME"),"")</f>
        <v/>
      </c>
      <c r="C398" s="22">
        <f>IF(LEFT((_xll.BDP(A398,"DVD_DECLARED_DT")),4)="#N/A",NA(),(_xll.BDP(A398,"DVD_DECLARED_DT")))</f>
        <v/>
      </c>
      <c r="D398" s="22">
        <f>IF(LEFT((_xll.BDP(A398,"DVD_EX_DT")),4)="#N/A",NA(),(_xll.BDP(A398,"DVD_EX_DT")))</f>
        <v/>
      </c>
      <c r="E398" s="22">
        <f>IF(LEFT((_xll.BDP(A398,"DVD_SH_LAST")), 4) = "#N/A", NA(), (_xll.BDP(A398,"DVD_SH_LAST")))</f>
        <v/>
      </c>
      <c r="F398" s="22">
        <f>IF(LEFT((_xll.BDP(A398,"DVD_TYP_LAST")), 4) = "#N/A", NA(), (_xll.BDP(A398,"DVD_TYP_LAST")))</f>
        <v/>
      </c>
      <c r="G398" s="16">
        <f>IF(ISNUMBER(C398),IF(C398&gt;=Settings!$B$5,"Y","N"),"")</f>
        <v/>
      </c>
      <c r="H398" s="16">
        <f>IF(G398="Y",IF(ISNUMBER(SEARCH("Special",F398)),"SPECIAL DIVIDEND","NEW DIVIDEND"),IF(ISNUMBER(SEARCH("Special",F398)),"SPECIAL DIVIDEND",""))</f>
        <v/>
      </c>
    </row>
    <row r="399">
      <c r="A399" s="16">
        <f>'Rest Universe'!A400</f>
        <v/>
      </c>
      <c r="B399" s="22">
        <f>IFERROR(_xll.BDP(A399,"NAME"),"")</f>
        <v/>
      </c>
      <c r="C399" s="22">
        <f>IF(LEFT((_xll.BDP(A399,"DVD_DECLARED_DT")),4)="#N/A",NA(),(_xll.BDP(A399,"DVD_DECLARED_DT")))</f>
        <v/>
      </c>
      <c r="D399" s="22">
        <f>IF(LEFT((_xll.BDP(A399,"DVD_EX_DT")),4)="#N/A",NA(),(_xll.BDP(A399,"DVD_EX_DT")))</f>
        <v/>
      </c>
      <c r="E399" s="22">
        <f>IF(LEFT((_xll.BDP(A399,"DVD_SH_LAST")), 4) = "#N/A", NA(), (_xll.BDP(A399,"DVD_SH_LAST")))</f>
        <v/>
      </c>
      <c r="F399" s="22">
        <f>IF(LEFT((_xll.BDP(A399,"DVD_TYP_LAST")), 4) = "#N/A", NA(), (_xll.BDP(A399,"DVD_TYP_LAST")))</f>
        <v/>
      </c>
      <c r="G399" s="16">
        <f>IF(ISNUMBER(C399),IF(C399&gt;=Settings!$B$5,"Y","N"),"")</f>
        <v/>
      </c>
      <c r="H399" s="16">
        <f>IF(G399="Y",IF(ISNUMBER(SEARCH("Special",F399)),"SPECIAL DIVIDEND","NEW DIVIDEND"),IF(ISNUMBER(SEARCH("Special",F399)),"SPECIAL DIVIDEND",""))</f>
        <v/>
      </c>
    </row>
    <row r="400">
      <c r="A400" s="16">
        <f>'Rest Universe'!A401</f>
        <v/>
      </c>
      <c r="B400" s="22">
        <f>IFERROR(_xll.BDP(A400,"NAME"),"")</f>
        <v/>
      </c>
      <c r="C400" s="22">
        <f>IF(LEFT((_xll.BDP(A400,"DVD_DECLARED_DT")),4)="#N/A",NA(),(_xll.BDP(A400,"DVD_DECLARED_DT")))</f>
        <v/>
      </c>
      <c r="D400" s="22">
        <f>IF(LEFT((_xll.BDP(A400,"DVD_EX_DT")),4)="#N/A",NA(),(_xll.BDP(A400,"DVD_EX_DT")))</f>
        <v/>
      </c>
      <c r="E400" s="22">
        <f>IF(LEFT((_xll.BDP(A400,"DVD_SH_LAST")), 4) = "#N/A", NA(), (_xll.BDP(A400,"DVD_SH_LAST")))</f>
        <v/>
      </c>
      <c r="F400" s="22">
        <f>IF(LEFT((_xll.BDP(A400,"DVD_TYP_LAST")), 4) = "#N/A", NA(), (_xll.BDP(A400,"DVD_TYP_LAST")))</f>
        <v/>
      </c>
      <c r="G400" s="16">
        <f>IF(ISNUMBER(C400),IF(C400&gt;=Settings!$B$5,"Y","N"),"")</f>
        <v/>
      </c>
      <c r="H400" s="16">
        <f>IF(G400="Y",IF(ISNUMBER(SEARCH("Special",F400)),"SPECIAL DIVIDEND","NEW DIVIDEND"),IF(ISNUMBER(SEARCH("Special",F400)),"SPECIAL DIVIDEND",""))</f>
        <v/>
      </c>
    </row>
    <row r="401">
      <c r="A401" s="16">
        <f>'Rest Universe'!A402</f>
        <v/>
      </c>
      <c r="B401" s="22">
        <f>IFERROR(_xll.BDP(A401,"NAME"),"")</f>
        <v/>
      </c>
      <c r="C401" s="22">
        <f>IF(LEFT((_xll.BDP(A401,"DVD_DECLARED_DT")),4)="#N/A",NA(),(_xll.BDP(A401,"DVD_DECLARED_DT")))</f>
        <v/>
      </c>
      <c r="D401" s="22">
        <f>IF(LEFT((_xll.BDP(A401,"DVD_EX_DT")),4)="#N/A",NA(),(_xll.BDP(A401,"DVD_EX_DT")))</f>
        <v/>
      </c>
      <c r="E401" s="22">
        <f>IF(LEFT((_xll.BDP(A401,"DVD_SH_LAST")), 4) = "#N/A", NA(), (_xll.BDP(A401,"DVD_SH_LAST")))</f>
        <v/>
      </c>
      <c r="F401" s="22">
        <f>IF(LEFT((_xll.BDP(A401,"DVD_TYP_LAST")), 4) = "#N/A", NA(), (_xll.BDP(A401,"DVD_TYP_LAST")))</f>
        <v/>
      </c>
      <c r="G401" s="16">
        <f>IF(ISNUMBER(C401),IF(C401&gt;=Settings!$B$5,"Y","N"),"")</f>
        <v/>
      </c>
      <c r="H401" s="16">
        <f>IF(G401="Y",IF(ISNUMBER(SEARCH("Special",F401)),"SPECIAL DIVIDEND","NEW DIVIDEND"),IF(ISNUMBER(SEARCH("Special",F401)),"SPECIAL DIVIDEND",""))</f>
        <v/>
      </c>
    </row>
    <row r="402">
      <c r="A402" s="16">
        <f>'Rest Universe'!A403</f>
        <v/>
      </c>
      <c r="B402" s="22">
        <f>IFERROR(_xll.BDP(A402,"NAME"),"")</f>
        <v/>
      </c>
      <c r="C402" s="22">
        <f>IF(LEFT((_xll.BDP(A402,"DVD_DECLARED_DT")),4)="#N/A",NA(),(_xll.BDP(A402,"DVD_DECLARED_DT")))</f>
        <v/>
      </c>
      <c r="D402" s="22">
        <f>IF(LEFT((_xll.BDP(A402,"DVD_EX_DT")),4)="#N/A",NA(),(_xll.BDP(A402,"DVD_EX_DT")))</f>
        <v/>
      </c>
      <c r="E402" s="22">
        <f>IF(LEFT((_xll.BDP(A402,"DVD_SH_LAST")), 4) = "#N/A", NA(), (_xll.BDP(A402,"DVD_SH_LAST")))</f>
        <v/>
      </c>
      <c r="F402" s="22">
        <f>IF(LEFT((_xll.BDP(A402,"DVD_TYP_LAST")), 4) = "#N/A", NA(), (_xll.BDP(A402,"DVD_TYP_LAST")))</f>
        <v/>
      </c>
      <c r="G402" s="16">
        <f>IF(ISNUMBER(C402),IF(C402&gt;=Settings!$B$5,"Y","N"),"")</f>
        <v/>
      </c>
      <c r="H402" s="16">
        <f>IF(G402="Y",IF(ISNUMBER(SEARCH("Special",F402)),"SPECIAL DIVIDEND","NEW DIVIDEND"),IF(ISNUMBER(SEARCH("Special",F402)),"SPECIAL DIVIDEND",""))</f>
        <v/>
      </c>
    </row>
    <row r="403">
      <c r="A403" s="16">
        <f>'Rest Universe'!A404</f>
        <v/>
      </c>
      <c r="B403" s="22">
        <f>IFERROR(_xll.BDP(A403,"NAME"),"")</f>
        <v/>
      </c>
      <c r="C403" s="22">
        <f>IF(LEFT((_xll.BDP(A403,"DVD_DECLARED_DT")),4)="#N/A",NA(),(_xll.BDP(A403,"DVD_DECLARED_DT")))</f>
        <v/>
      </c>
      <c r="D403" s="22">
        <f>IF(LEFT((_xll.BDP(A403,"DVD_EX_DT")),4)="#N/A",NA(),(_xll.BDP(A403,"DVD_EX_DT")))</f>
        <v/>
      </c>
      <c r="E403" s="22">
        <f>IF(LEFT((_xll.BDP(A403,"DVD_SH_LAST")), 4) = "#N/A", NA(), (_xll.BDP(A403,"DVD_SH_LAST")))</f>
        <v/>
      </c>
      <c r="F403" s="22">
        <f>IF(LEFT((_xll.BDP(A403,"DVD_TYP_LAST")), 4) = "#N/A", NA(), (_xll.BDP(A403,"DVD_TYP_LAST")))</f>
        <v/>
      </c>
      <c r="G403" s="16">
        <f>IF(ISNUMBER(C403),IF(C403&gt;=Settings!$B$5,"Y","N"),"")</f>
        <v/>
      </c>
      <c r="H403" s="16">
        <f>IF(G403="Y",IF(ISNUMBER(SEARCH("Special",F403)),"SPECIAL DIVIDEND","NEW DIVIDEND"),IF(ISNUMBER(SEARCH("Special",F403)),"SPECIAL DIVIDEND",""))</f>
        <v/>
      </c>
    </row>
    <row r="404">
      <c r="A404" s="16">
        <f>'Rest Universe'!A405</f>
        <v/>
      </c>
      <c r="B404" s="22">
        <f>IFERROR(_xll.BDP(A404,"NAME"),"")</f>
        <v/>
      </c>
      <c r="C404" s="22">
        <f>IF(LEFT((_xll.BDP(A404,"DVD_DECLARED_DT")),4)="#N/A",NA(),(_xll.BDP(A404,"DVD_DECLARED_DT")))</f>
        <v/>
      </c>
      <c r="D404" s="22">
        <f>IF(LEFT((_xll.BDP(A404,"DVD_EX_DT")),4)="#N/A",NA(),(_xll.BDP(A404,"DVD_EX_DT")))</f>
        <v/>
      </c>
      <c r="E404" s="22">
        <f>IF(LEFT((_xll.BDP(A404,"DVD_SH_LAST")), 4) = "#N/A", NA(), (_xll.BDP(A404,"DVD_SH_LAST")))</f>
        <v/>
      </c>
      <c r="F404" s="22">
        <f>IF(LEFT((_xll.BDP(A404,"DVD_TYP_LAST")), 4) = "#N/A", NA(), (_xll.BDP(A404,"DVD_TYP_LAST")))</f>
        <v/>
      </c>
      <c r="G404" s="16">
        <f>IF(ISNUMBER(C404),IF(C404&gt;=Settings!$B$5,"Y","N"),"")</f>
        <v/>
      </c>
      <c r="H404" s="16">
        <f>IF(G404="Y",IF(ISNUMBER(SEARCH("Special",F404)),"SPECIAL DIVIDEND","NEW DIVIDEND"),IF(ISNUMBER(SEARCH("Special",F404)),"SPECIAL DIVIDEND",""))</f>
        <v/>
      </c>
    </row>
    <row r="405">
      <c r="A405" s="16">
        <f>'Rest Universe'!A406</f>
        <v/>
      </c>
      <c r="B405" s="22">
        <f>IFERROR(_xll.BDP(A405,"NAME"),"")</f>
        <v/>
      </c>
      <c r="C405" s="22">
        <f>IF(LEFT((_xll.BDP(A405,"DVD_DECLARED_DT")),4)="#N/A",NA(),(_xll.BDP(A405,"DVD_DECLARED_DT")))</f>
        <v/>
      </c>
      <c r="D405" s="22">
        <f>IF(LEFT((_xll.BDP(A405,"DVD_EX_DT")),4)="#N/A",NA(),(_xll.BDP(A405,"DVD_EX_DT")))</f>
        <v/>
      </c>
      <c r="E405" s="22">
        <f>IF(LEFT((_xll.BDP(A405,"DVD_SH_LAST")), 4) = "#N/A", NA(), (_xll.BDP(A405,"DVD_SH_LAST")))</f>
        <v/>
      </c>
      <c r="F405" s="22">
        <f>IF(LEFT((_xll.BDP(A405,"DVD_TYP_LAST")), 4) = "#N/A", NA(), (_xll.BDP(A405,"DVD_TYP_LAST")))</f>
        <v/>
      </c>
      <c r="G405" s="16">
        <f>IF(ISNUMBER(C405),IF(C405&gt;=Settings!$B$5,"Y","N"),"")</f>
        <v/>
      </c>
      <c r="H405" s="16">
        <f>IF(G405="Y",IF(ISNUMBER(SEARCH("Special",F405)),"SPECIAL DIVIDEND","NEW DIVIDEND"),IF(ISNUMBER(SEARCH("Special",F405)),"SPECIAL DIVIDEND",""))</f>
        <v/>
      </c>
    </row>
    <row r="406">
      <c r="A406" s="16">
        <f>'Rest Universe'!A407</f>
        <v/>
      </c>
      <c r="B406" s="22">
        <f>IFERROR(_xll.BDP(A406,"NAME"),"")</f>
        <v/>
      </c>
      <c r="C406" s="22">
        <f>IF(LEFT((_xll.BDP(A406,"DVD_DECLARED_DT")),4)="#N/A",NA(),(_xll.BDP(A406,"DVD_DECLARED_DT")))</f>
        <v/>
      </c>
      <c r="D406" s="22">
        <f>IF(LEFT((_xll.BDP(A406,"DVD_EX_DT")),4)="#N/A",NA(),(_xll.BDP(A406,"DVD_EX_DT")))</f>
        <v/>
      </c>
      <c r="E406" s="22">
        <f>IF(LEFT((_xll.BDP(A406,"DVD_SH_LAST")), 4) = "#N/A", NA(), (_xll.BDP(A406,"DVD_SH_LAST")))</f>
        <v/>
      </c>
      <c r="F406" s="22">
        <f>IF(LEFT((_xll.BDP(A406,"DVD_TYP_LAST")), 4) = "#N/A", NA(), (_xll.BDP(A406,"DVD_TYP_LAST")))</f>
        <v/>
      </c>
      <c r="G406" s="16">
        <f>IF(ISNUMBER(C406),IF(C406&gt;=Settings!$B$5,"Y","N"),"")</f>
        <v/>
      </c>
      <c r="H406" s="16">
        <f>IF(G406="Y",IF(ISNUMBER(SEARCH("Special",F406)),"SPECIAL DIVIDEND","NEW DIVIDEND"),IF(ISNUMBER(SEARCH("Special",F406)),"SPECIAL DIVIDEND",""))</f>
        <v/>
      </c>
    </row>
    <row r="407">
      <c r="A407" s="16">
        <f>'Rest Universe'!A408</f>
        <v/>
      </c>
      <c r="B407" s="22">
        <f>IFERROR(_xll.BDP(A407,"NAME"),"")</f>
        <v/>
      </c>
      <c r="C407" s="22">
        <f>IF(LEFT((_xll.BDP(A407,"DVD_DECLARED_DT")),4)="#N/A",NA(),(_xll.BDP(A407,"DVD_DECLARED_DT")))</f>
        <v/>
      </c>
      <c r="D407" s="22">
        <f>IF(LEFT((_xll.BDP(A407,"DVD_EX_DT")),4)="#N/A",NA(),(_xll.BDP(A407,"DVD_EX_DT")))</f>
        <v/>
      </c>
      <c r="E407" s="22">
        <f>IF(LEFT((_xll.BDP(A407,"DVD_SH_LAST")), 4) = "#N/A", NA(), (_xll.BDP(A407,"DVD_SH_LAST")))</f>
        <v/>
      </c>
      <c r="F407" s="22">
        <f>IF(LEFT((_xll.BDP(A407,"DVD_TYP_LAST")), 4) = "#N/A", NA(), (_xll.BDP(A407,"DVD_TYP_LAST")))</f>
        <v/>
      </c>
      <c r="G407" s="16">
        <f>IF(ISNUMBER(C407),IF(C407&gt;=Settings!$B$5,"Y","N"),"")</f>
        <v/>
      </c>
      <c r="H407" s="16">
        <f>IF(G407="Y",IF(ISNUMBER(SEARCH("Special",F407)),"SPECIAL DIVIDEND","NEW DIVIDEND"),IF(ISNUMBER(SEARCH("Special",F407)),"SPECIAL DIVIDEND",""))</f>
        <v/>
      </c>
    </row>
    <row r="408">
      <c r="A408" s="16">
        <f>'Rest Universe'!A409</f>
        <v/>
      </c>
      <c r="B408" s="22">
        <f>IFERROR(_xll.BDP(A408,"NAME"),"")</f>
        <v/>
      </c>
      <c r="C408" s="22">
        <f>IF(LEFT((_xll.BDP(A408,"DVD_DECLARED_DT")),4)="#N/A",NA(),(_xll.BDP(A408,"DVD_DECLARED_DT")))</f>
        <v/>
      </c>
      <c r="D408" s="22">
        <f>IF(LEFT((_xll.BDP(A408,"DVD_EX_DT")),4)="#N/A",NA(),(_xll.BDP(A408,"DVD_EX_DT")))</f>
        <v/>
      </c>
      <c r="E408" s="22">
        <f>IF(LEFT((_xll.BDP(A408,"DVD_SH_LAST")), 4) = "#N/A", NA(), (_xll.BDP(A408,"DVD_SH_LAST")))</f>
        <v/>
      </c>
      <c r="F408" s="22">
        <f>IF(LEFT((_xll.BDP(A408,"DVD_TYP_LAST")), 4) = "#N/A", NA(), (_xll.BDP(A408,"DVD_TYP_LAST")))</f>
        <v/>
      </c>
      <c r="G408" s="16">
        <f>IF(ISNUMBER(C408),IF(C408&gt;=Settings!$B$5,"Y","N"),"")</f>
        <v/>
      </c>
      <c r="H408" s="16">
        <f>IF(G408="Y",IF(ISNUMBER(SEARCH("Special",F408)),"SPECIAL DIVIDEND","NEW DIVIDEND"),IF(ISNUMBER(SEARCH("Special",F408)),"SPECIAL DIVIDEND",""))</f>
        <v/>
      </c>
    </row>
    <row r="409">
      <c r="A409" s="16">
        <f>'Rest Universe'!A410</f>
        <v/>
      </c>
      <c r="B409" s="22">
        <f>IFERROR(_xll.BDP(A409,"NAME"),"")</f>
        <v/>
      </c>
      <c r="C409" s="22">
        <f>IF(LEFT((_xll.BDP(A409,"DVD_DECLARED_DT")),4)="#N/A",NA(),(_xll.BDP(A409,"DVD_DECLARED_DT")))</f>
        <v/>
      </c>
      <c r="D409" s="22">
        <f>IF(LEFT((_xll.BDP(A409,"DVD_EX_DT")),4)="#N/A",NA(),(_xll.BDP(A409,"DVD_EX_DT")))</f>
        <v/>
      </c>
      <c r="E409" s="22">
        <f>IF(LEFT((_xll.BDP(A409,"DVD_SH_LAST")), 4) = "#N/A", NA(), (_xll.BDP(A409,"DVD_SH_LAST")))</f>
        <v/>
      </c>
      <c r="F409" s="22">
        <f>IF(LEFT((_xll.BDP(A409,"DVD_TYP_LAST")), 4) = "#N/A", NA(), (_xll.BDP(A409,"DVD_TYP_LAST")))</f>
        <v/>
      </c>
      <c r="G409" s="16">
        <f>IF(ISNUMBER(C409),IF(C409&gt;=Settings!$B$5,"Y","N"),"")</f>
        <v/>
      </c>
      <c r="H409" s="16">
        <f>IF(G409="Y",IF(ISNUMBER(SEARCH("Special",F409)),"SPECIAL DIVIDEND","NEW DIVIDEND"),IF(ISNUMBER(SEARCH("Special",F409)),"SPECIAL DIVIDEND",""))</f>
        <v/>
      </c>
    </row>
    <row r="410">
      <c r="A410" s="16">
        <f>'Rest Universe'!A411</f>
        <v/>
      </c>
      <c r="B410" s="22">
        <f>IFERROR(_xll.BDP(A410,"NAME"),"")</f>
        <v/>
      </c>
      <c r="C410" s="22">
        <f>IF(LEFT((_xll.BDP(A410,"DVD_DECLARED_DT")),4)="#N/A",NA(),(_xll.BDP(A410,"DVD_DECLARED_DT")))</f>
        <v/>
      </c>
      <c r="D410" s="22">
        <f>IF(LEFT((_xll.BDP(A410,"DVD_EX_DT")),4)="#N/A",NA(),(_xll.BDP(A410,"DVD_EX_DT")))</f>
        <v/>
      </c>
      <c r="E410" s="22">
        <f>IF(LEFT((_xll.BDP(A410,"DVD_SH_LAST")), 4) = "#N/A", NA(), (_xll.BDP(A410,"DVD_SH_LAST")))</f>
        <v/>
      </c>
      <c r="F410" s="22">
        <f>IF(LEFT((_xll.BDP(A410,"DVD_TYP_LAST")), 4) = "#N/A", NA(), (_xll.BDP(A410,"DVD_TYP_LAST")))</f>
        <v/>
      </c>
      <c r="G410" s="16">
        <f>IF(ISNUMBER(C410),IF(C410&gt;=Settings!$B$5,"Y","N"),"")</f>
        <v/>
      </c>
      <c r="H410" s="16">
        <f>IF(G410="Y",IF(ISNUMBER(SEARCH("Special",F410)),"SPECIAL DIVIDEND","NEW DIVIDEND"),IF(ISNUMBER(SEARCH("Special",F410)),"SPECIAL DIVIDEND",""))</f>
        <v/>
      </c>
    </row>
    <row r="411">
      <c r="A411" s="16">
        <f>'Rest Universe'!A412</f>
        <v/>
      </c>
      <c r="B411" s="22">
        <f>IFERROR(_xll.BDP(A411,"NAME"),"")</f>
        <v/>
      </c>
      <c r="C411" s="22">
        <f>IF(LEFT((_xll.BDP(A411,"DVD_DECLARED_DT")),4)="#N/A",NA(),(_xll.BDP(A411,"DVD_DECLARED_DT")))</f>
        <v/>
      </c>
      <c r="D411" s="22">
        <f>IF(LEFT((_xll.BDP(A411,"DVD_EX_DT")),4)="#N/A",NA(),(_xll.BDP(A411,"DVD_EX_DT")))</f>
        <v/>
      </c>
      <c r="E411" s="22">
        <f>IF(LEFT((_xll.BDP(A411,"DVD_SH_LAST")), 4) = "#N/A", NA(), (_xll.BDP(A411,"DVD_SH_LAST")))</f>
        <v/>
      </c>
      <c r="F411" s="22">
        <f>IF(LEFT((_xll.BDP(A411,"DVD_TYP_LAST")), 4) = "#N/A", NA(), (_xll.BDP(A411,"DVD_TYP_LAST")))</f>
        <v/>
      </c>
      <c r="G411" s="16">
        <f>IF(ISNUMBER(C411),IF(C411&gt;=Settings!$B$5,"Y","N"),"")</f>
        <v/>
      </c>
      <c r="H411" s="16">
        <f>IF(G411="Y",IF(ISNUMBER(SEARCH("Special",F411)),"SPECIAL DIVIDEND","NEW DIVIDEND"),IF(ISNUMBER(SEARCH("Special",F411)),"SPECIAL DIVIDEND",""))</f>
        <v/>
      </c>
    </row>
    <row r="412">
      <c r="A412" s="16">
        <f>'Rest Universe'!A413</f>
        <v/>
      </c>
      <c r="B412" s="22">
        <f>IFERROR(_xll.BDP(A412,"NAME"),"")</f>
        <v/>
      </c>
      <c r="C412" s="22">
        <f>IF(LEFT((_xll.BDP(A412,"DVD_DECLARED_DT")),4)="#N/A",NA(),(_xll.BDP(A412,"DVD_DECLARED_DT")))</f>
        <v/>
      </c>
      <c r="D412" s="22">
        <f>IF(LEFT((_xll.BDP(A412,"DVD_EX_DT")),4)="#N/A",NA(),(_xll.BDP(A412,"DVD_EX_DT")))</f>
        <v/>
      </c>
      <c r="E412" s="22">
        <f>IF(LEFT((_xll.BDP(A412,"DVD_SH_LAST")), 4) = "#N/A", NA(), (_xll.BDP(A412,"DVD_SH_LAST")))</f>
        <v/>
      </c>
      <c r="F412" s="22">
        <f>IF(LEFT((_xll.BDP(A412,"DVD_TYP_LAST")), 4) = "#N/A", NA(), (_xll.BDP(A412,"DVD_TYP_LAST")))</f>
        <v/>
      </c>
      <c r="G412" s="16">
        <f>IF(ISNUMBER(C412),IF(C412&gt;=Settings!$B$5,"Y","N"),"")</f>
        <v/>
      </c>
      <c r="H412" s="16">
        <f>IF(G412="Y",IF(ISNUMBER(SEARCH("Special",F412)),"SPECIAL DIVIDEND","NEW DIVIDEND"),IF(ISNUMBER(SEARCH("Special",F412)),"SPECIAL DIVIDEND",""))</f>
        <v/>
      </c>
    </row>
    <row r="413">
      <c r="A413" s="16">
        <f>'Rest Universe'!A414</f>
        <v/>
      </c>
      <c r="B413" s="22">
        <f>IFERROR(_xll.BDP(A413,"NAME"),"")</f>
        <v/>
      </c>
      <c r="C413" s="22">
        <f>IF(LEFT((_xll.BDP(A413,"DVD_DECLARED_DT")),4)="#N/A",NA(),(_xll.BDP(A413,"DVD_DECLARED_DT")))</f>
        <v/>
      </c>
      <c r="D413" s="22">
        <f>IF(LEFT((_xll.BDP(A413,"DVD_EX_DT")),4)="#N/A",NA(),(_xll.BDP(A413,"DVD_EX_DT")))</f>
        <v/>
      </c>
      <c r="E413" s="22">
        <f>IF(LEFT((_xll.BDP(A413,"DVD_SH_LAST")), 4) = "#N/A", NA(), (_xll.BDP(A413,"DVD_SH_LAST")))</f>
        <v/>
      </c>
      <c r="F413" s="22">
        <f>IF(LEFT((_xll.BDP(A413,"DVD_TYP_LAST")), 4) = "#N/A", NA(), (_xll.BDP(A413,"DVD_TYP_LAST")))</f>
        <v/>
      </c>
      <c r="G413" s="16">
        <f>IF(ISNUMBER(C413),IF(C413&gt;=Settings!$B$5,"Y","N"),"")</f>
        <v/>
      </c>
      <c r="H413" s="16">
        <f>IF(G413="Y",IF(ISNUMBER(SEARCH("Special",F413)),"SPECIAL DIVIDEND","NEW DIVIDEND"),IF(ISNUMBER(SEARCH("Special",F413)),"SPECIAL DIVIDEND",""))</f>
        <v/>
      </c>
    </row>
    <row r="414">
      <c r="A414" s="16">
        <f>'Rest Universe'!A415</f>
        <v/>
      </c>
      <c r="B414" s="22">
        <f>IFERROR(_xll.BDP(A414,"NAME"),"")</f>
        <v/>
      </c>
      <c r="C414" s="22">
        <f>IF(LEFT((_xll.BDP(A414,"DVD_DECLARED_DT")),4)="#N/A",NA(),(_xll.BDP(A414,"DVD_DECLARED_DT")))</f>
        <v/>
      </c>
      <c r="D414" s="22">
        <f>IF(LEFT((_xll.BDP(A414,"DVD_EX_DT")),4)="#N/A",NA(),(_xll.BDP(A414,"DVD_EX_DT")))</f>
        <v/>
      </c>
      <c r="E414" s="22">
        <f>IF(LEFT((_xll.BDP(A414,"DVD_SH_LAST")), 4) = "#N/A", NA(), (_xll.BDP(A414,"DVD_SH_LAST")))</f>
        <v/>
      </c>
      <c r="F414" s="22">
        <f>IF(LEFT((_xll.BDP(A414,"DVD_TYP_LAST")), 4) = "#N/A", NA(), (_xll.BDP(A414,"DVD_TYP_LAST")))</f>
        <v/>
      </c>
      <c r="G414" s="16">
        <f>IF(ISNUMBER(C414),IF(C414&gt;=Settings!$B$5,"Y","N"),"")</f>
        <v/>
      </c>
      <c r="H414" s="16">
        <f>IF(G414="Y",IF(ISNUMBER(SEARCH("Special",F414)),"SPECIAL DIVIDEND","NEW DIVIDEND"),IF(ISNUMBER(SEARCH("Special",F414)),"SPECIAL DIVIDEND",""))</f>
        <v/>
      </c>
    </row>
    <row r="415">
      <c r="A415" s="16">
        <f>'Rest Universe'!A416</f>
        <v/>
      </c>
      <c r="B415" s="22">
        <f>IFERROR(_xll.BDP(A415,"NAME"),"")</f>
        <v/>
      </c>
      <c r="C415" s="22">
        <f>IF(LEFT((_xll.BDP(A415,"DVD_DECLARED_DT")),4)="#N/A",NA(),(_xll.BDP(A415,"DVD_DECLARED_DT")))</f>
        <v/>
      </c>
      <c r="D415" s="22">
        <f>IF(LEFT((_xll.BDP(A415,"DVD_EX_DT")),4)="#N/A",NA(),(_xll.BDP(A415,"DVD_EX_DT")))</f>
        <v/>
      </c>
      <c r="E415" s="22">
        <f>IF(LEFT((_xll.BDP(A415,"DVD_SH_LAST")), 4) = "#N/A", NA(), (_xll.BDP(A415,"DVD_SH_LAST")))</f>
        <v/>
      </c>
      <c r="F415" s="22">
        <f>IF(LEFT((_xll.BDP(A415,"DVD_TYP_LAST")), 4) = "#N/A", NA(), (_xll.BDP(A415,"DVD_TYP_LAST")))</f>
        <v/>
      </c>
      <c r="G415" s="16">
        <f>IF(ISNUMBER(C415),IF(C415&gt;=Settings!$B$5,"Y","N"),"")</f>
        <v/>
      </c>
      <c r="H415" s="16">
        <f>IF(G415="Y",IF(ISNUMBER(SEARCH("Special",F415)),"SPECIAL DIVIDEND","NEW DIVIDEND"),IF(ISNUMBER(SEARCH("Special",F415)),"SPECIAL DIVIDEND",""))</f>
        <v/>
      </c>
    </row>
    <row r="416">
      <c r="A416" s="16">
        <f>'Rest Universe'!A417</f>
        <v/>
      </c>
      <c r="B416" s="22">
        <f>IFERROR(_xll.BDP(A416,"NAME"),"")</f>
        <v/>
      </c>
      <c r="C416" s="22">
        <f>IF(LEFT((_xll.BDP(A416,"DVD_DECLARED_DT")),4)="#N/A",NA(),(_xll.BDP(A416,"DVD_DECLARED_DT")))</f>
        <v/>
      </c>
      <c r="D416" s="22">
        <f>IF(LEFT((_xll.BDP(A416,"DVD_EX_DT")),4)="#N/A",NA(),(_xll.BDP(A416,"DVD_EX_DT")))</f>
        <v/>
      </c>
      <c r="E416" s="22">
        <f>IF(LEFT((_xll.BDP(A416,"DVD_SH_LAST")), 4) = "#N/A", NA(), (_xll.BDP(A416,"DVD_SH_LAST")))</f>
        <v/>
      </c>
      <c r="F416" s="22">
        <f>IF(LEFT((_xll.BDP(A416,"DVD_TYP_LAST")), 4) = "#N/A", NA(), (_xll.BDP(A416,"DVD_TYP_LAST")))</f>
        <v/>
      </c>
      <c r="G416" s="16">
        <f>IF(ISNUMBER(C416),IF(C416&gt;=Settings!$B$5,"Y","N"),"")</f>
        <v/>
      </c>
      <c r="H416" s="16">
        <f>IF(G416="Y",IF(ISNUMBER(SEARCH("Special",F416)),"SPECIAL DIVIDEND","NEW DIVIDEND"),IF(ISNUMBER(SEARCH("Special",F416)),"SPECIAL DIVIDEND",""))</f>
        <v/>
      </c>
    </row>
    <row r="417">
      <c r="A417" s="16">
        <f>'Rest Universe'!A418</f>
        <v/>
      </c>
      <c r="B417" s="22">
        <f>IFERROR(_xll.BDP(A417,"NAME"),"")</f>
        <v/>
      </c>
      <c r="C417" s="22">
        <f>IF(LEFT((_xll.BDP(A417,"DVD_DECLARED_DT")),4)="#N/A",NA(),(_xll.BDP(A417,"DVD_DECLARED_DT")))</f>
        <v/>
      </c>
      <c r="D417" s="22">
        <f>IF(LEFT((_xll.BDP(A417,"DVD_EX_DT")),4)="#N/A",NA(),(_xll.BDP(A417,"DVD_EX_DT")))</f>
        <v/>
      </c>
      <c r="E417" s="22">
        <f>IF(LEFT((_xll.BDP(A417,"DVD_SH_LAST")), 4) = "#N/A", NA(), (_xll.BDP(A417,"DVD_SH_LAST")))</f>
        <v/>
      </c>
      <c r="F417" s="22">
        <f>IF(LEFT((_xll.BDP(A417,"DVD_TYP_LAST")), 4) = "#N/A", NA(), (_xll.BDP(A417,"DVD_TYP_LAST")))</f>
        <v/>
      </c>
      <c r="G417" s="16">
        <f>IF(ISNUMBER(C417),IF(C417&gt;=Settings!$B$5,"Y","N"),"")</f>
        <v/>
      </c>
      <c r="H417" s="16">
        <f>IF(G417="Y",IF(ISNUMBER(SEARCH("Special",F417)),"SPECIAL DIVIDEND","NEW DIVIDEND"),IF(ISNUMBER(SEARCH("Special",F417)),"SPECIAL DIVIDEND",""))</f>
        <v/>
      </c>
    </row>
    <row r="418">
      <c r="A418" s="16">
        <f>'Rest Universe'!A419</f>
        <v/>
      </c>
      <c r="B418" s="22">
        <f>IFERROR(_xll.BDP(A418,"NAME"),"")</f>
        <v/>
      </c>
      <c r="C418" s="22">
        <f>IF(LEFT((_xll.BDP(A418,"DVD_DECLARED_DT")),4)="#N/A",NA(),(_xll.BDP(A418,"DVD_DECLARED_DT")))</f>
        <v/>
      </c>
      <c r="D418" s="22">
        <f>IF(LEFT((_xll.BDP(A418,"DVD_EX_DT")),4)="#N/A",NA(),(_xll.BDP(A418,"DVD_EX_DT")))</f>
        <v/>
      </c>
      <c r="E418" s="22">
        <f>IF(LEFT((_xll.BDP(A418,"DVD_SH_LAST")), 4) = "#N/A", NA(), (_xll.BDP(A418,"DVD_SH_LAST")))</f>
        <v/>
      </c>
      <c r="F418" s="22">
        <f>IF(LEFT((_xll.BDP(A418,"DVD_TYP_LAST")), 4) = "#N/A", NA(), (_xll.BDP(A418,"DVD_TYP_LAST")))</f>
        <v/>
      </c>
      <c r="G418" s="16">
        <f>IF(ISNUMBER(C418),IF(C418&gt;=Settings!$B$5,"Y","N"),"")</f>
        <v/>
      </c>
      <c r="H418" s="16">
        <f>IF(G418="Y",IF(ISNUMBER(SEARCH("Special",F418)),"SPECIAL DIVIDEND","NEW DIVIDEND"),IF(ISNUMBER(SEARCH("Special",F418)),"SPECIAL DIVIDEND",""))</f>
        <v/>
      </c>
    </row>
    <row r="419">
      <c r="A419" s="16">
        <f>'Rest Universe'!A420</f>
        <v/>
      </c>
      <c r="B419" s="22">
        <f>IFERROR(_xll.BDP(A419,"NAME"),"")</f>
        <v/>
      </c>
      <c r="C419" s="22">
        <f>IF(LEFT((_xll.BDP(A419,"DVD_DECLARED_DT")),4)="#N/A",NA(),(_xll.BDP(A419,"DVD_DECLARED_DT")))</f>
        <v/>
      </c>
      <c r="D419" s="22">
        <f>IF(LEFT((_xll.BDP(A419,"DVD_EX_DT")),4)="#N/A",NA(),(_xll.BDP(A419,"DVD_EX_DT")))</f>
        <v/>
      </c>
      <c r="E419" s="22">
        <f>IF(LEFT((_xll.BDP(A419,"DVD_SH_LAST")), 4) = "#N/A", NA(), (_xll.BDP(A419,"DVD_SH_LAST")))</f>
        <v/>
      </c>
      <c r="F419" s="22">
        <f>IF(LEFT((_xll.BDP(A419,"DVD_TYP_LAST")), 4) = "#N/A", NA(), (_xll.BDP(A419,"DVD_TYP_LAST")))</f>
        <v/>
      </c>
      <c r="G419" s="16">
        <f>IF(ISNUMBER(C419),IF(C419&gt;=Settings!$B$5,"Y","N"),"")</f>
        <v/>
      </c>
      <c r="H419" s="16">
        <f>IF(G419="Y",IF(ISNUMBER(SEARCH("Special",F419)),"SPECIAL DIVIDEND","NEW DIVIDEND"),IF(ISNUMBER(SEARCH("Special",F419)),"SPECIAL DIVIDEND",""))</f>
        <v/>
      </c>
    </row>
    <row r="420">
      <c r="A420" s="16">
        <f>'Rest Universe'!A421</f>
        <v/>
      </c>
      <c r="B420" s="22">
        <f>IFERROR(_xll.BDP(A420,"NAME"),"")</f>
        <v/>
      </c>
      <c r="C420" s="22">
        <f>IF(LEFT((_xll.BDP(A420,"DVD_DECLARED_DT")),4)="#N/A",NA(),(_xll.BDP(A420,"DVD_DECLARED_DT")))</f>
        <v/>
      </c>
      <c r="D420" s="22">
        <f>IF(LEFT((_xll.BDP(A420,"DVD_EX_DT")),4)="#N/A",NA(),(_xll.BDP(A420,"DVD_EX_DT")))</f>
        <v/>
      </c>
      <c r="E420" s="22">
        <f>IF(LEFT((_xll.BDP(A420,"DVD_SH_LAST")), 4) = "#N/A", NA(), (_xll.BDP(A420,"DVD_SH_LAST")))</f>
        <v/>
      </c>
      <c r="F420" s="22">
        <f>IF(LEFT((_xll.BDP(A420,"DVD_TYP_LAST")), 4) = "#N/A", NA(), (_xll.BDP(A420,"DVD_TYP_LAST")))</f>
        <v/>
      </c>
      <c r="G420" s="16">
        <f>IF(ISNUMBER(C420),IF(C420&gt;=Settings!$B$5,"Y","N"),"")</f>
        <v/>
      </c>
      <c r="H420" s="16">
        <f>IF(G420="Y",IF(ISNUMBER(SEARCH("Special",F420)),"SPECIAL DIVIDEND","NEW DIVIDEND"),IF(ISNUMBER(SEARCH("Special",F420)),"SPECIAL DIVIDEND",""))</f>
        <v/>
      </c>
    </row>
    <row r="421">
      <c r="A421" s="16">
        <f>'Rest Universe'!A422</f>
        <v/>
      </c>
      <c r="B421" s="22">
        <f>IFERROR(_xll.BDP(A421,"NAME"),"")</f>
        <v/>
      </c>
      <c r="C421" s="22">
        <f>IF(LEFT((_xll.BDP(A421,"DVD_DECLARED_DT")),4)="#N/A",NA(),(_xll.BDP(A421,"DVD_DECLARED_DT")))</f>
        <v/>
      </c>
      <c r="D421" s="22">
        <f>IF(LEFT((_xll.BDP(A421,"DVD_EX_DT")),4)="#N/A",NA(),(_xll.BDP(A421,"DVD_EX_DT")))</f>
        <v/>
      </c>
      <c r="E421" s="22">
        <f>IF(LEFT((_xll.BDP(A421,"DVD_SH_LAST")), 4) = "#N/A", NA(), (_xll.BDP(A421,"DVD_SH_LAST")))</f>
        <v/>
      </c>
      <c r="F421" s="22">
        <f>IF(LEFT((_xll.BDP(A421,"DVD_TYP_LAST")), 4) = "#N/A", NA(), (_xll.BDP(A421,"DVD_TYP_LAST")))</f>
        <v/>
      </c>
      <c r="G421" s="16">
        <f>IF(ISNUMBER(C421),IF(C421&gt;=Settings!$B$5,"Y","N"),"")</f>
        <v/>
      </c>
      <c r="H421" s="16">
        <f>IF(G421="Y",IF(ISNUMBER(SEARCH("Special",F421)),"SPECIAL DIVIDEND","NEW DIVIDEND"),IF(ISNUMBER(SEARCH("Special",F421)),"SPECIAL DIVIDEND",""))</f>
        <v/>
      </c>
    </row>
    <row r="422">
      <c r="A422" s="16">
        <f>'Rest Universe'!A423</f>
        <v/>
      </c>
      <c r="B422" s="22">
        <f>IFERROR(_xll.BDP(A422,"NAME"),"")</f>
        <v/>
      </c>
      <c r="C422" s="22">
        <f>IF(LEFT((_xll.BDP(A422,"DVD_DECLARED_DT")),4)="#N/A",NA(),(_xll.BDP(A422,"DVD_DECLARED_DT")))</f>
        <v/>
      </c>
      <c r="D422" s="22">
        <f>IF(LEFT((_xll.BDP(A422,"DVD_EX_DT")),4)="#N/A",NA(),(_xll.BDP(A422,"DVD_EX_DT")))</f>
        <v/>
      </c>
      <c r="E422" s="22">
        <f>IF(LEFT((_xll.BDP(A422,"DVD_SH_LAST")), 4) = "#N/A", NA(), (_xll.BDP(A422,"DVD_SH_LAST")))</f>
        <v/>
      </c>
      <c r="F422" s="22">
        <f>IF(LEFT((_xll.BDP(A422,"DVD_TYP_LAST")), 4) = "#N/A", NA(), (_xll.BDP(A422,"DVD_TYP_LAST")))</f>
        <v/>
      </c>
      <c r="G422" s="16">
        <f>IF(ISNUMBER(C422),IF(C422&gt;=Settings!$B$5,"Y","N"),"")</f>
        <v/>
      </c>
      <c r="H422" s="16">
        <f>IF(G422="Y",IF(ISNUMBER(SEARCH("Special",F422)),"SPECIAL DIVIDEND","NEW DIVIDEND"),IF(ISNUMBER(SEARCH("Special",F422)),"SPECIAL DIVIDEND",""))</f>
        <v/>
      </c>
    </row>
    <row r="423">
      <c r="A423" s="16">
        <f>'Rest Universe'!A424</f>
        <v/>
      </c>
      <c r="B423" s="22">
        <f>IFERROR(_xll.BDP(A423,"NAME"),"")</f>
        <v/>
      </c>
      <c r="C423" s="22">
        <f>IF(LEFT((_xll.BDP(A423,"DVD_DECLARED_DT")),4)="#N/A",NA(),(_xll.BDP(A423,"DVD_DECLARED_DT")))</f>
        <v/>
      </c>
      <c r="D423" s="22">
        <f>IF(LEFT((_xll.BDP(A423,"DVD_EX_DT")),4)="#N/A",NA(),(_xll.BDP(A423,"DVD_EX_DT")))</f>
        <v/>
      </c>
      <c r="E423" s="22">
        <f>IF(LEFT((_xll.BDP(A423,"DVD_SH_LAST")), 4) = "#N/A", NA(), (_xll.BDP(A423,"DVD_SH_LAST")))</f>
        <v/>
      </c>
      <c r="F423" s="22">
        <f>IF(LEFT((_xll.BDP(A423,"DVD_TYP_LAST")), 4) = "#N/A", NA(), (_xll.BDP(A423,"DVD_TYP_LAST")))</f>
        <v/>
      </c>
      <c r="G423" s="16">
        <f>IF(ISNUMBER(C423),IF(C423&gt;=Settings!$B$5,"Y","N"),"")</f>
        <v/>
      </c>
      <c r="H423" s="16">
        <f>IF(G423="Y",IF(ISNUMBER(SEARCH("Special",F423)),"SPECIAL DIVIDEND","NEW DIVIDEND"),IF(ISNUMBER(SEARCH("Special",F423)),"SPECIAL DIVIDEND",""))</f>
        <v/>
      </c>
    </row>
    <row r="424">
      <c r="A424" s="16">
        <f>'Rest Universe'!A425</f>
        <v/>
      </c>
      <c r="B424" s="22">
        <f>IFERROR(_xll.BDP(A424,"NAME"),"")</f>
        <v/>
      </c>
      <c r="C424" s="22">
        <f>IF(LEFT((_xll.BDP(A424,"DVD_DECLARED_DT")),4)="#N/A",NA(),(_xll.BDP(A424,"DVD_DECLARED_DT")))</f>
        <v/>
      </c>
      <c r="D424" s="22">
        <f>IF(LEFT((_xll.BDP(A424,"DVD_EX_DT")),4)="#N/A",NA(),(_xll.BDP(A424,"DVD_EX_DT")))</f>
        <v/>
      </c>
      <c r="E424" s="22">
        <f>IF(LEFT((_xll.BDP(A424,"DVD_SH_LAST")), 4) = "#N/A", NA(), (_xll.BDP(A424,"DVD_SH_LAST")))</f>
        <v/>
      </c>
      <c r="F424" s="22">
        <f>IF(LEFT((_xll.BDP(A424,"DVD_TYP_LAST")), 4) = "#N/A", NA(), (_xll.BDP(A424,"DVD_TYP_LAST")))</f>
        <v/>
      </c>
      <c r="G424" s="16">
        <f>IF(ISNUMBER(C424),IF(C424&gt;=Settings!$B$5,"Y","N"),"")</f>
        <v/>
      </c>
      <c r="H424" s="16">
        <f>IF(G424="Y",IF(ISNUMBER(SEARCH("Special",F424)),"SPECIAL DIVIDEND","NEW DIVIDEND"),IF(ISNUMBER(SEARCH("Special",F424)),"SPECIAL DIVIDEND",""))</f>
        <v/>
      </c>
    </row>
    <row r="425">
      <c r="A425" s="16">
        <f>'Rest Universe'!A426</f>
        <v/>
      </c>
      <c r="B425" s="22">
        <f>IFERROR(_xll.BDP(A425,"NAME"),"")</f>
        <v/>
      </c>
      <c r="C425" s="22">
        <f>IF(LEFT((_xll.BDP(A425,"DVD_DECLARED_DT")),4)="#N/A",NA(),(_xll.BDP(A425,"DVD_DECLARED_DT")))</f>
        <v/>
      </c>
      <c r="D425" s="22">
        <f>IF(LEFT((_xll.BDP(A425,"DVD_EX_DT")),4)="#N/A",NA(),(_xll.BDP(A425,"DVD_EX_DT")))</f>
        <v/>
      </c>
      <c r="E425" s="22">
        <f>IF(LEFT((_xll.BDP(A425,"DVD_SH_LAST")), 4) = "#N/A", NA(), (_xll.BDP(A425,"DVD_SH_LAST")))</f>
        <v/>
      </c>
      <c r="F425" s="22">
        <f>IF(LEFT((_xll.BDP(A425,"DVD_TYP_LAST")), 4) = "#N/A", NA(), (_xll.BDP(A425,"DVD_TYP_LAST")))</f>
        <v/>
      </c>
      <c r="G425" s="16">
        <f>IF(ISNUMBER(C425),IF(C425&gt;=Settings!$B$5,"Y","N"),"")</f>
        <v/>
      </c>
      <c r="H425" s="16">
        <f>IF(G425="Y",IF(ISNUMBER(SEARCH("Special",F425)),"SPECIAL DIVIDEND","NEW DIVIDEND"),IF(ISNUMBER(SEARCH("Special",F425)),"SPECIAL DIVIDEND",""))</f>
        <v/>
      </c>
    </row>
    <row r="426">
      <c r="A426" s="16">
        <f>'Rest Universe'!A427</f>
        <v/>
      </c>
      <c r="B426" s="22">
        <f>IFERROR(_xll.BDP(A426,"NAME"),"")</f>
        <v/>
      </c>
      <c r="C426" s="22">
        <f>IF(LEFT((_xll.BDP(A426,"DVD_DECLARED_DT")),4)="#N/A",NA(),(_xll.BDP(A426,"DVD_DECLARED_DT")))</f>
        <v/>
      </c>
      <c r="D426" s="22">
        <f>IF(LEFT((_xll.BDP(A426,"DVD_EX_DT")),4)="#N/A",NA(),(_xll.BDP(A426,"DVD_EX_DT")))</f>
        <v/>
      </c>
      <c r="E426" s="22">
        <f>IF(LEFT((_xll.BDP(A426,"DVD_SH_LAST")), 4) = "#N/A", NA(), (_xll.BDP(A426,"DVD_SH_LAST")))</f>
        <v/>
      </c>
      <c r="F426" s="22">
        <f>IF(LEFT((_xll.BDP(A426,"DVD_TYP_LAST")), 4) = "#N/A", NA(), (_xll.BDP(A426,"DVD_TYP_LAST")))</f>
        <v/>
      </c>
      <c r="G426" s="16">
        <f>IF(ISNUMBER(C426),IF(C426&gt;=Settings!$B$5,"Y","N"),"")</f>
        <v/>
      </c>
      <c r="H426" s="16">
        <f>IF(G426="Y",IF(ISNUMBER(SEARCH("Special",F426)),"SPECIAL DIVIDEND","NEW DIVIDEND"),IF(ISNUMBER(SEARCH("Special",F426)),"SPECIAL DIVIDEND",""))</f>
        <v/>
      </c>
    </row>
    <row r="427">
      <c r="A427" s="16">
        <f>'Rest Universe'!A428</f>
        <v/>
      </c>
      <c r="B427" s="22">
        <f>IFERROR(_xll.BDP(A427,"NAME"),"")</f>
        <v/>
      </c>
      <c r="C427" s="22">
        <f>IF(LEFT((_xll.BDP(A427,"DVD_DECLARED_DT")),4)="#N/A",NA(),(_xll.BDP(A427,"DVD_DECLARED_DT")))</f>
        <v/>
      </c>
      <c r="D427" s="22">
        <f>IF(LEFT((_xll.BDP(A427,"DVD_EX_DT")),4)="#N/A",NA(),(_xll.BDP(A427,"DVD_EX_DT")))</f>
        <v/>
      </c>
      <c r="E427" s="22">
        <f>IF(LEFT((_xll.BDP(A427,"DVD_SH_LAST")), 4) = "#N/A", NA(), (_xll.BDP(A427,"DVD_SH_LAST")))</f>
        <v/>
      </c>
      <c r="F427" s="22">
        <f>IF(LEFT((_xll.BDP(A427,"DVD_TYP_LAST")), 4) = "#N/A", NA(), (_xll.BDP(A427,"DVD_TYP_LAST")))</f>
        <v/>
      </c>
      <c r="G427" s="16">
        <f>IF(ISNUMBER(C427),IF(C427&gt;=Settings!$B$5,"Y","N"),"")</f>
        <v/>
      </c>
      <c r="H427" s="16">
        <f>IF(G427="Y",IF(ISNUMBER(SEARCH("Special",F427)),"SPECIAL DIVIDEND","NEW DIVIDEND"),IF(ISNUMBER(SEARCH("Special",F427)),"SPECIAL DIVIDEND",""))</f>
        <v/>
      </c>
    </row>
    <row r="428">
      <c r="A428" s="16">
        <f>'Rest Universe'!A429</f>
        <v/>
      </c>
      <c r="B428" s="22">
        <f>IFERROR(_xll.BDP(A428,"NAME"),"")</f>
        <v/>
      </c>
      <c r="C428" s="22">
        <f>IF(LEFT((_xll.BDP(A428,"DVD_DECLARED_DT")),4)="#N/A",NA(),(_xll.BDP(A428,"DVD_DECLARED_DT")))</f>
        <v/>
      </c>
      <c r="D428" s="22">
        <f>IF(LEFT((_xll.BDP(A428,"DVD_EX_DT")),4)="#N/A",NA(),(_xll.BDP(A428,"DVD_EX_DT")))</f>
        <v/>
      </c>
      <c r="E428" s="22">
        <f>IF(LEFT((_xll.BDP(A428,"DVD_SH_LAST")), 4) = "#N/A", NA(), (_xll.BDP(A428,"DVD_SH_LAST")))</f>
        <v/>
      </c>
      <c r="F428" s="22">
        <f>IF(LEFT((_xll.BDP(A428,"DVD_TYP_LAST")), 4) = "#N/A", NA(), (_xll.BDP(A428,"DVD_TYP_LAST")))</f>
        <v/>
      </c>
      <c r="G428" s="16">
        <f>IF(ISNUMBER(C428),IF(C428&gt;=Settings!$B$5,"Y","N"),"")</f>
        <v/>
      </c>
      <c r="H428" s="16">
        <f>IF(G428="Y",IF(ISNUMBER(SEARCH("Special",F428)),"SPECIAL DIVIDEND","NEW DIVIDEND"),IF(ISNUMBER(SEARCH("Special",F428)),"SPECIAL DIVIDEND",""))</f>
        <v/>
      </c>
    </row>
    <row r="429">
      <c r="A429" s="16">
        <f>'Rest Universe'!A430</f>
        <v/>
      </c>
      <c r="B429" s="22">
        <f>IFERROR(_xll.BDP(A429,"NAME"),"")</f>
        <v/>
      </c>
      <c r="C429" s="22">
        <f>IF(LEFT((_xll.BDP(A429,"DVD_DECLARED_DT")),4)="#N/A",NA(),(_xll.BDP(A429,"DVD_DECLARED_DT")))</f>
        <v/>
      </c>
      <c r="D429" s="22">
        <f>IF(LEFT((_xll.BDP(A429,"DVD_EX_DT")),4)="#N/A",NA(),(_xll.BDP(A429,"DVD_EX_DT")))</f>
        <v/>
      </c>
      <c r="E429" s="22">
        <f>IF(LEFT((_xll.BDP(A429,"DVD_SH_LAST")), 4) = "#N/A", NA(), (_xll.BDP(A429,"DVD_SH_LAST")))</f>
        <v/>
      </c>
      <c r="F429" s="22">
        <f>IF(LEFT((_xll.BDP(A429,"DVD_TYP_LAST")), 4) = "#N/A", NA(), (_xll.BDP(A429,"DVD_TYP_LAST")))</f>
        <v/>
      </c>
      <c r="G429" s="16">
        <f>IF(ISNUMBER(C429),IF(C429&gt;=Settings!$B$5,"Y","N"),"")</f>
        <v/>
      </c>
      <c r="H429" s="16">
        <f>IF(G429="Y",IF(ISNUMBER(SEARCH("Special",F429)),"SPECIAL DIVIDEND","NEW DIVIDEND"),IF(ISNUMBER(SEARCH("Special",F429)),"SPECIAL DIVIDEND",""))</f>
        <v/>
      </c>
    </row>
    <row r="430">
      <c r="A430" s="16">
        <f>'Rest Universe'!A431</f>
        <v/>
      </c>
      <c r="B430" s="22">
        <f>IFERROR(_xll.BDP(A430,"NAME"),"")</f>
        <v/>
      </c>
      <c r="C430" s="22">
        <f>IF(LEFT((_xll.BDP(A430,"DVD_DECLARED_DT")),4)="#N/A",NA(),(_xll.BDP(A430,"DVD_DECLARED_DT")))</f>
        <v/>
      </c>
      <c r="D430" s="22">
        <f>IF(LEFT((_xll.BDP(A430,"DVD_EX_DT")),4)="#N/A",NA(),(_xll.BDP(A430,"DVD_EX_DT")))</f>
        <v/>
      </c>
      <c r="E430" s="22">
        <f>IF(LEFT((_xll.BDP(A430,"DVD_SH_LAST")), 4) = "#N/A", NA(), (_xll.BDP(A430,"DVD_SH_LAST")))</f>
        <v/>
      </c>
      <c r="F430" s="22">
        <f>IF(LEFT((_xll.BDP(A430,"DVD_TYP_LAST")), 4) = "#N/A", NA(), (_xll.BDP(A430,"DVD_TYP_LAST")))</f>
        <v/>
      </c>
      <c r="G430" s="16">
        <f>IF(ISNUMBER(C430),IF(C430&gt;=Settings!$B$5,"Y","N"),"")</f>
        <v/>
      </c>
      <c r="H430" s="16">
        <f>IF(G430="Y",IF(ISNUMBER(SEARCH("Special",F430)),"SPECIAL DIVIDEND","NEW DIVIDEND"),IF(ISNUMBER(SEARCH("Special",F430)),"SPECIAL DIVIDEND",""))</f>
        <v/>
      </c>
    </row>
    <row r="431">
      <c r="A431" s="16">
        <f>'Rest Universe'!A432</f>
        <v/>
      </c>
      <c r="B431" s="22">
        <f>IFERROR(_xll.BDP(A431,"NAME"),"")</f>
        <v/>
      </c>
      <c r="C431" s="22">
        <f>IF(LEFT((_xll.BDP(A431,"DVD_DECLARED_DT")),4)="#N/A",NA(),(_xll.BDP(A431,"DVD_DECLARED_DT")))</f>
        <v/>
      </c>
      <c r="D431" s="22">
        <f>IF(LEFT((_xll.BDP(A431,"DVD_EX_DT")),4)="#N/A",NA(),(_xll.BDP(A431,"DVD_EX_DT")))</f>
        <v/>
      </c>
      <c r="E431" s="22">
        <f>IF(LEFT((_xll.BDP(A431,"DVD_SH_LAST")), 4) = "#N/A", NA(), (_xll.BDP(A431,"DVD_SH_LAST")))</f>
        <v/>
      </c>
      <c r="F431" s="22">
        <f>IF(LEFT((_xll.BDP(A431,"DVD_TYP_LAST")), 4) = "#N/A", NA(), (_xll.BDP(A431,"DVD_TYP_LAST")))</f>
        <v/>
      </c>
      <c r="G431" s="16">
        <f>IF(ISNUMBER(C431),IF(C431&gt;=Settings!$B$5,"Y","N"),"")</f>
        <v/>
      </c>
      <c r="H431" s="16">
        <f>IF(G431="Y",IF(ISNUMBER(SEARCH("Special",F431)),"SPECIAL DIVIDEND","NEW DIVIDEND"),IF(ISNUMBER(SEARCH("Special",F431)),"SPECIAL DIVIDEND",""))</f>
        <v/>
      </c>
    </row>
    <row r="432">
      <c r="A432" s="16">
        <f>'Rest Universe'!A433</f>
        <v/>
      </c>
      <c r="B432" s="22">
        <f>IFERROR(_xll.BDP(A432,"NAME"),"")</f>
        <v/>
      </c>
      <c r="C432" s="22">
        <f>IF(LEFT((_xll.BDP(A432,"DVD_DECLARED_DT")),4)="#N/A",NA(),(_xll.BDP(A432,"DVD_DECLARED_DT")))</f>
        <v/>
      </c>
      <c r="D432" s="22">
        <f>IF(LEFT((_xll.BDP(A432,"DVD_EX_DT")),4)="#N/A",NA(),(_xll.BDP(A432,"DVD_EX_DT")))</f>
        <v/>
      </c>
      <c r="E432" s="22">
        <f>IF(LEFT((_xll.BDP(A432,"DVD_SH_LAST")), 4) = "#N/A", NA(), (_xll.BDP(A432,"DVD_SH_LAST")))</f>
        <v/>
      </c>
      <c r="F432" s="22">
        <f>IF(LEFT((_xll.BDP(A432,"DVD_TYP_LAST")), 4) = "#N/A", NA(), (_xll.BDP(A432,"DVD_TYP_LAST")))</f>
        <v/>
      </c>
      <c r="G432" s="16">
        <f>IF(ISNUMBER(C432),IF(C432&gt;=Settings!$B$5,"Y","N"),"")</f>
        <v/>
      </c>
      <c r="H432" s="16">
        <f>IF(G432="Y",IF(ISNUMBER(SEARCH("Special",F432)),"SPECIAL DIVIDEND","NEW DIVIDEND"),IF(ISNUMBER(SEARCH("Special",F432)),"SPECIAL DIVIDEND",""))</f>
        <v/>
      </c>
    </row>
    <row r="433">
      <c r="A433" s="16">
        <f>'Rest Universe'!A434</f>
        <v/>
      </c>
      <c r="B433" s="22">
        <f>IFERROR(_xll.BDP(A433,"NAME"),"")</f>
        <v/>
      </c>
      <c r="C433" s="22">
        <f>IF(LEFT((_xll.BDP(A433,"DVD_DECLARED_DT")),4)="#N/A",NA(),(_xll.BDP(A433,"DVD_DECLARED_DT")))</f>
        <v/>
      </c>
      <c r="D433" s="22">
        <f>IF(LEFT((_xll.BDP(A433,"DVD_EX_DT")),4)="#N/A",NA(),(_xll.BDP(A433,"DVD_EX_DT")))</f>
        <v/>
      </c>
      <c r="E433" s="22">
        <f>IF(LEFT((_xll.BDP(A433,"DVD_SH_LAST")), 4) = "#N/A", NA(), (_xll.BDP(A433,"DVD_SH_LAST")))</f>
        <v/>
      </c>
      <c r="F433" s="22">
        <f>IF(LEFT((_xll.BDP(A433,"DVD_TYP_LAST")), 4) = "#N/A", NA(), (_xll.BDP(A433,"DVD_TYP_LAST")))</f>
        <v/>
      </c>
      <c r="G433" s="16">
        <f>IF(ISNUMBER(C433),IF(C433&gt;=Settings!$B$5,"Y","N"),"")</f>
        <v/>
      </c>
      <c r="H433" s="16">
        <f>IF(G433="Y",IF(ISNUMBER(SEARCH("Special",F433)),"SPECIAL DIVIDEND","NEW DIVIDEND"),IF(ISNUMBER(SEARCH("Special",F433)),"SPECIAL DIVIDEND",""))</f>
        <v/>
      </c>
    </row>
    <row r="434">
      <c r="A434" s="16">
        <f>'Rest Universe'!A435</f>
        <v/>
      </c>
      <c r="B434" s="22">
        <f>IFERROR(_xll.BDP(A434,"NAME"),"")</f>
        <v/>
      </c>
      <c r="C434" s="22">
        <f>IF(LEFT((_xll.BDP(A434,"DVD_DECLARED_DT")),4)="#N/A",NA(),(_xll.BDP(A434,"DVD_DECLARED_DT")))</f>
        <v/>
      </c>
      <c r="D434" s="22">
        <f>IF(LEFT((_xll.BDP(A434,"DVD_EX_DT")),4)="#N/A",NA(),(_xll.BDP(A434,"DVD_EX_DT")))</f>
        <v/>
      </c>
      <c r="E434" s="22">
        <f>IF(LEFT((_xll.BDP(A434,"DVD_SH_LAST")), 4) = "#N/A", NA(), (_xll.BDP(A434,"DVD_SH_LAST")))</f>
        <v/>
      </c>
      <c r="F434" s="22">
        <f>IF(LEFT((_xll.BDP(A434,"DVD_TYP_LAST")), 4) = "#N/A", NA(), (_xll.BDP(A434,"DVD_TYP_LAST")))</f>
        <v/>
      </c>
      <c r="G434" s="16">
        <f>IF(ISNUMBER(C434),IF(C434&gt;=Settings!$B$5,"Y","N"),"")</f>
        <v/>
      </c>
      <c r="H434" s="16">
        <f>IF(G434="Y",IF(ISNUMBER(SEARCH("Special",F434)),"SPECIAL DIVIDEND","NEW DIVIDEND"),IF(ISNUMBER(SEARCH("Special",F434)),"SPECIAL DIVIDEND",""))</f>
        <v/>
      </c>
    </row>
    <row r="435">
      <c r="A435" s="16">
        <f>'Rest Universe'!A436</f>
        <v/>
      </c>
      <c r="B435" s="22">
        <f>IFERROR(_xll.BDP(A435,"NAME"),"")</f>
        <v/>
      </c>
      <c r="C435" s="22">
        <f>IF(LEFT((_xll.BDP(A435,"DVD_DECLARED_DT")),4)="#N/A",NA(),(_xll.BDP(A435,"DVD_DECLARED_DT")))</f>
        <v/>
      </c>
      <c r="D435" s="22">
        <f>IF(LEFT((_xll.BDP(A435,"DVD_EX_DT")),4)="#N/A",NA(),(_xll.BDP(A435,"DVD_EX_DT")))</f>
        <v/>
      </c>
      <c r="E435" s="22">
        <f>IF(LEFT((_xll.BDP(A435,"DVD_SH_LAST")), 4) = "#N/A", NA(), (_xll.BDP(A435,"DVD_SH_LAST")))</f>
        <v/>
      </c>
      <c r="F435" s="22">
        <f>IF(LEFT((_xll.BDP(A435,"DVD_TYP_LAST")), 4) = "#N/A", NA(), (_xll.BDP(A435,"DVD_TYP_LAST")))</f>
        <v/>
      </c>
      <c r="G435" s="16">
        <f>IF(ISNUMBER(C435),IF(C435&gt;=Settings!$B$5,"Y","N"),"")</f>
        <v/>
      </c>
      <c r="H435" s="16">
        <f>IF(G435="Y",IF(ISNUMBER(SEARCH("Special",F435)),"SPECIAL DIVIDEND","NEW DIVIDEND"),IF(ISNUMBER(SEARCH("Special",F435)),"SPECIAL DIVIDEND",""))</f>
        <v/>
      </c>
    </row>
    <row r="436">
      <c r="A436" s="16">
        <f>'Rest Universe'!A437</f>
        <v/>
      </c>
      <c r="B436" s="22">
        <f>IFERROR(_xll.BDP(A436,"NAME"),"")</f>
        <v/>
      </c>
      <c r="C436" s="22">
        <f>IF(LEFT((_xll.BDP(A436,"DVD_DECLARED_DT")),4)="#N/A",NA(),(_xll.BDP(A436,"DVD_DECLARED_DT")))</f>
        <v/>
      </c>
      <c r="D436" s="22">
        <f>IF(LEFT((_xll.BDP(A436,"DVD_EX_DT")),4)="#N/A",NA(),(_xll.BDP(A436,"DVD_EX_DT")))</f>
        <v/>
      </c>
      <c r="E436" s="22">
        <f>IF(LEFT((_xll.BDP(A436,"DVD_SH_LAST")), 4) = "#N/A", NA(), (_xll.BDP(A436,"DVD_SH_LAST")))</f>
        <v/>
      </c>
      <c r="F436" s="22">
        <f>IF(LEFT((_xll.BDP(A436,"DVD_TYP_LAST")), 4) = "#N/A", NA(), (_xll.BDP(A436,"DVD_TYP_LAST")))</f>
        <v/>
      </c>
      <c r="G436" s="16">
        <f>IF(ISNUMBER(C436),IF(C436&gt;=Settings!$B$5,"Y","N"),"")</f>
        <v/>
      </c>
      <c r="H436" s="16">
        <f>IF(G436="Y",IF(ISNUMBER(SEARCH("Special",F436)),"SPECIAL DIVIDEND","NEW DIVIDEND"),IF(ISNUMBER(SEARCH("Special",F436)),"SPECIAL DIVIDEND",""))</f>
        <v/>
      </c>
    </row>
    <row r="437">
      <c r="A437" s="16">
        <f>'Rest Universe'!A438</f>
        <v/>
      </c>
      <c r="B437" s="22">
        <f>IFERROR(_xll.BDP(A437,"NAME"),"")</f>
        <v/>
      </c>
      <c r="C437" s="22">
        <f>IF(LEFT((_xll.BDP(A437,"DVD_DECLARED_DT")),4)="#N/A",NA(),(_xll.BDP(A437,"DVD_DECLARED_DT")))</f>
        <v/>
      </c>
      <c r="D437" s="22">
        <f>IF(LEFT((_xll.BDP(A437,"DVD_EX_DT")),4)="#N/A",NA(),(_xll.BDP(A437,"DVD_EX_DT")))</f>
        <v/>
      </c>
      <c r="E437" s="22">
        <f>IF(LEFT((_xll.BDP(A437,"DVD_SH_LAST")), 4) = "#N/A", NA(), (_xll.BDP(A437,"DVD_SH_LAST")))</f>
        <v/>
      </c>
      <c r="F437" s="22">
        <f>IF(LEFT((_xll.BDP(A437,"DVD_TYP_LAST")), 4) = "#N/A", NA(), (_xll.BDP(A437,"DVD_TYP_LAST")))</f>
        <v/>
      </c>
      <c r="G437" s="16">
        <f>IF(ISNUMBER(C437),IF(C437&gt;=Settings!$B$5,"Y","N"),"")</f>
        <v/>
      </c>
      <c r="H437" s="16">
        <f>IF(G437="Y",IF(ISNUMBER(SEARCH("Special",F437)),"SPECIAL DIVIDEND","NEW DIVIDEND"),IF(ISNUMBER(SEARCH("Special",F437)),"SPECIAL DIVIDEND",""))</f>
        <v/>
      </c>
    </row>
    <row r="438">
      <c r="A438" s="16">
        <f>'Rest Universe'!A439</f>
        <v/>
      </c>
      <c r="B438" s="22">
        <f>IFERROR(_xll.BDP(A438,"NAME"),"")</f>
        <v/>
      </c>
      <c r="C438" s="22">
        <f>IF(LEFT((_xll.BDP(A438,"DVD_DECLARED_DT")),4)="#N/A",NA(),(_xll.BDP(A438,"DVD_DECLARED_DT")))</f>
        <v/>
      </c>
      <c r="D438" s="22">
        <f>IF(LEFT((_xll.BDP(A438,"DVD_EX_DT")),4)="#N/A",NA(),(_xll.BDP(A438,"DVD_EX_DT")))</f>
        <v/>
      </c>
      <c r="E438" s="22">
        <f>IF(LEFT((_xll.BDP(A438,"DVD_SH_LAST")), 4) = "#N/A", NA(), (_xll.BDP(A438,"DVD_SH_LAST")))</f>
        <v/>
      </c>
      <c r="F438" s="22">
        <f>IF(LEFT((_xll.BDP(A438,"DVD_TYP_LAST")), 4) = "#N/A", NA(), (_xll.BDP(A438,"DVD_TYP_LAST")))</f>
        <v/>
      </c>
      <c r="G438" s="16">
        <f>IF(ISNUMBER(C438),IF(C438&gt;=Settings!$B$5,"Y","N"),"")</f>
        <v/>
      </c>
      <c r="H438" s="16">
        <f>IF(G438="Y",IF(ISNUMBER(SEARCH("Special",F438)),"SPECIAL DIVIDEND","NEW DIVIDEND"),IF(ISNUMBER(SEARCH("Special",F438)),"SPECIAL DIVIDEND",""))</f>
        <v/>
      </c>
    </row>
    <row r="439">
      <c r="A439" s="16">
        <f>'Rest Universe'!A440</f>
        <v/>
      </c>
      <c r="B439" s="22">
        <f>IFERROR(_xll.BDP(A439,"NAME"),"")</f>
        <v/>
      </c>
      <c r="C439" s="22">
        <f>IF(LEFT((_xll.BDP(A439,"DVD_DECLARED_DT")),4)="#N/A",NA(),(_xll.BDP(A439,"DVD_DECLARED_DT")))</f>
        <v/>
      </c>
      <c r="D439" s="22">
        <f>IF(LEFT((_xll.BDP(A439,"DVD_EX_DT")),4)="#N/A",NA(),(_xll.BDP(A439,"DVD_EX_DT")))</f>
        <v/>
      </c>
      <c r="E439" s="22">
        <f>IF(LEFT((_xll.BDP(A439,"DVD_SH_LAST")), 4) = "#N/A", NA(), (_xll.BDP(A439,"DVD_SH_LAST")))</f>
        <v/>
      </c>
      <c r="F439" s="22">
        <f>IF(LEFT((_xll.BDP(A439,"DVD_TYP_LAST")), 4) = "#N/A", NA(), (_xll.BDP(A439,"DVD_TYP_LAST")))</f>
        <v/>
      </c>
      <c r="G439" s="16">
        <f>IF(ISNUMBER(C439),IF(C439&gt;=Settings!$B$5,"Y","N"),"")</f>
        <v/>
      </c>
      <c r="H439" s="16">
        <f>IF(G439="Y",IF(ISNUMBER(SEARCH("Special",F439)),"SPECIAL DIVIDEND","NEW DIVIDEND"),IF(ISNUMBER(SEARCH("Special",F439)),"SPECIAL DIVIDEND",""))</f>
        <v/>
      </c>
    </row>
    <row r="440">
      <c r="A440" s="16">
        <f>'Rest Universe'!A441</f>
        <v/>
      </c>
      <c r="B440" s="22">
        <f>IFERROR(_xll.BDP(A440,"NAME"),"")</f>
        <v/>
      </c>
      <c r="C440" s="22">
        <f>IF(LEFT((_xll.BDP(A440,"DVD_DECLARED_DT")),4)="#N/A",NA(),(_xll.BDP(A440,"DVD_DECLARED_DT")))</f>
        <v/>
      </c>
      <c r="D440" s="22">
        <f>IF(LEFT((_xll.BDP(A440,"DVD_EX_DT")),4)="#N/A",NA(),(_xll.BDP(A440,"DVD_EX_DT")))</f>
        <v/>
      </c>
      <c r="E440" s="22">
        <f>IF(LEFT((_xll.BDP(A440,"DVD_SH_LAST")), 4) = "#N/A", NA(), (_xll.BDP(A440,"DVD_SH_LAST")))</f>
        <v/>
      </c>
      <c r="F440" s="22">
        <f>IF(LEFT((_xll.BDP(A440,"DVD_TYP_LAST")), 4) = "#N/A", NA(), (_xll.BDP(A440,"DVD_TYP_LAST")))</f>
        <v/>
      </c>
      <c r="G440" s="16">
        <f>IF(ISNUMBER(C440),IF(C440&gt;=Settings!$B$5,"Y","N"),"")</f>
        <v/>
      </c>
      <c r="H440" s="16">
        <f>IF(G440="Y",IF(ISNUMBER(SEARCH("Special",F440)),"SPECIAL DIVIDEND","NEW DIVIDEND"),IF(ISNUMBER(SEARCH("Special",F440)),"SPECIAL DIVIDEND",""))</f>
        <v/>
      </c>
    </row>
    <row r="441">
      <c r="A441" s="16">
        <f>'Rest Universe'!A442</f>
        <v/>
      </c>
      <c r="B441" s="22">
        <f>IFERROR(_xll.BDP(A441,"NAME"),"")</f>
        <v/>
      </c>
      <c r="C441" s="22">
        <f>IF(LEFT((_xll.BDP(A441,"DVD_DECLARED_DT")),4)="#N/A",NA(),(_xll.BDP(A441,"DVD_DECLARED_DT")))</f>
        <v/>
      </c>
      <c r="D441" s="22">
        <f>IF(LEFT((_xll.BDP(A441,"DVD_EX_DT")),4)="#N/A",NA(),(_xll.BDP(A441,"DVD_EX_DT")))</f>
        <v/>
      </c>
      <c r="E441" s="22">
        <f>IF(LEFT((_xll.BDP(A441,"DVD_SH_LAST")), 4) = "#N/A", NA(), (_xll.BDP(A441,"DVD_SH_LAST")))</f>
        <v/>
      </c>
      <c r="F441" s="22">
        <f>IF(LEFT((_xll.BDP(A441,"DVD_TYP_LAST")), 4) = "#N/A", NA(), (_xll.BDP(A441,"DVD_TYP_LAST")))</f>
        <v/>
      </c>
      <c r="G441" s="16">
        <f>IF(ISNUMBER(C441),IF(C441&gt;=Settings!$B$5,"Y","N"),"")</f>
        <v/>
      </c>
      <c r="H441" s="16">
        <f>IF(G441="Y",IF(ISNUMBER(SEARCH("Special",F441)),"SPECIAL DIVIDEND","NEW DIVIDEND"),IF(ISNUMBER(SEARCH("Special",F441)),"SPECIAL DIVIDEND",""))</f>
        <v/>
      </c>
    </row>
    <row r="442">
      <c r="A442" s="16">
        <f>'Rest Universe'!A443</f>
        <v/>
      </c>
      <c r="B442" s="22">
        <f>IFERROR(_xll.BDP(A442,"NAME"),"")</f>
        <v/>
      </c>
      <c r="C442" s="22">
        <f>IF(LEFT((_xll.BDP(A442,"DVD_DECLARED_DT")),4)="#N/A",NA(),(_xll.BDP(A442,"DVD_DECLARED_DT")))</f>
        <v/>
      </c>
      <c r="D442" s="22">
        <f>IF(LEFT((_xll.BDP(A442,"DVD_EX_DT")),4)="#N/A",NA(),(_xll.BDP(A442,"DVD_EX_DT")))</f>
        <v/>
      </c>
      <c r="E442" s="22">
        <f>IF(LEFT((_xll.BDP(A442,"DVD_SH_LAST")), 4) = "#N/A", NA(), (_xll.BDP(A442,"DVD_SH_LAST")))</f>
        <v/>
      </c>
      <c r="F442" s="22">
        <f>IF(LEFT((_xll.BDP(A442,"DVD_TYP_LAST")), 4) = "#N/A", NA(), (_xll.BDP(A442,"DVD_TYP_LAST")))</f>
        <v/>
      </c>
      <c r="G442" s="16">
        <f>IF(ISNUMBER(C442),IF(C442&gt;=Settings!$B$5,"Y","N"),"")</f>
        <v/>
      </c>
      <c r="H442" s="16">
        <f>IF(G442="Y",IF(ISNUMBER(SEARCH("Special",F442)),"SPECIAL DIVIDEND","NEW DIVIDEND"),IF(ISNUMBER(SEARCH("Special",F442)),"SPECIAL DIVIDEND",""))</f>
        <v/>
      </c>
    </row>
    <row r="443">
      <c r="A443" s="16">
        <f>'Rest Universe'!A444</f>
        <v/>
      </c>
      <c r="B443" s="22">
        <f>IFERROR(_xll.BDP(A443,"NAME"),"")</f>
        <v/>
      </c>
      <c r="C443" s="22">
        <f>IF(LEFT((_xll.BDP(A443,"DVD_DECLARED_DT")),4)="#N/A",NA(),(_xll.BDP(A443,"DVD_DECLARED_DT")))</f>
        <v/>
      </c>
      <c r="D443" s="22">
        <f>IF(LEFT((_xll.BDP(A443,"DVD_EX_DT")),4)="#N/A",NA(),(_xll.BDP(A443,"DVD_EX_DT")))</f>
        <v/>
      </c>
      <c r="E443" s="22">
        <f>IF(LEFT((_xll.BDP(A443,"DVD_SH_LAST")), 4) = "#N/A", NA(), (_xll.BDP(A443,"DVD_SH_LAST")))</f>
        <v/>
      </c>
      <c r="F443" s="22">
        <f>IF(LEFT((_xll.BDP(A443,"DVD_TYP_LAST")), 4) = "#N/A", NA(), (_xll.BDP(A443,"DVD_TYP_LAST")))</f>
        <v/>
      </c>
      <c r="G443" s="16">
        <f>IF(ISNUMBER(C443),IF(C443&gt;=Settings!$B$5,"Y","N"),"")</f>
        <v/>
      </c>
      <c r="H443" s="16">
        <f>IF(G443="Y",IF(ISNUMBER(SEARCH("Special",F443)),"SPECIAL DIVIDEND","NEW DIVIDEND"),IF(ISNUMBER(SEARCH("Special",F443)),"SPECIAL DIVIDEND",""))</f>
        <v/>
      </c>
    </row>
    <row r="444">
      <c r="A444" s="16">
        <f>'Rest Universe'!A445</f>
        <v/>
      </c>
      <c r="B444" s="22">
        <f>IFERROR(_xll.BDP(A444,"NAME"),"")</f>
        <v/>
      </c>
      <c r="C444" s="22">
        <f>IF(LEFT((_xll.BDP(A444,"DVD_DECLARED_DT")),4)="#N/A",NA(),(_xll.BDP(A444,"DVD_DECLARED_DT")))</f>
        <v/>
      </c>
      <c r="D444" s="22">
        <f>IF(LEFT((_xll.BDP(A444,"DVD_EX_DT")),4)="#N/A",NA(),(_xll.BDP(A444,"DVD_EX_DT")))</f>
        <v/>
      </c>
      <c r="E444" s="22">
        <f>IF(LEFT((_xll.BDP(A444,"DVD_SH_LAST")), 4) = "#N/A", NA(), (_xll.BDP(A444,"DVD_SH_LAST")))</f>
        <v/>
      </c>
      <c r="F444" s="22">
        <f>IF(LEFT((_xll.BDP(A444,"DVD_TYP_LAST")), 4) = "#N/A", NA(), (_xll.BDP(A444,"DVD_TYP_LAST")))</f>
        <v/>
      </c>
      <c r="G444" s="16">
        <f>IF(ISNUMBER(C444),IF(C444&gt;=Settings!$B$5,"Y","N"),"")</f>
        <v/>
      </c>
      <c r="H444" s="16">
        <f>IF(G444="Y",IF(ISNUMBER(SEARCH("Special",F444)),"SPECIAL DIVIDEND","NEW DIVIDEND"),IF(ISNUMBER(SEARCH("Special",F444)),"SPECIAL DIVIDEND",""))</f>
        <v/>
      </c>
    </row>
    <row r="445">
      <c r="A445" s="16">
        <f>'Rest Universe'!A446</f>
        <v/>
      </c>
      <c r="B445" s="22">
        <f>IFERROR(_xll.BDP(A445,"NAME"),"")</f>
        <v/>
      </c>
      <c r="C445" s="22">
        <f>IF(LEFT((_xll.BDP(A445,"DVD_DECLARED_DT")),4)="#N/A",NA(),(_xll.BDP(A445,"DVD_DECLARED_DT")))</f>
        <v/>
      </c>
      <c r="D445" s="22">
        <f>IF(LEFT((_xll.BDP(A445,"DVD_EX_DT")),4)="#N/A",NA(),(_xll.BDP(A445,"DVD_EX_DT")))</f>
        <v/>
      </c>
      <c r="E445" s="22">
        <f>IF(LEFT((_xll.BDP(A445,"DVD_SH_LAST")), 4) = "#N/A", NA(), (_xll.BDP(A445,"DVD_SH_LAST")))</f>
        <v/>
      </c>
      <c r="F445" s="22">
        <f>IF(LEFT((_xll.BDP(A445,"DVD_TYP_LAST")), 4) = "#N/A", NA(), (_xll.BDP(A445,"DVD_TYP_LAST")))</f>
        <v/>
      </c>
      <c r="G445" s="16">
        <f>IF(ISNUMBER(C445),IF(C445&gt;=Settings!$B$5,"Y","N"),"")</f>
        <v/>
      </c>
      <c r="H445" s="16">
        <f>IF(G445="Y",IF(ISNUMBER(SEARCH("Special",F445)),"SPECIAL DIVIDEND","NEW DIVIDEND"),IF(ISNUMBER(SEARCH("Special",F445)),"SPECIAL DIVIDEND",""))</f>
        <v/>
      </c>
    </row>
    <row r="446">
      <c r="A446" s="16">
        <f>'Rest Universe'!A447</f>
        <v/>
      </c>
      <c r="B446" s="22">
        <f>IFERROR(_xll.BDP(A446,"NAME"),"")</f>
        <v/>
      </c>
      <c r="C446" s="22">
        <f>IF(LEFT((_xll.BDP(A446,"DVD_DECLARED_DT")),4)="#N/A",NA(),(_xll.BDP(A446,"DVD_DECLARED_DT")))</f>
        <v/>
      </c>
      <c r="D446" s="22">
        <f>IF(LEFT((_xll.BDP(A446,"DVD_EX_DT")),4)="#N/A",NA(),(_xll.BDP(A446,"DVD_EX_DT")))</f>
        <v/>
      </c>
      <c r="E446" s="22">
        <f>IF(LEFT((_xll.BDP(A446,"DVD_SH_LAST")), 4) = "#N/A", NA(), (_xll.BDP(A446,"DVD_SH_LAST")))</f>
        <v/>
      </c>
      <c r="F446" s="22">
        <f>IF(LEFT((_xll.BDP(A446,"DVD_TYP_LAST")), 4) = "#N/A", NA(), (_xll.BDP(A446,"DVD_TYP_LAST")))</f>
        <v/>
      </c>
      <c r="G446" s="16">
        <f>IF(ISNUMBER(C446),IF(C446&gt;=Settings!$B$5,"Y","N"),"")</f>
        <v/>
      </c>
      <c r="H446" s="16">
        <f>IF(G446="Y",IF(ISNUMBER(SEARCH("Special",F446)),"SPECIAL DIVIDEND","NEW DIVIDEND"),IF(ISNUMBER(SEARCH("Special",F446)),"SPECIAL DIVIDEND",""))</f>
        <v/>
      </c>
    </row>
    <row r="447">
      <c r="A447" s="16">
        <f>'Rest Universe'!A448</f>
        <v/>
      </c>
      <c r="B447" s="22">
        <f>IFERROR(_xll.BDP(A447,"NAME"),"")</f>
        <v/>
      </c>
      <c r="C447" s="22">
        <f>IF(LEFT((_xll.BDP(A447,"DVD_DECLARED_DT")),4)="#N/A",NA(),(_xll.BDP(A447,"DVD_DECLARED_DT")))</f>
        <v/>
      </c>
      <c r="D447" s="22">
        <f>IF(LEFT((_xll.BDP(A447,"DVD_EX_DT")),4)="#N/A",NA(),(_xll.BDP(A447,"DVD_EX_DT")))</f>
        <v/>
      </c>
      <c r="E447" s="22">
        <f>IF(LEFT((_xll.BDP(A447,"DVD_SH_LAST")), 4) = "#N/A", NA(), (_xll.BDP(A447,"DVD_SH_LAST")))</f>
        <v/>
      </c>
      <c r="F447" s="22">
        <f>IF(LEFT((_xll.BDP(A447,"DVD_TYP_LAST")), 4) = "#N/A", NA(), (_xll.BDP(A447,"DVD_TYP_LAST")))</f>
        <v/>
      </c>
      <c r="G447" s="16">
        <f>IF(ISNUMBER(C447),IF(C447&gt;=Settings!$B$5,"Y","N"),"")</f>
        <v/>
      </c>
      <c r="H447" s="16">
        <f>IF(G447="Y",IF(ISNUMBER(SEARCH("Special",F447)),"SPECIAL DIVIDEND","NEW DIVIDEND"),IF(ISNUMBER(SEARCH("Special",F447)),"SPECIAL DIVIDEND",""))</f>
        <v/>
      </c>
    </row>
    <row r="448">
      <c r="A448" s="16">
        <f>'Rest Universe'!A449</f>
        <v/>
      </c>
      <c r="B448" s="22">
        <f>IFERROR(_xll.BDP(A448,"NAME"),"")</f>
        <v/>
      </c>
      <c r="C448" s="22">
        <f>IF(LEFT((_xll.BDP(A448,"DVD_DECLARED_DT")),4)="#N/A",NA(),(_xll.BDP(A448,"DVD_DECLARED_DT")))</f>
        <v/>
      </c>
      <c r="D448" s="22">
        <f>IF(LEFT((_xll.BDP(A448,"DVD_EX_DT")),4)="#N/A",NA(),(_xll.BDP(A448,"DVD_EX_DT")))</f>
        <v/>
      </c>
      <c r="E448" s="22">
        <f>IF(LEFT((_xll.BDP(A448,"DVD_SH_LAST")), 4) = "#N/A", NA(), (_xll.BDP(A448,"DVD_SH_LAST")))</f>
        <v/>
      </c>
      <c r="F448" s="22">
        <f>IF(LEFT((_xll.BDP(A448,"DVD_TYP_LAST")), 4) = "#N/A", NA(), (_xll.BDP(A448,"DVD_TYP_LAST")))</f>
        <v/>
      </c>
      <c r="G448" s="16">
        <f>IF(ISNUMBER(C448),IF(C448&gt;=Settings!$B$5,"Y","N"),"")</f>
        <v/>
      </c>
      <c r="H448" s="16">
        <f>IF(G448="Y",IF(ISNUMBER(SEARCH("Special",F448)),"SPECIAL DIVIDEND","NEW DIVIDEND"),IF(ISNUMBER(SEARCH("Special",F448)),"SPECIAL DIVIDEND",""))</f>
        <v/>
      </c>
    </row>
    <row r="449">
      <c r="A449" s="16">
        <f>'Rest Universe'!A450</f>
        <v/>
      </c>
      <c r="B449" s="22">
        <f>IFERROR(_xll.BDP(A449,"NAME"),"")</f>
        <v/>
      </c>
      <c r="C449" s="22">
        <f>IF(LEFT((_xll.BDP(A449,"DVD_DECLARED_DT")),4)="#N/A",NA(),(_xll.BDP(A449,"DVD_DECLARED_DT")))</f>
        <v/>
      </c>
      <c r="D449" s="22">
        <f>IF(LEFT((_xll.BDP(A449,"DVD_EX_DT")),4)="#N/A",NA(),(_xll.BDP(A449,"DVD_EX_DT")))</f>
        <v/>
      </c>
      <c r="E449" s="22">
        <f>IF(LEFT((_xll.BDP(A449,"DVD_SH_LAST")), 4) = "#N/A", NA(), (_xll.BDP(A449,"DVD_SH_LAST")))</f>
        <v/>
      </c>
      <c r="F449" s="22">
        <f>IF(LEFT((_xll.BDP(A449,"DVD_TYP_LAST")), 4) = "#N/A", NA(), (_xll.BDP(A449,"DVD_TYP_LAST")))</f>
        <v/>
      </c>
      <c r="G449" s="16">
        <f>IF(ISNUMBER(C449),IF(C449&gt;=Settings!$B$5,"Y","N"),"")</f>
        <v/>
      </c>
      <c r="H449" s="16">
        <f>IF(G449="Y",IF(ISNUMBER(SEARCH("Special",F449)),"SPECIAL DIVIDEND","NEW DIVIDEND"),IF(ISNUMBER(SEARCH("Special",F449)),"SPECIAL DIVIDEND",""))</f>
        <v/>
      </c>
    </row>
    <row r="450">
      <c r="A450" s="16">
        <f>'Rest Universe'!A451</f>
        <v/>
      </c>
      <c r="B450" s="22">
        <f>IFERROR(_xll.BDP(A450,"NAME"),"")</f>
        <v/>
      </c>
      <c r="C450" s="22">
        <f>IF(LEFT((_xll.BDP(A450,"DVD_DECLARED_DT")),4)="#N/A",NA(),(_xll.BDP(A450,"DVD_DECLARED_DT")))</f>
        <v/>
      </c>
      <c r="D450" s="22">
        <f>IF(LEFT((_xll.BDP(A450,"DVD_EX_DT")),4)="#N/A",NA(),(_xll.BDP(A450,"DVD_EX_DT")))</f>
        <v/>
      </c>
      <c r="E450" s="22">
        <f>IF(LEFT((_xll.BDP(A450,"DVD_SH_LAST")), 4) = "#N/A", NA(), (_xll.BDP(A450,"DVD_SH_LAST")))</f>
        <v/>
      </c>
      <c r="F450" s="22">
        <f>IF(LEFT((_xll.BDP(A450,"DVD_TYP_LAST")), 4) = "#N/A", NA(), (_xll.BDP(A450,"DVD_TYP_LAST")))</f>
        <v/>
      </c>
      <c r="G450" s="16">
        <f>IF(ISNUMBER(C450),IF(C450&gt;=Settings!$B$5,"Y","N"),"")</f>
        <v/>
      </c>
      <c r="H450" s="16">
        <f>IF(G450="Y",IF(ISNUMBER(SEARCH("Special",F450)),"SPECIAL DIVIDEND","NEW DIVIDEND"),IF(ISNUMBER(SEARCH("Special",F450)),"SPECIAL DIVIDEND",""))</f>
        <v/>
      </c>
    </row>
    <row r="451">
      <c r="A451" s="16">
        <f>'Rest Universe'!A452</f>
        <v/>
      </c>
      <c r="B451" s="22">
        <f>IFERROR(_xll.BDP(A451,"NAME"),"")</f>
        <v/>
      </c>
      <c r="C451" s="22">
        <f>IF(LEFT((_xll.BDP(A451,"DVD_DECLARED_DT")),4)="#N/A",NA(),(_xll.BDP(A451,"DVD_DECLARED_DT")))</f>
        <v/>
      </c>
      <c r="D451" s="22">
        <f>IF(LEFT((_xll.BDP(A451,"DVD_EX_DT")),4)="#N/A",NA(),(_xll.BDP(A451,"DVD_EX_DT")))</f>
        <v/>
      </c>
      <c r="E451" s="22">
        <f>IF(LEFT((_xll.BDP(A451,"DVD_SH_LAST")), 4) = "#N/A", NA(), (_xll.BDP(A451,"DVD_SH_LAST")))</f>
        <v/>
      </c>
      <c r="F451" s="22">
        <f>IF(LEFT((_xll.BDP(A451,"DVD_TYP_LAST")), 4) = "#N/A", NA(), (_xll.BDP(A451,"DVD_TYP_LAST")))</f>
        <v/>
      </c>
      <c r="G451" s="16">
        <f>IF(ISNUMBER(C451),IF(C451&gt;=Settings!$B$5,"Y","N"),"")</f>
        <v/>
      </c>
      <c r="H451" s="16">
        <f>IF(G451="Y",IF(ISNUMBER(SEARCH("Special",F451)),"SPECIAL DIVIDEND","NEW DIVIDEND"),IF(ISNUMBER(SEARCH("Special",F451)),"SPECIAL DIVIDEND",""))</f>
        <v/>
      </c>
    </row>
    <row r="452">
      <c r="A452" s="16">
        <f>'Rest Universe'!A453</f>
        <v/>
      </c>
      <c r="B452" s="22">
        <f>IFERROR(_xll.BDP(A452,"NAME"),"")</f>
        <v/>
      </c>
      <c r="C452" s="22">
        <f>IF(LEFT((_xll.BDP(A452,"DVD_DECLARED_DT")),4)="#N/A",NA(),(_xll.BDP(A452,"DVD_DECLARED_DT")))</f>
        <v/>
      </c>
      <c r="D452" s="22">
        <f>IF(LEFT((_xll.BDP(A452,"DVD_EX_DT")),4)="#N/A",NA(),(_xll.BDP(A452,"DVD_EX_DT")))</f>
        <v/>
      </c>
      <c r="E452" s="22">
        <f>IF(LEFT((_xll.BDP(A452,"DVD_SH_LAST")), 4) = "#N/A", NA(), (_xll.BDP(A452,"DVD_SH_LAST")))</f>
        <v/>
      </c>
      <c r="F452" s="22">
        <f>IF(LEFT((_xll.BDP(A452,"DVD_TYP_LAST")), 4) = "#N/A", NA(), (_xll.BDP(A452,"DVD_TYP_LAST")))</f>
        <v/>
      </c>
      <c r="G452" s="16">
        <f>IF(ISNUMBER(C452),IF(C452&gt;=Settings!$B$5,"Y","N"),"")</f>
        <v/>
      </c>
      <c r="H452" s="16">
        <f>IF(G452="Y",IF(ISNUMBER(SEARCH("Special",F452)),"SPECIAL DIVIDEND","NEW DIVIDEND"),IF(ISNUMBER(SEARCH("Special",F452)),"SPECIAL DIVIDEND",""))</f>
        <v/>
      </c>
    </row>
    <row r="453">
      <c r="A453" s="16">
        <f>'Rest Universe'!A454</f>
        <v/>
      </c>
      <c r="B453" s="22">
        <f>IFERROR(_xll.BDP(A453,"NAME"),"")</f>
        <v/>
      </c>
      <c r="C453" s="22">
        <f>IF(LEFT((_xll.BDP(A453,"DVD_DECLARED_DT")),4)="#N/A",NA(),(_xll.BDP(A453,"DVD_DECLARED_DT")))</f>
        <v/>
      </c>
      <c r="D453" s="22">
        <f>IF(LEFT((_xll.BDP(A453,"DVD_EX_DT")),4)="#N/A",NA(),(_xll.BDP(A453,"DVD_EX_DT")))</f>
        <v/>
      </c>
      <c r="E453" s="22">
        <f>IF(LEFT((_xll.BDP(A453,"DVD_SH_LAST")), 4) = "#N/A", NA(), (_xll.BDP(A453,"DVD_SH_LAST")))</f>
        <v/>
      </c>
      <c r="F453" s="22">
        <f>IF(LEFT((_xll.BDP(A453,"DVD_TYP_LAST")), 4) = "#N/A", NA(), (_xll.BDP(A453,"DVD_TYP_LAST")))</f>
        <v/>
      </c>
      <c r="G453" s="16">
        <f>IF(ISNUMBER(C453),IF(C453&gt;=Settings!$B$5,"Y","N"),"")</f>
        <v/>
      </c>
      <c r="H453" s="16">
        <f>IF(G453="Y",IF(ISNUMBER(SEARCH("Special",F453)),"SPECIAL DIVIDEND","NEW DIVIDEND"),IF(ISNUMBER(SEARCH("Special",F453)),"SPECIAL DIVIDEND",""))</f>
        <v/>
      </c>
    </row>
    <row r="454">
      <c r="A454" s="16">
        <f>'Rest Universe'!A455</f>
        <v/>
      </c>
      <c r="B454" s="22">
        <f>IFERROR(_xll.BDP(A454,"NAME"),"")</f>
        <v/>
      </c>
      <c r="C454" s="22">
        <f>IF(LEFT((_xll.BDP(A454,"DVD_DECLARED_DT")),4)="#N/A",NA(),(_xll.BDP(A454,"DVD_DECLARED_DT")))</f>
        <v/>
      </c>
      <c r="D454" s="22">
        <f>IF(LEFT((_xll.BDP(A454,"DVD_EX_DT")),4)="#N/A",NA(),(_xll.BDP(A454,"DVD_EX_DT")))</f>
        <v/>
      </c>
      <c r="E454" s="22">
        <f>IF(LEFT((_xll.BDP(A454,"DVD_SH_LAST")), 4) = "#N/A", NA(), (_xll.BDP(A454,"DVD_SH_LAST")))</f>
        <v/>
      </c>
      <c r="F454" s="22">
        <f>IF(LEFT((_xll.BDP(A454,"DVD_TYP_LAST")), 4) = "#N/A", NA(), (_xll.BDP(A454,"DVD_TYP_LAST")))</f>
        <v/>
      </c>
      <c r="G454" s="16">
        <f>IF(ISNUMBER(C454),IF(C454&gt;=Settings!$B$5,"Y","N"),"")</f>
        <v/>
      </c>
      <c r="H454" s="16">
        <f>IF(G454="Y",IF(ISNUMBER(SEARCH("Special",F454)),"SPECIAL DIVIDEND","NEW DIVIDEND"),IF(ISNUMBER(SEARCH("Special",F454)),"SPECIAL DIVIDEND",""))</f>
        <v/>
      </c>
    </row>
    <row r="455">
      <c r="A455" s="16">
        <f>'Rest Universe'!A456</f>
        <v/>
      </c>
      <c r="B455" s="22">
        <f>IFERROR(_xll.BDP(A455,"NAME"),"")</f>
        <v/>
      </c>
      <c r="C455" s="22">
        <f>IF(LEFT((_xll.BDP(A455,"DVD_DECLARED_DT")),4)="#N/A",NA(),(_xll.BDP(A455,"DVD_DECLARED_DT")))</f>
        <v/>
      </c>
      <c r="D455" s="22">
        <f>IF(LEFT((_xll.BDP(A455,"DVD_EX_DT")),4)="#N/A",NA(),(_xll.BDP(A455,"DVD_EX_DT")))</f>
        <v/>
      </c>
      <c r="E455" s="22">
        <f>IF(LEFT((_xll.BDP(A455,"DVD_SH_LAST")), 4) = "#N/A", NA(), (_xll.BDP(A455,"DVD_SH_LAST")))</f>
        <v/>
      </c>
      <c r="F455" s="22">
        <f>IF(LEFT((_xll.BDP(A455,"DVD_TYP_LAST")), 4) = "#N/A", NA(), (_xll.BDP(A455,"DVD_TYP_LAST")))</f>
        <v/>
      </c>
      <c r="G455" s="16">
        <f>IF(ISNUMBER(C455),IF(C455&gt;=Settings!$B$5,"Y","N"),"")</f>
        <v/>
      </c>
      <c r="H455" s="16">
        <f>IF(G455="Y",IF(ISNUMBER(SEARCH("Special",F455)),"SPECIAL DIVIDEND","NEW DIVIDEND"),IF(ISNUMBER(SEARCH("Special",F455)),"SPECIAL DIVIDEND",""))</f>
        <v/>
      </c>
    </row>
    <row r="456">
      <c r="A456" s="16">
        <f>'Rest Universe'!A457</f>
        <v/>
      </c>
      <c r="B456" s="22">
        <f>IFERROR(_xll.BDP(A456,"NAME"),"")</f>
        <v/>
      </c>
      <c r="C456" s="22">
        <f>IF(LEFT((_xll.BDP(A456,"DVD_DECLARED_DT")),4)="#N/A",NA(),(_xll.BDP(A456,"DVD_DECLARED_DT")))</f>
        <v/>
      </c>
      <c r="D456" s="22">
        <f>IF(LEFT((_xll.BDP(A456,"DVD_EX_DT")),4)="#N/A",NA(),(_xll.BDP(A456,"DVD_EX_DT")))</f>
        <v/>
      </c>
      <c r="E456" s="22">
        <f>IF(LEFT((_xll.BDP(A456,"DVD_SH_LAST")), 4) = "#N/A", NA(), (_xll.BDP(A456,"DVD_SH_LAST")))</f>
        <v/>
      </c>
      <c r="F456" s="22">
        <f>IF(LEFT((_xll.BDP(A456,"DVD_TYP_LAST")), 4) = "#N/A", NA(), (_xll.BDP(A456,"DVD_TYP_LAST")))</f>
        <v/>
      </c>
      <c r="G456" s="16">
        <f>IF(ISNUMBER(C456),IF(C456&gt;=Settings!$B$5,"Y","N"),"")</f>
        <v/>
      </c>
      <c r="H456" s="16">
        <f>IF(G456="Y",IF(ISNUMBER(SEARCH("Special",F456)),"SPECIAL DIVIDEND","NEW DIVIDEND"),IF(ISNUMBER(SEARCH("Special",F456)),"SPECIAL DIVIDEND",""))</f>
        <v/>
      </c>
    </row>
    <row r="457">
      <c r="A457" s="16">
        <f>'Rest Universe'!A458</f>
        <v/>
      </c>
      <c r="B457" s="22">
        <f>IFERROR(_xll.BDP(A457,"NAME"),"")</f>
        <v/>
      </c>
      <c r="C457" s="22">
        <f>IF(LEFT((_xll.BDP(A457,"DVD_DECLARED_DT")),4)="#N/A",NA(),(_xll.BDP(A457,"DVD_DECLARED_DT")))</f>
        <v/>
      </c>
      <c r="D457" s="22">
        <f>IF(LEFT((_xll.BDP(A457,"DVD_EX_DT")),4)="#N/A",NA(),(_xll.BDP(A457,"DVD_EX_DT")))</f>
        <v/>
      </c>
      <c r="E457" s="22">
        <f>IF(LEFT((_xll.BDP(A457,"DVD_SH_LAST")), 4) = "#N/A", NA(), (_xll.BDP(A457,"DVD_SH_LAST")))</f>
        <v/>
      </c>
      <c r="F457" s="22">
        <f>IF(LEFT((_xll.BDP(A457,"DVD_TYP_LAST")), 4) = "#N/A", NA(), (_xll.BDP(A457,"DVD_TYP_LAST")))</f>
        <v/>
      </c>
      <c r="G457" s="16">
        <f>IF(ISNUMBER(C457),IF(C457&gt;=Settings!$B$5,"Y","N"),"")</f>
        <v/>
      </c>
      <c r="H457" s="16">
        <f>IF(G457="Y",IF(ISNUMBER(SEARCH("Special",F457)),"SPECIAL DIVIDEND","NEW DIVIDEND"),IF(ISNUMBER(SEARCH("Special",F457)),"SPECIAL DIVIDEND",""))</f>
        <v/>
      </c>
    </row>
    <row r="458">
      <c r="A458" s="16">
        <f>'Rest Universe'!A459</f>
        <v/>
      </c>
      <c r="B458" s="22">
        <f>IFERROR(_xll.BDP(A458,"NAME"),"")</f>
        <v/>
      </c>
      <c r="C458" s="22">
        <f>IF(LEFT((_xll.BDP(A458,"DVD_DECLARED_DT")),4)="#N/A",NA(),(_xll.BDP(A458,"DVD_DECLARED_DT")))</f>
        <v/>
      </c>
      <c r="D458" s="22">
        <f>IF(LEFT((_xll.BDP(A458,"DVD_EX_DT")),4)="#N/A",NA(),(_xll.BDP(A458,"DVD_EX_DT")))</f>
        <v/>
      </c>
      <c r="E458" s="22">
        <f>IF(LEFT((_xll.BDP(A458,"DVD_SH_LAST")), 4) = "#N/A", NA(), (_xll.BDP(A458,"DVD_SH_LAST")))</f>
        <v/>
      </c>
      <c r="F458" s="22">
        <f>IF(LEFT((_xll.BDP(A458,"DVD_TYP_LAST")), 4) = "#N/A", NA(), (_xll.BDP(A458,"DVD_TYP_LAST")))</f>
        <v/>
      </c>
      <c r="G458" s="16">
        <f>IF(ISNUMBER(C458),IF(C458&gt;=Settings!$B$5,"Y","N"),"")</f>
        <v/>
      </c>
      <c r="H458" s="16">
        <f>IF(G458="Y",IF(ISNUMBER(SEARCH("Special",F458)),"SPECIAL DIVIDEND","NEW DIVIDEND"),IF(ISNUMBER(SEARCH("Special",F458)),"SPECIAL DIVIDEND",""))</f>
        <v/>
      </c>
    </row>
    <row r="459">
      <c r="A459" s="16">
        <f>'Rest Universe'!A460</f>
        <v/>
      </c>
      <c r="B459" s="22">
        <f>IFERROR(_xll.BDP(A459,"NAME"),"")</f>
        <v/>
      </c>
      <c r="C459" s="22">
        <f>IF(LEFT((_xll.BDP(A459,"DVD_DECLARED_DT")),4)="#N/A",NA(),(_xll.BDP(A459,"DVD_DECLARED_DT")))</f>
        <v/>
      </c>
      <c r="D459" s="22">
        <f>IF(LEFT((_xll.BDP(A459,"DVD_EX_DT")),4)="#N/A",NA(),(_xll.BDP(A459,"DVD_EX_DT")))</f>
        <v/>
      </c>
      <c r="E459" s="22">
        <f>IF(LEFT((_xll.BDP(A459,"DVD_SH_LAST")), 4) = "#N/A", NA(), (_xll.BDP(A459,"DVD_SH_LAST")))</f>
        <v/>
      </c>
      <c r="F459" s="22">
        <f>IF(LEFT((_xll.BDP(A459,"DVD_TYP_LAST")), 4) = "#N/A", NA(), (_xll.BDP(A459,"DVD_TYP_LAST")))</f>
        <v/>
      </c>
      <c r="G459" s="16">
        <f>IF(ISNUMBER(C459),IF(C459&gt;=Settings!$B$5,"Y","N"),"")</f>
        <v/>
      </c>
      <c r="H459" s="16">
        <f>IF(G459="Y",IF(ISNUMBER(SEARCH("Special",F459)),"SPECIAL DIVIDEND","NEW DIVIDEND"),IF(ISNUMBER(SEARCH("Special",F459)),"SPECIAL DIVIDEND",""))</f>
        <v/>
      </c>
    </row>
    <row r="460">
      <c r="A460" s="16">
        <f>'Rest Universe'!A461</f>
        <v/>
      </c>
      <c r="B460" s="22">
        <f>IFERROR(_xll.BDP(A460,"NAME"),"")</f>
        <v/>
      </c>
      <c r="C460" s="22">
        <f>IF(LEFT((_xll.BDP(A460,"DVD_DECLARED_DT")),4)="#N/A",NA(),(_xll.BDP(A460,"DVD_DECLARED_DT")))</f>
        <v/>
      </c>
      <c r="D460" s="22">
        <f>IF(LEFT((_xll.BDP(A460,"DVD_EX_DT")),4)="#N/A",NA(),(_xll.BDP(A460,"DVD_EX_DT")))</f>
        <v/>
      </c>
      <c r="E460" s="22">
        <f>IF(LEFT((_xll.BDP(A460,"DVD_SH_LAST")), 4) = "#N/A", NA(), (_xll.BDP(A460,"DVD_SH_LAST")))</f>
        <v/>
      </c>
      <c r="F460" s="22">
        <f>IF(LEFT((_xll.BDP(A460,"DVD_TYP_LAST")), 4) = "#N/A", NA(), (_xll.BDP(A460,"DVD_TYP_LAST")))</f>
        <v/>
      </c>
      <c r="G460" s="16">
        <f>IF(ISNUMBER(C460),IF(C460&gt;=Settings!$B$5,"Y","N"),"")</f>
        <v/>
      </c>
      <c r="H460" s="16">
        <f>IF(G460="Y",IF(ISNUMBER(SEARCH("Special",F460)),"SPECIAL DIVIDEND","NEW DIVIDEND"),IF(ISNUMBER(SEARCH("Special",F460)),"SPECIAL DIVIDEND",""))</f>
        <v/>
      </c>
    </row>
    <row r="461">
      <c r="A461" s="16">
        <f>'Rest Universe'!A462</f>
        <v/>
      </c>
      <c r="B461" s="22">
        <f>IFERROR(_xll.BDP(A461,"NAME"),"")</f>
        <v/>
      </c>
      <c r="C461" s="22">
        <f>IF(LEFT((_xll.BDP(A461,"DVD_DECLARED_DT")),4)="#N/A",NA(),(_xll.BDP(A461,"DVD_DECLARED_DT")))</f>
        <v/>
      </c>
      <c r="D461" s="22">
        <f>IF(LEFT((_xll.BDP(A461,"DVD_EX_DT")),4)="#N/A",NA(),(_xll.BDP(A461,"DVD_EX_DT")))</f>
        <v/>
      </c>
      <c r="E461" s="22">
        <f>IF(LEFT((_xll.BDP(A461,"DVD_SH_LAST")), 4) = "#N/A", NA(), (_xll.BDP(A461,"DVD_SH_LAST")))</f>
        <v/>
      </c>
      <c r="F461" s="22">
        <f>IF(LEFT((_xll.BDP(A461,"DVD_TYP_LAST")), 4) = "#N/A", NA(), (_xll.BDP(A461,"DVD_TYP_LAST")))</f>
        <v/>
      </c>
      <c r="G461" s="16">
        <f>IF(ISNUMBER(C461),IF(C461&gt;=Settings!$B$5,"Y","N"),"")</f>
        <v/>
      </c>
      <c r="H461" s="16">
        <f>IF(G461="Y",IF(ISNUMBER(SEARCH("Special",F461)),"SPECIAL DIVIDEND","NEW DIVIDEND"),IF(ISNUMBER(SEARCH("Special",F461)),"SPECIAL DIVIDEND",""))</f>
        <v/>
      </c>
    </row>
    <row r="462">
      <c r="A462" s="16">
        <f>'Rest Universe'!A463</f>
        <v/>
      </c>
      <c r="B462" s="22">
        <f>IFERROR(_xll.BDP(A462,"NAME"),"")</f>
        <v/>
      </c>
      <c r="C462" s="22">
        <f>IF(LEFT((_xll.BDP(A462,"DVD_DECLARED_DT")),4)="#N/A",NA(),(_xll.BDP(A462,"DVD_DECLARED_DT")))</f>
        <v/>
      </c>
      <c r="D462" s="22">
        <f>IF(LEFT((_xll.BDP(A462,"DVD_EX_DT")),4)="#N/A",NA(),(_xll.BDP(A462,"DVD_EX_DT")))</f>
        <v/>
      </c>
      <c r="E462" s="22">
        <f>IF(LEFT((_xll.BDP(A462,"DVD_SH_LAST")), 4) = "#N/A", NA(), (_xll.BDP(A462,"DVD_SH_LAST")))</f>
        <v/>
      </c>
      <c r="F462" s="22">
        <f>IF(LEFT((_xll.BDP(A462,"DVD_TYP_LAST")), 4) = "#N/A", NA(), (_xll.BDP(A462,"DVD_TYP_LAST")))</f>
        <v/>
      </c>
      <c r="G462" s="16">
        <f>IF(ISNUMBER(C462),IF(C462&gt;=Settings!$B$5,"Y","N"),"")</f>
        <v/>
      </c>
      <c r="H462" s="16">
        <f>IF(G462="Y",IF(ISNUMBER(SEARCH("Special",F462)),"SPECIAL DIVIDEND","NEW DIVIDEND"),IF(ISNUMBER(SEARCH("Special",F462)),"SPECIAL DIVIDEND",""))</f>
        <v/>
      </c>
    </row>
    <row r="463">
      <c r="A463" s="16">
        <f>'Rest Universe'!A464</f>
        <v/>
      </c>
      <c r="B463" s="22">
        <f>IFERROR(_xll.BDP(A463,"NAME"),"")</f>
        <v/>
      </c>
      <c r="C463" s="22">
        <f>IF(LEFT((_xll.BDP(A463,"DVD_DECLARED_DT")),4)="#N/A",NA(),(_xll.BDP(A463,"DVD_DECLARED_DT")))</f>
        <v/>
      </c>
      <c r="D463" s="22">
        <f>IF(LEFT((_xll.BDP(A463,"DVD_EX_DT")),4)="#N/A",NA(),(_xll.BDP(A463,"DVD_EX_DT")))</f>
        <v/>
      </c>
      <c r="E463" s="22">
        <f>IF(LEFT((_xll.BDP(A463,"DVD_SH_LAST")), 4) = "#N/A", NA(), (_xll.BDP(A463,"DVD_SH_LAST")))</f>
        <v/>
      </c>
      <c r="F463" s="22">
        <f>IF(LEFT((_xll.BDP(A463,"DVD_TYP_LAST")), 4) = "#N/A", NA(), (_xll.BDP(A463,"DVD_TYP_LAST")))</f>
        <v/>
      </c>
      <c r="G463" s="16">
        <f>IF(ISNUMBER(C463),IF(C463&gt;=Settings!$B$5,"Y","N"),"")</f>
        <v/>
      </c>
      <c r="H463" s="16">
        <f>IF(G463="Y",IF(ISNUMBER(SEARCH("Special",F463)),"SPECIAL DIVIDEND","NEW DIVIDEND"),IF(ISNUMBER(SEARCH("Special",F463)),"SPECIAL DIVIDEND",""))</f>
        <v/>
      </c>
    </row>
    <row r="464">
      <c r="A464" s="16">
        <f>'Rest Universe'!A465</f>
        <v/>
      </c>
      <c r="B464" s="22">
        <f>IFERROR(_xll.BDP(A464,"NAME"),"")</f>
        <v/>
      </c>
      <c r="C464" s="22">
        <f>IF(LEFT((_xll.BDP(A464,"DVD_DECLARED_DT")),4)="#N/A",NA(),(_xll.BDP(A464,"DVD_DECLARED_DT")))</f>
        <v/>
      </c>
      <c r="D464" s="22">
        <f>IF(LEFT((_xll.BDP(A464,"DVD_EX_DT")),4)="#N/A",NA(),(_xll.BDP(A464,"DVD_EX_DT")))</f>
        <v/>
      </c>
      <c r="E464" s="22">
        <f>IF(LEFT((_xll.BDP(A464,"DVD_SH_LAST")), 4) = "#N/A", NA(), (_xll.BDP(A464,"DVD_SH_LAST")))</f>
        <v/>
      </c>
      <c r="F464" s="22">
        <f>IF(LEFT((_xll.BDP(A464,"DVD_TYP_LAST")), 4) = "#N/A", NA(), (_xll.BDP(A464,"DVD_TYP_LAST")))</f>
        <v/>
      </c>
      <c r="G464" s="16">
        <f>IF(ISNUMBER(C464),IF(C464&gt;=Settings!$B$5,"Y","N"),"")</f>
        <v/>
      </c>
      <c r="H464" s="16">
        <f>IF(G464="Y",IF(ISNUMBER(SEARCH("Special",F464)),"SPECIAL DIVIDEND","NEW DIVIDEND"),IF(ISNUMBER(SEARCH("Special",F464)),"SPECIAL DIVIDEND",""))</f>
        <v/>
      </c>
    </row>
    <row r="465">
      <c r="A465" s="16">
        <f>'Rest Universe'!A466</f>
        <v/>
      </c>
      <c r="B465" s="22">
        <f>IFERROR(_xll.BDP(A465,"NAME"),"")</f>
        <v/>
      </c>
      <c r="C465" s="22">
        <f>IF(LEFT((_xll.BDP(A465,"DVD_DECLARED_DT")),4)="#N/A",NA(),(_xll.BDP(A465,"DVD_DECLARED_DT")))</f>
        <v/>
      </c>
      <c r="D465" s="22">
        <f>IF(LEFT((_xll.BDP(A465,"DVD_EX_DT")),4)="#N/A",NA(),(_xll.BDP(A465,"DVD_EX_DT")))</f>
        <v/>
      </c>
      <c r="E465" s="22">
        <f>IF(LEFT((_xll.BDP(A465,"DVD_SH_LAST")), 4) = "#N/A", NA(), (_xll.BDP(A465,"DVD_SH_LAST")))</f>
        <v/>
      </c>
      <c r="F465" s="22">
        <f>IF(LEFT((_xll.BDP(A465,"DVD_TYP_LAST")), 4) = "#N/A", NA(), (_xll.BDP(A465,"DVD_TYP_LAST")))</f>
        <v/>
      </c>
      <c r="G465" s="16">
        <f>IF(ISNUMBER(C465),IF(C465&gt;=Settings!$B$5,"Y","N"),"")</f>
        <v/>
      </c>
      <c r="H465" s="16">
        <f>IF(G465="Y",IF(ISNUMBER(SEARCH("Special",F465)),"SPECIAL DIVIDEND","NEW DIVIDEND"),IF(ISNUMBER(SEARCH("Special",F465)),"SPECIAL DIVIDEND",""))</f>
        <v/>
      </c>
    </row>
    <row r="466">
      <c r="A466" s="16">
        <f>'Rest Universe'!A467</f>
        <v/>
      </c>
      <c r="B466" s="22">
        <f>IFERROR(_xll.BDP(A466,"NAME"),"")</f>
        <v/>
      </c>
      <c r="C466" s="22">
        <f>IF(LEFT((_xll.BDP(A466,"DVD_DECLARED_DT")),4)="#N/A",NA(),(_xll.BDP(A466,"DVD_DECLARED_DT")))</f>
        <v/>
      </c>
      <c r="D466" s="22">
        <f>IF(LEFT((_xll.BDP(A466,"DVD_EX_DT")),4)="#N/A",NA(),(_xll.BDP(A466,"DVD_EX_DT")))</f>
        <v/>
      </c>
      <c r="E466" s="22">
        <f>IF(LEFT((_xll.BDP(A466,"DVD_SH_LAST")), 4) = "#N/A", NA(), (_xll.BDP(A466,"DVD_SH_LAST")))</f>
        <v/>
      </c>
      <c r="F466" s="22">
        <f>IF(LEFT((_xll.BDP(A466,"DVD_TYP_LAST")), 4) = "#N/A", NA(), (_xll.BDP(A466,"DVD_TYP_LAST")))</f>
        <v/>
      </c>
      <c r="G466" s="16">
        <f>IF(ISNUMBER(C466),IF(C466&gt;=Settings!$B$5,"Y","N"),"")</f>
        <v/>
      </c>
      <c r="H466" s="16">
        <f>IF(G466="Y",IF(ISNUMBER(SEARCH("Special",F466)),"SPECIAL DIVIDEND","NEW DIVIDEND"),IF(ISNUMBER(SEARCH("Special",F466)),"SPECIAL DIVIDEND",""))</f>
        <v/>
      </c>
    </row>
    <row r="467">
      <c r="A467" s="16">
        <f>'Rest Universe'!A468</f>
        <v/>
      </c>
      <c r="B467" s="22">
        <f>IFERROR(_xll.BDP(A467,"NAME"),"")</f>
        <v/>
      </c>
      <c r="C467" s="22">
        <f>IF(LEFT((_xll.BDP(A467,"DVD_DECLARED_DT")),4)="#N/A",NA(),(_xll.BDP(A467,"DVD_DECLARED_DT")))</f>
        <v/>
      </c>
      <c r="D467" s="22">
        <f>IF(LEFT((_xll.BDP(A467,"DVD_EX_DT")),4)="#N/A",NA(),(_xll.BDP(A467,"DVD_EX_DT")))</f>
        <v/>
      </c>
      <c r="E467" s="22">
        <f>IF(LEFT((_xll.BDP(A467,"DVD_SH_LAST")), 4) = "#N/A", NA(), (_xll.BDP(A467,"DVD_SH_LAST")))</f>
        <v/>
      </c>
      <c r="F467" s="22">
        <f>IF(LEFT((_xll.BDP(A467,"DVD_TYP_LAST")), 4) = "#N/A", NA(), (_xll.BDP(A467,"DVD_TYP_LAST")))</f>
        <v/>
      </c>
      <c r="G467" s="16">
        <f>IF(ISNUMBER(C467),IF(C467&gt;=Settings!$B$5,"Y","N"),"")</f>
        <v/>
      </c>
      <c r="H467" s="16">
        <f>IF(G467="Y",IF(ISNUMBER(SEARCH("Special",F467)),"SPECIAL DIVIDEND","NEW DIVIDEND"),IF(ISNUMBER(SEARCH("Special",F467)),"SPECIAL DIVIDEND",""))</f>
        <v/>
      </c>
    </row>
    <row r="468">
      <c r="A468" s="16">
        <f>'Rest Universe'!A469</f>
        <v/>
      </c>
      <c r="B468" s="22">
        <f>IFERROR(_xll.BDP(A468,"NAME"),"")</f>
        <v/>
      </c>
      <c r="C468" s="22">
        <f>IF(LEFT((_xll.BDP(A468,"DVD_DECLARED_DT")),4)="#N/A",NA(),(_xll.BDP(A468,"DVD_DECLARED_DT")))</f>
        <v/>
      </c>
      <c r="D468" s="22">
        <f>IF(LEFT((_xll.BDP(A468,"DVD_EX_DT")),4)="#N/A",NA(),(_xll.BDP(A468,"DVD_EX_DT")))</f>
        <v/>
      </c>
      <c r="E468" s="22">
        <f>IF(LEFT((_xll.BDP(A468,"DVD_SH_LAST")), 4) = "#N/A", NA(), (_xll.BDP(A468,"DVD_SH_LAST")))</f>
        <v/>
      </c>
      <c r="F468" s="22">
        <f>IF(LEFT((_xll.BDP(A468,"DVD_TYP_LAST")), 4) = "#N/A", NA(), (_xll.BDP(A468,"DVD_TYP_LAST")))</f>
        <v/>
      </c>
      <c r="G468" s="16">
        <f>IF(ISNUMBER(C468),IF(C468&gt;=Settings!$B$5,"Y","N"),"")</f>
        <v/>
      </c>
      <c r="H468" s="16">
        <f>IF(G468="Y",IF(ISNUMBER(SEARCH("Special",F468)),"SPECIAL DIVIDEND","NEW DIVIDEND"),IF(ISNUMBER(SEARCH("Special",F468)),"SPECIAL DIVIDEND",""))</f>
        <v/>
      </c>
    </row>
    <row r="469">
      <c r="A469" s="16">
        <f>'Rest Universe'!A470</f>
        <v/>
      </c>
      <c r="B469" s="22">
        <f>IFERROR(_xll.BDP(A469,"NAME"),"")</f>
        <v/>
      </c>
      <c r="C469" s="22">
        <f>IF(LEFT((_xll.BDP(A469,"DVD_DECLARED_DT")),4)="#N/A",NA(),(_xll.BDP(A469,"DVD_DECLARED_DT")))</f>
        <v/>
      </c>
      <c r="D469" s="22">
        <f>IF(LEFT((_xll.BDP(A469,"DVD_EX_DT")),4)="#N/A",NA(),(_xll.BDP(A469,"DVD_EX_DT")))</f>
        <v/>
      </c>
      <c r="E469" s="22">
        <f>IF(LEFT((_xll.BDP(A469,"DVD_SH_LAST")), 4) = "#N/A", NA(), (_xll.BDP(A469,"DVD_SH_LAST")))</f>
        <v/>
      </c>
      <c r="F469" s="22">
        <f>IF(LEFT((_xll.BDP(A469,"DVD_TYP_LAST")), 4) = "#N/A", NA(), (_xll.BDP(A469,"DVD_TYP_LAST")))</f>
        <v/>
      </c>
      <c r="G469" s="16">
        <f>IF(ISNUMBER(C469),IF(C469&gt;=Settings!$B$5,"Y","N"),"")</f>
        <v/>
      </c>
      <c r="H469" s="16">
        <f>IF(G469="Y",IF(ISNUMBER(SEARCH("Special",F469)),"SPECIAL DIVIDEND","NEW DIVIDEND"),IF(ISNUMBER(SEARCH("Special",F469)),"SPECIAL DIVIDEND",""))</f>
        <v/>
      </c>
    </row>
    <row r="470">
      <c r="A470" s="16">
        <f>'Rest Universe'!A471</f>
        <v/>
      </c>
      <c r="B470" s="22">
        <f>IFERROR(_xll.BDP(A470,"NAME"),"")</f>
        <v/>
      </c>
      <c r="C470" s="22">
        <f>IF(LEFT((_xll.BDP(A470,"DVD_DECLARED_DT")),4)="#N/A",NA(),(_xll.BDP(A470,"DVD_DECLARED_DT")))</f>
        <v/>
      </c>
      <c r="D470" s="22">
        <f>IF(LEFT((_xll.BDP(A470,"DVD_EX_DT")),4)="#N/A",NA(),(_xll.BDP(A470,"DVD_EX_DT")))</f>
        <v/>
      </c>
      <c r="E470" s="22">
        <f>IF(LEFT((_xll.BDP(A470,"DVD_SH_LAST")), 4) = "#N/A", NA(), (_xll.BDP(A470,"DVD_SH_LAST")))</f>
        <v/>
      </c>
      <c r="F470" s="22">
        <f>IF(LEFT((_xll.BDP(A470,"DVD_TYP_LAST")), 4) = "#N/A", NA(), (_xll.BDP(A470,"DVD_TYP_LAST")))</f>
        <v/>
      </c>
      <c r="G470" s="16">
        <f>IF(ISNUMBER(C470),IF(C470&gt;=Settings!$B$5,"Y","N"),"")</f>
        <v/>
      </c>
      <c r="H470" s="16">
        <f>IF(G470="Y",IF(ISNUMBER(SEARCH("Special",F470)),"SPECIAL DIVIDEND","NEW DIVIDEND"),IF(ISNUMBER(SEARCH("Special",F470)),"SPECIAL DIVIDEND",""))</f>
        <v/>
      </c>
    </row>
    <row r="471">
      <c r="A471" s="16">
        <f>'Rest Universe'!A472</f>
        <v/>
      </c>
      <c r="B471" s="22">
        <f>IFERROR(_xll.BDP(A471,"NAME"),"")</f>
        <v/>
      </c>
      <c r="C471" s="22">
        <f>IF(LEFT((_xll.BDP(A471,"DVD_DECLARED_DT")),4)="#N/A",NA(),(_xll.BDP(A471,"DVD_DECLARED_DT")))</f>
        <v/>
      </c>
      <c r="D471" s="22">
        <f>IF(LEFT((_xll.BDP(A471,"DVD_EX_DT")),4)="#N/A",NA(),(_xll.BDP(A471,"DVD_EX_DT")))</f>
        <v/>
      </c>
      <c r="E471" s="22">
        <f>IF(LEFT((_xll.BDP(A471,"DVD_SH_LAST")), 4) = "#N/A", NA(), (_xll.BDP(A471,"DVD_SH_LAST")))</f>
        <v/>
      </c>
      <c r="F471" s="22">
        <f>IF(LEFT((_xll.BDP(A471,"DVD_TYP_LAST")), 4) = "#N/A", NA(), (_xll.BDP(A471,"DVD_TYP_LAST")))</f>
        <v/>
      </c>
      <c r="G471" s="16">
        <f>IF(ISNUMBER(C471),IF(C471&gt;=Settings!$B$5,"Y","N"),"")</f>
        <v/>
      </c>
      <c r="H471" s="16">
        <f>IF(G471="Y",IF(ISNUMBER(SEARCH("Special",F471)),"SPECIAL DIVIDEND","NEW DIVIDEND"),IF(ISNUMBER(SEARCH("Special",F471)),"SPECIAL DIVIDEND",""))</f>
        <v/>
      </c>
    </row>
    <row r="472">
      <c r="A472" s="16">
        <f>'Rest Universe'!A473</f>
        <v/>
      </c>
      <c r="B472" s="22">
        <f>IFERROR(_xll.BDP(A472,"NAME"),"")</f>
        <v/>
      </c>
      <c r="C472" s="22">
        <f>IF(LEFT((_xll.BDP(A472,"DVD_DECLARED_DT")),4)="#N/A",NA(),(_xll.BDP(A472,"DVD_DECLARED_DT")))</f>
        <v/>
      </c>
      <c r="D472" s="22">
        <f>IF(LEFT((_xll.BDP(A472,"DVD_EX_DT")),4)="#N/A",NA(),(_xll.BDP(A472,"DVD_EX_DT")))</f>
        <v/>
      </c>
      <c r="E472" s="22">
        <f>IF(LEFT((_xll.BDP(A472,"DVD_SH_LAST")), 4) = "#N/A", NA(), (_xll.BDP(A472,"DVD_SH_LAST")))</f>
        <v/>
      </c>
      <c r="F472" s="22">
        <f>IF(LEFT((_xll.BDP(A472,"DVD_TYP_LAST")), 4) = "#N/A", NA(), (_xll.BDP(A472,"DVD_TYP_LAST")))</f>
        <v/>
      </c>
      <c r="G472" s="16">
        <f>IF(ISNUMBER(C472),IF(C472&gt;=Settings!$B$5,"Y","N"),"")</f>
        <v/>
      </c>
      <c r="H472" s="16">
        <f>IF(G472="Y",IF(ISNUMBER(SEARCH("Special",F472)),"SPECIAL DIVIDEND","NEW DIVIDEND"),IF(ISNUMBER(SEARCH("Special",F472)),"SPECIAL DIVIDEND",""))</f>
        <v/>
      </c>
    </row>
    <row r="473">
      <c r="A473" s="16">
        <f>'Rest Universe'!A474</f>
        <v/>
      </c>
      <c r="B473" s="22">
        <f>IFERROR(_xll.BDP(A473,"NAME"),"")</f>
        <v/>
      </c>
      <c r="C473" s="22">
        <f>IF(LEFT((_xll.BDP(A473,"DVD_DECLARED_DT")),4)="#N/A",NA(),(_xll.BDP(A473,"DVD_DECLARED_DT")))</f>
        <v/>
      </c>
      <c r="D473" s="22">
        <f>IF(LEFT((_xll.BDP(A473,"DVD_EX_DT")),4)="#N/A",NA(),(_xll.BDP(A473,"DVD_EX_DT")))</f>
        <v/>
      </c>
      <c r="E473" s="22">
        <f>IF(LEFT((_xll.BDP(A473,"DVD_SH_LAST")), 4) = "#N/A", NA(), (_xll.BDP(A473,"DVD_SH_LAST")))</f>
        <v/>
      </c>
      <c r="F473" s="22">
        <f>IF(LEFT((_xll.BDP(A473,"DVD_TYP_LAST")), 4) = "#N/A", NA(), (_xll.BDP(A473,"DVD_TYP_LAST")))</f>
        <v/>
      </c>
      <c r="G473" s="16">
        <f>IF(ISNUMBER(C473),IF(C473&gt;=Settings!$B$5,"Y","N"),"")</f>
        <v/>
      </c>
      <c r="H473" s="16">
        <f>IF(G473="Y",IF(ISNUMBER(SEARCH("Special",F473)),"SPECIAL DIVIDEND","NEW DIVIDEND"),IF(ISNUMBER(SEARCH("Special",F473)),"SPECIAL DIVIDEND",""))</f>
        <v/>
      </c>
    </row>
    <row r="474">
      <c r="A474" s="16">
        <f>'Rest Universe'!A475</f>
        <v/>
      </c>
      <c r="B474" s="22">
        <f>IFERROR(_xll.BDP(A474,"NAME"),"")</f>
        <v/>
      </c>
      <c r="C474" s="22">
        <f>IF(LEFT((_xll.BDP(A474,"DVD_DECLARED_DT")),4)="#N/A",NA(),(_xll.BDP(A474,"DVD_DECLARED_DT")))</f>
        <v/>
      </c>
      <c r="D474" s="22">
        <f>IF(LEFT((_xll.BDP(A474,"DVD_EX_DT")),4)="#N/A",NA(),(_xll.BDP(A474,"DVD_EX_DT")))</f>
        <v/>
      </c>
      <c r="E474" s="22">
        <f>IF(LEFT((_xll.BDP(A474,"DVD_SH_LAST")), 4) = "#N/A", NA(), (_xll.BDP(A474,"DVD_SH_LAST")))</f>
        <v/>
      </c>
      <c r="F474" s="22">
        <f>IF(LEFT((_xll.BDP(A474,"DVD_TYP_LAST")), 4) = "#N/A", NA(), (_xll.BDP(A474,"DVD_TYP_LAST")))</f>
        <v/>
      </c>
      <c r="G474" s="16">
        <f>IF(ISNUMBER(C474),IF(C474&gt;=Settings!$B$5,"Y","N"),"")</f>
        <v/>
      </c>
      <c r="H474" s="16">
        <f>IF(G474="Y",IF(ISNUMBER(SEARCH("Special",F474)),"SPECIAL DIVIDEND","NEW DIVIDEND"),IF(ISNUMBER(SEARCH("Special",F474)),"SPECIAL DIVIDEND",""))</f>
        <v/>
      </c>
    </row>
    <row r="475">
      <c r="A475" s="16">
        <f>'Rest Universe'!A476</f>
        <v/>
      </c>
      <c r="B475" s="22">
        <f>IFERROR(_xll.BDP(A475,"NAME"),"")</f>
        <v/>
      </c>
      <c r="C475" s="22">
        <f>IF(LEFT((_xll.BDP(A475,"DVD_DECLARED_DT")),4)="#N/A",NA(),(_xll.BDP(A475,"DVD_DECLARED_DT")))</f>
        <v/>
      </c>
      <c r="D475" s="22">
        <f>IF(LEFT((_xll.BDP(A475,"DVD_EX_DT")),4)="#N/A",NA(),(_xll.BDP(A475,"DVD_EX_DT")))</f>
        <v/>
      </c>
      <c r="E475" s="22">
        <f>IF(LEFT((_xll.BDP(A475,"DVD_SH_LAST")), 4) = "#N/A", NA(), (_xll.BDP(A475,"DVD_SH_LAST")))</f>
        <v/>
      </c>
      <c r="F475" s="22">
        <f>IF(LEFT((_xll.BDP(A475,"DVD_TYP_LAST")), 4) = "#N/A", NA(), (_xll.BDP(A475,"DVD_TYP_LAST")))</f>
        <v/>
      </c>
      <c r="G475" s="16">
        <f>IF(ISNUMBER(C475),IF(C475&gt;=Settings!$B$5,"Y","N"),"")</f>
        <v/>
      </c>
      <c r="H475" s="16">
        <f>IF(G475="Y",IF(ISNUMBER(SEARCH("Special",F475)),"SPECIAL DIVIDEND","NEW DIVIDEND"),IF(ISNUMBER(SEARCH("Special",F475)),"SPECIAL DIVIDEND",""))</f>
        <v/>
      </c>
    </row>
    <row r="476">
      <c r="A476" s="16">
        <f>'Rest Universe'!A477</f>
        <v/>
      </c>
      <c r="B476" s="22">
        <f>IFERROR(_xll.BDP(A476,"NAME"),"")</f>
        <v/>
      </c>
      <c r="C476" s="22">
        <f>IF(LEFT((_xll.BDP(A476,"DVD_DECLARED_DT")),4)="#N/A",NA(),(_xll.BDP(A476,"DVD_DECLARED_DT")))</f>
        <v/>
      </c>
      <c r="D476" s="22">
        <f>IF(LEFT((_xll.BDP(A476,"DVD_EX_DT")),4)="#N/A",NA(),(_xll.BDP(A476,"DVD_EX_DT")))</f>
        <v/>
      </c>
      <c r="E476" s="22">
        <f>IF(LEFT((_xll.BDP(A476,"DVD_SH_LAST")), 4) = "#N/A", NA(), (_xll.BDP(A476,"DVD_SH_LAST")))</f>
        <v/>
      </c>
      <c r="F476" s="22">
        <f>IF(LEFT((_xll.BDP(A476,"DVD_TYP_LAST")), 4) = "#N/A", NA(), (_xll.BDP(A476,"DVD_TYP_LAST")))</f>
        <v/>
      </c>
      <c r="G476" s="16">
        <f>IF(ISNUMBER(C476),IF(C476&gt;=Settings!$B$5,"Y","N"),"")</f>
        <v/>
      </c>
      <c r="H476" s="16">
        <f>IF(G476="Y",IF(ISNUMBER(SEARCH("Special",F476)),"SPECIAL DIVIDEND","NEW DIVIDEND"),IF(ISNUMBER(SEARCH("Special",F476)),"SPECIAL DIVIDEND",""))</f>
        <v/>
      </c>
    </row>
    <row r="477">
      <c r="A477" s="16">
        <f>'Rest Universe'!A478</f>
        <v/>
      </c>
      <c r="B477" s="22">
        <f>IFERROR(_xll.BDP(A477,"NAME"),"")</f>
        <v/>
      </c>
      <c r="C477" s="22">
        <f>IF(LEFT((_xll.BDP(A477,"DVD_DECLARED_DT")),4)="#N/A",NA(),(_xll.BDP(A477,"DVD_DECLARED_DT")))</f>
        <v/>
      </c>
      <c r="D477" s="22">
        <f>IF(LEFT((_xll.BDP(A477,"DVD_EX_DT")),4)="#N/A",NA(),(_xll.BDP(A477,"DVD_EX_DT")))</f>
        <v/>
      </c>
      <c r="E477" s="22">
        <f>IF(LEFT((_xll.BDP(A477,"DVD_SH_LAST")), 4) = "#N/A", NA(), (_xll.BDP(A477,"DVD_SH_LAST")))</f>
        <v/>
      </c>
      <c r="F477" s="22">
        <f>IF(LEFT((_xll.BDP(A477,"DVD_TYP_LAST")), 4) = "#N/A", NA(), (_xll.BDP(A477,"DVD_TYP_LAST")))</f>
        <v/>
      </c>
      <c r="G477" s="16">
        <f>IF(ISNUMBER(C477),IF(C477&gt;=Settings!$B$5,"Y","N"),"")</f>
        <v/>
      </c>
      <c r="H477" s="16">
        <f>IF(G477="Y",IF(ISNUMBER(SEARCH("Special",F477)),"SPECIAL DIVIDEND","NEW DIVIDEND"),IF(ISNUMBER(SEARCH("Special",F477)),"SPECIAL DIVIDEND",""))</f>
        <v/>
      </c>
    </row>
    <row r="478">
      <c r="A478" s="16">
        <f>'Rest Universe'!A479</f>
        <v/>
      </c>
      <c r="B478" s="22">
        <f>IFERROR(_xll.BDP(A478,"NAME"),"")</f>
        <v/>
      </c>
      <c r="C478" s="22">
        <f>IF(LEFT((_xll.BDP(A478,"DVD_DECLARED_DT")),4)="#N/A",NA(),(_xll.BDP(A478,"DVD_DECLARED_DT")))</f>
        <v/>
      </c>
      <c r="D478" s="22">
        <f>IF(LEFT((_xll.BDP(A478,"DVD_EX_DT")),4)="#N/A",NA(),(_xll.BDP(A478,"DVD_EX_DT")))</f>
        <v/>
      </c>
      <c r="E478" s="22">
        <f>IF(LEFT((_xll.BDP(A478,"DVD_SH_LAST")), 4) = "#N/A", NA(), (_xll.BDP(A478,"DVD_SH_LAST")))</f>
        <v/>
      </c>
      <c r="F478" s="22">
        <f>IF(LEFT((_xll.BDP(A478,"DVD_TYP_LAST")), 4) = "#N/A", NA(), (_xll.BDP(A478,"DVD_TYP_LAST")))</f>
        <v/>
      </c>
      <c r="G478" s="16">
        <f>IF(ISNUMBER(C478),IF(C478&gt;=Settings!$B$5,"Y","N"),"")</f>
        <v/>
      </c>
      <c r="H478" s="16">
        <f>IF(G478="Y",IF(ISNUMBER(SEARCH("Special",F478)),"SPECIAL DIVIDEND","NEW DIVIDEND"),IF(ISNUMBER(SEARCH("Special",F478)),"SPECIAL DIVIDEND",""))</f>
        <v/>
      </c>
    </row>
    <row r="479">
      <c r="A479" s="16">
        <f>'Rest Universe'!A480</f>
        <v/>
      </c>
      <c r="B479" s="22">
        <f>IFERROR(_xll.BDP(A479,"NAME"),"")</f>
        <v/>
      </c>
      <c r="C479" s="22">
        <f>IF(LEFT((_xll.BDP(A479,"DVD_DECLARED_DT")),4)="#N/A",NA(),(_xll.BDP(A479,"DVD_DECLARED_DT")))</f>
        <v/>
      </c>
      <c r="D479" s="22">
        <f>IF(LEFT((_xll.BDP(A479,"DVD_EX_DT")),4)="#N/A",NA(),(_xll.BDP(A479,"DVD_EX_DT")))</f>
        <v/>
      </c>
      <c r="E479" s="22">
        <f>IF(LEFT((_xll.BDP(A479,"DVD_SH_LAST")), 4) = "#N/A", NA(), (_xll.BDP(A479,"DVD_SH_LAST")))</f>
        <v/>
      </c>
      <c r="F479" s="22">
        <f>IF(LEFT((_xll.BDP(A479,"DVD_TYP_LAST")), 4) = "#N/A", NA(), (_xll.BDP(A479,"DVD_TYP_LAST")))</f>
        <v/>
      </c>
      <c r="G479" s="16">
        <f>IF(ISNUMBER(C479),IF(C479&gt;=Settings!$B$5,"Y","N"),"")</f>
        <v/>
      </c>
      <c r="H479" s="16">
        <f>IF(G479="Y",IF(ISNUMBER(SEARCH("Special",F479)),"SPECIAL DIVIDEND","NEW DIVIDEND"),IF(ISNUMBER(SEARCH("Special",F479)),"SPECIAL DIVIDEND",""))</f>
        <v/>
      </c>
    </row>
    <row r="480">
      <c r="A480" s="16">
        <f>'Rest Universe'!A481</f>
        <v/>
      </c>
      <c r="B480" s="22">
        <f>IFERROR(_xll.BDP(A480,"NAME"),"")</f>
        <v/>
      </c>
      <c r="C480" s="22">
        <f>IF(LEFT((_xll.BDP(A480,"DVD_DECLARED_DT")),4)="#N/A",NA(),(_xll.BDP(A480,"DVD_DECLARED_DT")))</f>
        <v/>
      </c>
      <c r="D480" s="22">
        <f>IF(LEFT((_xll.BDP(A480,"DVD_EX_DT")),4)="#N/A",NA(),(_xll.BDP(A480,"DVD_EX_DT")))</f>
        <v/>
      </c>
      <c r="E480" s="22">
        <f>IF(LEFT((_xll.BDP(A480,"DVD_SH_LAST")), 4) = "#N/A", NA(), (_xll.BDP(A480,"DVD_SH_LAST")))</f>
        <v/>
      </c>
      <c r="F480" s="22">
        <f>IF(LEFT((_xll.BDP(A480,"DVD_TYP_LAST")), 4) = "#N/A", NA(), (_xll.BDP(A480,"DVD_TYP_LAST")))</f>
        <v/>
      </c>
      <c r="G480" s="16">
        <f>IF(ISNUMBER(C480),IF(C480&gt;=Settings!$B$5,"Y","N"),"")</f>
        <v/>
      </c>
      <c r="H480" s="16">
        <f>IF(G480="Y",IF(ISNUMBER(SEARCH("Special",F480)),"SPECIAL DIVIDEND","NEW DIVIDEND"),IF(ISNUMBER(SEARCH("Special",F480)),"SPECIAL DIVIDEND",""))</f>
        <v/>
      </c>
    </row>
    <row r="481">
      <c r="A481" s="16">
        <f>'Rest Universe'!A482</f>
        <v/>
      </c>
      <c r="B481" s="22">
        <f>IFERROR(_xll.BDP(A481,"NAME"),"")</f>
        <v/>
      </c>
      <c r="C481" s="22">
        <f>IF(LEFT((_xll.BDP(A481,"DVD_DECLARED_DT")),4)="#N/A",NA(),(_xll.BDP(A481,"DVD_DECLARED_DT")))</f>
        <v/>
      </c>
      <c r="D481" s="22">
        <f>IF(LEFT((_xll.BDP(A481,"DVD_EX_DT")),4)="#N/A",NA(),(_xll.BDP(A481,"DVD_EX_DT")))</f>
        <v/>
      </c>
      <c r="E481" s="22">
        <f>IF(LEFT((_xll.BDP(A481,"DVD_SH_LAST")), 4) = "#N/A", NA(), (_xll.BDP(A481,"DVD_SH_LAST")))</f>
        <v/>
      </c>
      <c r="F481" s="22">
        <f>IF(LEFT((_xll.BDP(A481,"DVD_TYP_LAST")), 4) = "#N/A", NA(), (_xll.BDP(A481,"DVD_TYP_LAST")))</f>
        <v/>
      </c>
      <c r="G481" s="16">
        <f>IF(ISNUMBER(C481),IF(C481&gt;=Settings!$B$5,"Y","N"),"")</f>
        <v/>
      </c>
      <c r="H481" s="16">
        <f>IF(G481="Y",IF(ISNUMBER(SEARCH("Special",F481)),"SPECIAL DIVIDEND","NEW DIVIDEND"),IF(ISNUMBER(SEARCH("Special",F481)),"SPECIAL DIVIDEND",""))</f>
        <v/>
      </c>
    </row>
    <row r="482">
      <c r="A482" s="16">
        <f>'Rest Universe'!A483</f>
        <v/>
      </c>
      <c r="B482" s="22">
        <f>IFERROR(_xll.BDP(A482,"NAME"),"")</f>
        <v/>
      </c>
      <c r="C482" s="22">
        <f>IF(LEFT((_xll.BDP(A482,"DVD_DECLARED_DT")),4)="#N/A",NA(),(_xll.BDP(A482,"DVD_DECLARED_DT")))</f>
        <v/>
      </c>
      <c r="D482" s="22">
        <f>IF(LEFT((_xll.BDP(A482,"DVD_EX_DT")),4)="#N/A",NA(),(_xll.BDP(A482,"DVD_EX_DT")))</f>
        <v/>
      </c>
      <c r="E482" s="22">
        <f>IF(LEFT((_xll.BDP(A482,"DVD_SH_LAST")), 4) = "#N/A", NA(), (_xll.BDP(A482,"DVD_SH_LAST")))</f>
        <v/>
      </c>
      <c r="F482" s="22">
        <f>IF(LEFT((_xll.BDP(A482,"DVD_TYP_LAST")), 4) = "#N/A", NA(), (_xll.BDP(A482,"DVD_TYP_LAST")))</f>
        <v/>
      </c>
      <c r="G482" s="16">
        <f>IF(ISNUMBER(C482),IF(C482&gt;=Settings!$B$5,"Y","N"),"")</f>
        <v/>
      </c>
      <c r="H482" s="16">
        <f>IF(G482="Y",IF(ISNUMBER(SEARCH("Special",F482)),"SPECIAL DIVIDEND","NEW DIVIDEND"),IF(ISNUMBER(SEARCH("Special",F482)),"SPECIAL DIVIDEND",""))</f>
        <v/>
      </c>
    </row>
    <row r="483">
      <c r="A483" s="16">
        <f>'Rest Universe'!A484</f>
        <v/>
      </c>
      <c r="B483" s="22">
        <f>IFERROR(_xll.BDP(A483,"NAME"),"")</f>
        <v/>
      </c>
      <c r="C483" s="22">
        <f>IF(LEFT((_xll.BDP(A483,"DVD_DECLARED_DT")),4)="#N/A",NA(),(_xll.BDP(A483,"DVD_DECLARED_DT")))</f>
        <v/>
      </c>
      <c r="D483" s="22">
        <f>IF(LEFT((_xll.BDP(A483,"DVD_EX_DT")),4)="#N/A",NA(),(_xll.BDP(A483,"DVD_EX_DT")))</f>
        <v/>
      </c>
      <c r="E483" s="22">
        <f>IF(LEFT((_xll.BDP(A483,"DVD_SH_LAST")), 4) = "#N/A", NA(), (_xll.BDP(A483,"DVD_SH_LAST")))</f>
        <v/>
      </c>
      <c r="F483" s="22">
        <f>IF(LEFT((_xll.BDP(A483,"DVD_TYP_LAST")), 4) = "#N/A", NA(), (_xll.BDP(A483,"DVD_TYP_LAST")))</f>
        <v/>
      </c>
      <c r="G483" s="16">
        <f>IF(ISNUMBER(C483),IF(C483&gt;=Settings!$B$5,"Y","N"),"")</f>
        <v/>
      </c>
      <c r="H483" s="16">
        <f>IF(G483="Y",IF(ISNUMBER(SEARCH("Special",F483)),"SPECIAL DIVIDEND","NEW DIVIDEND"),IF(ISNUMBER(SEARCH("Special",F483)),"SPECIAL DIVIDEND",""))</f>
        <v/>
      </c>
    </row>
    <row r="484">
      <c r="A484" s="16">
        <f>'Rest Universe'!A485</f>
        <v/>
      </c>
      <c r="B484" s="22">
        <f>IFERROR(_xll.BDP(A484,"NAME"),"")</f>
        <v/>
      </c>
      <c r="C484" s="22">
        <f>IF(LEFT((_xll.BDP(A484,"DVD_DECLARED_DT")),4)="#N/A",NA(),(_xll.BDP(A484,"DVD_DECLARED_DT")))</f>
        <v/>
      </c>
      <c r="D484" s="22">
        <f>IF(LEFT((_xll.BDP(A484,"DVD_EX_DT")),4)="#N/A",NA(),(_xll.BDP(A484,"DVD_EX_DT")))</f>
        <v/>
      </c>
      <c r="E484" s="22">
        <f>IF(LEFT((_xll.BDP(A484,"DVD_SH_LAST")), 4) = "#N/A", NA(), (_xll.BDP(A484,"DVD_SH_LAST")))</f>
        <v/>
      </c>
      <c r="F484" s="22">
        <f>IF(LEFT((_xll.BDP(A484,"DVD_TYP_LAST")), 4) = "#N/A", NA(), (_xll.BDP(A484,"DVD_TYP_LAST")))</f>
        <v/>
      </c>
      <c r="G484" s="16">
        <f>IF(ISNUMBER(C484),IF(C484&gt;=Settings!$B$5,"Y","N"),"")</f>
        <v/>
      </c>
      <c r="H484" s="16">
        <f>IF(G484="Y",IF(ISNUMBER(SEARCH("Special",F484)),"SPECIAL DIVIDEND","NEW DIVIDEND"),IF(ISNUMBER(SEARCH("Special",F484)),"SPECIAL DIVIDEND",""))</f>
        <v/>
      </c>
    </row>
    <row r="485">
      <c r="A485" s="16">
        <f>'Rest Universe'!A486</f>
        <v/>
      </c>
      <c r="B485" s="22">
        <f>IFERROR(_xll.BDP(A485,"NAME"),"")</f>
        <v/>
      </c>
      <c r="C485" s="22">
        <f>IF(LEFT((_xll.BDP(A485,"DVD_DECLARED_DT")),4)="#N/A",NA(),(_xll.BDP(A485,"DVD_DECLARED_DT")))</f>
        <v/>
      </c>
      <c r="D485" s="22">
        <f>IF(LEFT((_xll.BDP(A485,"DVD_EX_DT")),4)="#N/A",NA(),(_xll.BDP(A485,"DVD_EX_DT")))</f>
        <v/>
      </c>
      <c r="E485" s="22">
        <f>IF(LEFT((_xll.BDP(A485,"DVD_SH_LAST")), 4) = "#N/A", NA(), (_xll.BDP(A485,"DVD_SH_LAST")))</f>
        <v/>
      </c>
      <c r="F485" s="22">
        <f>IF(LEFT((_xll.BDP(A485,"DVD_TYP_LAST")), 4) = "#N/A", NA(), (_xll.BDP(A485,"DVD_TYP_LAST")))</f>
        <v/>
      </c>
      <c r="G485" s="16">
        <f>IF(ISNUMBER(C485),IF(C485&gt;=Settings!$B$5,"Y","N"),"")</f>
        <v/>
      </c>
      <c r="H485" s="16">
        <f>IF(G485="Y",IF(ISNUMBER(SEARCH("Special",F485)),"SPECIAL DIVIDEND","NEW DIVIDEND"),IF(ISNUMBER(SEARCH("Special",F485)),"SPECIAL DIVIDEND",""))</f>
        <v/>
      </c>
    </row>
    <row r="486">
      <c r="A486" s="16">
        <f>'Rest Universe'!A487</f>
        <v/>
      </c>
      <c r="B486" s="22">
        <f>IFERROR(_xll.BDP(A486,"NAME"),"")</f>
        <v/>
      </c>
      <c r="C486" s="22">
        <f>IF(LEFT((_xll.BDP(A486,"DVD_DECLARED_DT")),4)="#N/A",NA(),(_xll.BDP(A486,"DVD_DECLARED_DT")))</f>
        <v/>
      </c>
      <c r="D486" s="22">
        <f>IF(LEFT((_xll.BDP(A486,"DVD_EX_DT")),4)="#N/A",NA(),(_xll.BDP(A486,"DVD_EX_DT")))</f>
        <v/>
      </c>
      <c r="E486" s="22">
        <f>IF(LEFT((_xll.BDP(A486,"DVD_SH_LAST")), 4) = "#N/A", NA(), (_xll.BDP(A486,"DVD_SH_LAST")))</f>
        <v/>
      </c>
      <c r="F486" s="22">
        <f>IF(LEFT((_xll.BDP(A486,"DVD_TYP_LAST")), 4) = "#N/A", NA(), (_xll.BDP(A486,"DVD_TYP_LAST")))</f>
        <v/>
      </c>
      <c r="G486" s="16">
        <f>IF(ISNUMBER(C486),IF(C486&gt;=Settings!$B$5,"Y","N"),"")</f>
        <v/>
      </c>
      <c r="H486" s="16">
        <f>IF(G486="Y",IF(ISNUMBER(SEARCH("Special",F486)),"SPECIAL DIVIDEND","NEW DIVIDEND"),IF(ISNUMBER(SEARCH("Special",F486)),"SPECIAL DIVIDEND",""))</f>
        <v/>
      </c>
    </row>
    <row r="487">
      <c r="A487" s="16">
        <f>'Rest Universe'!A488</f>
        <v/>
      </c>
      <c r="B487" s="22">
        <f>IFERROR(_xll.BDP(A487,"NAME"),"")</f>
        <v/>
      </c>
      <c r="C487" s="22">
        <f>IF(LEFT((_xll.BDP(A487,"DVD_DECLARED_DT")),4)="#N/A",NA(),(_xll.BDP(A487,"DVD_DECLARED_DT")))</f>
        <v/>
      </c>
      <c r="D487" s="22">
        <f>IF(LEFT((_xll.BDP(A487,"DVD_EX_DT")),4)="#N/A",NA(),(_xll.BDP(A487,"DVD_EX_DT")))</f>
        <v/>
      </c>
      <c r="E487" s="22">
        <f>IF(LEFT((_xll.BDP(A487,"DVD_SH_LAST")), 4) = "#N/A", NA(), (_xll.BDP(A487,"DVD_SH_LAST")))</f>
        <v/>
      </c>
      <c r="F487" s="22">
        <f>IF(LEFT((_xll.BDP(A487,"DVD_TYP_LAST")), 4) = "#N/A", NA(), (_xll.BDP(A487,"DVD_TYP_LAST")))</f>
        <v/>
      </c>
      <c r="G487" s="16">
        <f>IF(ISNUMBER(C487),IF(C487&gt;=Settings!$B$5,"Y","N"),"")</f>
        <v/>
      </c>
      <c r="H487" s="16">
        <f>IF(G487="Y",IF(ISNUMBER(SEARCH("Special",F487)),"SPECIAL DIVIDEND","NEW DIVIDEND"),IF(ISNUMBER(SEARCH("Special",F487)),"SPECIAL DIVIDEND",""))</f>
        <v/>
      </c>
    </row>
    <row r="488">
      <c r="A488" s="16">
        <f>'Rest Universe'!A489</f>
        <v/>
      </c>
      <c r="B488" s="22">
        <f>IFERROR(_xll.BDP(A488,"NAME"),"")</f>
        <v/>
      </c>
      <c r="C488" s="22">
        <f>IF(LEFT((_xll.BDP(A488,"DVD_DECLARED_DT")),4)="#N/A",NA(),(_xll.BDP(A488,"DVD_DECLARED_DT")))</f>
        <v/>
      </c>
      <c r="D488" s="22">
        <f>IF(LEFT((_xll.BDP(A488,"DVD_EX_DT")),4)="#N/A",NA(),(_xll.BDP(A488,"DVD_EX_DT")))</f>
        <v/>
      </c>
      <c r="E488" s="22">
        <f>IF(LEFT((_xll.BDP(A488,"DVD_SH_LAST")), 4) = "#N/A", NA(), (_xll.BDP(A488,"DVD_SH_LAST")))</f>
        <v/>
      </c>
      <c r="F488" s="22">
        <f>IF(LEFT((_xll.BDP(A488,"DVD_TYP_LAST")), 4) = "#N/A", NA(), (_xll.BDP(A488,"DVD_TYP_LAST")))</f>
        <v/>
      </c>
      <c r="G488" s="16">
        <f>IF(ISNUMBER(C488),IF(C488&gt;=Settings!$B$5,"Y","N"),"")</f>
        <v/>
      </c>
      <c r="H488" s="16">
        <f>IF(G488="Y",IF(ISNUMBER(SEARCH("Special",F488)),"SPECIAL DIVIDEND","NEW DIVIDEND"),IF(ISNUMBER(SEARCH("Special",F488)),"SPECIAL DIVIDEND",""))</f>
        <v/>
      </c>
    </row>
    <row r="489">
      <c r="A489" s="16">
        <f>'Rest Universe'!A490</f>
        <v/>
      </c>
      <c r="B489" s="22">
        <f>IFERROR(_xll.BDP(A489,"NAME"),"")</f>
        <v/>
      </c>
      <c r="C489" s="22">
        <f>IF(LEFT((_xll.BDP(A489,"DVD_DECLARED_DT")),4)="#N/A",NA(),(_xll.BDP(A489,"DVD_DECLARED_DT")))</f>
        <v/>
      </c>
      <c r="D489" s="22">
        <f>IF(LEFT((_xll.BDP(A489,"DVD_EX_DT")),4)="#N/A",NA(),(_xll.BDP(A489,"DVD_EX_DT")))</f>
        <v/>
      </c>
      <c r="E489" s="22">
        <f>IF(LEFT((_xll.BDP(A489,"DVD_SH_LAST")), 4) = "#N/A", NA(), (_xll.BDP(A489,"DVD_SH_LAST")))</f>
        <v/>
      </c>
      <c r="F489" s="22">
        <f>IF(LEFT((_xll.BDP(A489,"DVD_TYP_LAST")), 4) = "#N/A", NA(), (_xll.BDP(A489,"DVD_TYP_LAST")))</f>
        <v/>
      </c>
      <c r="G489" s="16">
        <f>IF(ISNUMBER(C489),IF(C489&gt;=Settings!$B$5,"Y","N"),"")</f>
        <v/>
      </c>
      <c r="H489" s="16">
        <f>IF(G489="Y",IF(ISNUMBER(SEARCH("Special",F489)),"SPECIAL DIVIDEND","NEW DIVIDEND"),IF(ISNUMBER(SEARCH("Special",F489)),"SPECIAL DIVIDEND",""))</f>
        <v/>
      </c>
    </row>
    <row r="490">
      <c r="A490" s="16">
        <f>'Rest Universe'!A491</f>
        <v/>
      </c>
      <c r="B490" s="22">
        <f>IFERROR(_xll.BDP(A490,"NAME"),"")</f>
        <v/>
      </c>
      <c r="C490" s="22">
        <f>IF(LEFT((_xll.BDP(A490,"DVD_DECLARED_DT")),4)="#N/A",NA(),(_xll.BDP(A490,"DVD_DECLARED_DT")))</f>
        <v/>
      </c>
      <c r="D490" s="22">
        <f>IF(LEFT((_xll.BDP(A490,"DVD_EX_DT")),4)="#N/A",NA(),(_xll.BDP(A490,"DVD_EX_DT")))</f>
        <v/>
      </c>
      <c r="E490" s="22">
        <f>IF(LEFT((_xll.BDP(A490,"DVD_SH_LAST")), 4) = "#N/A", NA(), (_xll.BDP(A490,"DVD_SH_LAST")))</f>
        <v/>
      </c>
      <c r="F490" s="22">
        <f>IF(LEFT((_xll.BDP(A490,"DVD_TYP_LAST")), 4) = "#N/A", NA(), (_xll.BDP(A490,"DVD_TYP_LAST")))</f>
        <v/>
      </c>
      <c r="G490" s="16">
        <f>IF(ISNUMBER(C490),IF(C490&gt;=Settings!$B$5,"Y","N"),"")</f>
        <v/>
      </c>
      <c r="H490" s="16">
        <f>IF(G490="Y",IF(ISNUMBER(SEARCH("Special",F490)),"SPECIAL DIVIDEND","NEW DIVIDEND"),IF(ISNUMBER(SEARCH("Special",F490)),"SPECIAL DIVIDEND",""))</f>
        <v/>
      </c>
    </row>
    <row r="491">
      <c r="A491" s="16">
        <f>'Rest Universe'!A492</f>
        <v/>
      </c>
      <c r="B491" s="22">
        <f>IFERROR(_xll.BDP(A491,"NAME"),"")</f>
        <v/>
      </c>
      <c r="C491" s="22">
        <f>IF(LEFT((_xll.BDP(A491,"DVD_DECLARED_DT")),4)="#N/A",NA(),(_xll.BDP(A491,"DVD_DECLARED_DT")))</f>
        <v/>
      </c>
      <c r="D491" s="22">
        <f>IF(LEFT((_xll.BDP(A491,"DVD_EX_DT")),4)="#N/A",NA(),(_xll.BDP(A491,"DVD_EX_DT")))</f>
        <v/>
      </c>
      <c r="E491" s="22">
        <f>IF(LEFT((_xll.BDP(A491,"DVD_SH_LAST")), 4) = "#N/A", NA(), (_xll.BDP(A491,"DVD_SH_LAST")))</f>
        <v/>
      </c>
      <c r="F491" s="22">
        <f>IF(LEFT((_xll.BDP(A491,"DVD_TYP_LAST")), 4) = "#N/A", NA(), (_xll.BDP(A491,"DVD_TYP_LAST")))</f>
        <v/>
      </c>
      <c r="G491" s="16">
        <f>IF(ISNUMBER(C491),IF(C491&gt;=Settings!$B$5,"Y","N"),"")</f>
        <v/>
      </c>
      <c r="H491" s="16">
        <f>IF(G491="Y",IF(ISNUMBER(SEARCH("Special",F491)),"SPECIAL DIVIDEND","NEW DIVIDEND"),IF(ISNUMBER(SEARCH("Special",F491)),"SPECIAL DIVIDEND",""))</f>
        <v/>
      </c>
    </row>
    <row r="492">
      <c r="A492" s="16">
        <f>'Rest Universe'!A493</f>
        <v/>
      </c>
      <c r="B492" s="22">
        <f>IFERROR(_xll.BDP(A492,"NAME"),"")</f>
        <v/>
      </c>
      <c r="C492" s="22">
        <f>IF(LEFT((_xll.BDP(A492,"DVD_DECLARED_DT")),4)="#N/A",NA(),(_xll.BDP(A492,"DVD_DECLARED_DT")))</f>
        <v/>
      </c>
      <c r="D492" s="22">
        <f>IF(LEFT((_xll.BDP(A492,"DVD_EX_DT")),4)="#N/A",NA(),(_xll.BDP(A492,"DVD_EX_DT")))</f>
        <v/>
      </c>
      <c r="E492" s="22">
        <f>IF(LEFT((_xll.BDP(A492,"DVD_SH_LAST")), 4) = "#N/A", NA(), (_xll.BDP(A492,"DVD_SH_LAST")))</f>
        <v/>
      </c>
      <c r="F492" s="22">
        <f>IF(LEFT((_xll.BDP(A492,"DVD_TYP_LAST")), 4) = "#N/A", NA(), (_xll.BDP(A492,"DVD_TYP_LAST")))</f>
        <v/>
      </c>
      <c r="G492" s="16">
        <f>IF(ISNUMBER(C492),IF(C492&gt;=Settings!$B$5,"Y","N"),"")</f>
        <v/>
      </c>
      <c r="H492" s="16">
        <f>IF(G492="Y",IF(ISNUMBER(SEARCH("Special",F492)),"SPECIAL DIVIDEND","NEW DIVIDEND"),IF(ISNUMBER(SEARCH("Special",F492)),"SPECIAL DIVIDEND",""))</f>
        <v/>
      </c>
    </row>
    <row r="493">
      <c r="A493" s="16">
        <f>'Rest Universe'!A494</f>
        <v/>
      </c>
      <c r="B493" s="22">
        <f>IFERROR(_xll.BDP(A493,"NAME"),"")</f>
        <v/>
      </c>
      <c r="C493" s="22">
        <f>IF(LEFT((_xll.BDP(A493,"DVD_DECLARED_DT")),4)="#N/A",NA(),(_xll.BDP(A493,"DVD_DECLARED_DT")))</f>
        <v/>
      </c>
      <c r="D493" s="22">
        <f>IF(LEFT((_xll.BDP(A493,"DVD_EX_DT")),4)="#N/A",NA(),(_xll.BDP(A493,"DVD_EX_DT")))</f>
        <v/>
      </c>
      <c r="E493" s="22">
        <f>IF(LEFT((_xll.BDP(A493,"DVD_SH_LAST")), 4) = "#N/A", NA(), (_xll.BDP(A493,"DVD_SH_LAST")))</f>
        <v/>
      </c>
      <c r="F493" s="22">
        <f>IF(LEFT((_xll.BDP(A493,"DVD_TYP_LAST")), 4) = "#N/A", NA(), (_xll.BDP(A493,"DVD_TYP_LAST")))</f>
        <v/>
      </c>
      <c r="G493" s="16">
        <f>IF(ISNUMBER(C493),IF(C493&gt;=Settings!$B$5,"Y","N"),"")</f>
        <v/>
      </c>
      <c r="H493" s="16">
        <f>IF(G493="Y",IF(ISNUMBER(SEARCH("Special",F493)),"SPECIAL DIVIDEND","NEW DIVIDEND"),IF(ISNUMBER(SEARCH("Special",F493)),"SPECIAL DIVIDEND",""))</f>
        <v/>
      </c>
    </row>
    <row r="494">
      <c r="A494" s="16">
        <f>'Rest Universe'!A495</f>
        <v/>
      </c>
      <c r="B494" s="22">
        <f>IFERROR(_xll.BDP(A494,"NAME"),"")</f>
        <v/>
      </c>
      <c r="C494" s="22">
        <f>IF(LEFT((_xll.BDP(A494,"DVD_DECLARED_DT")),4)="#N/A",NA(),(_xll.BDP(A494,"DVD_DECLARED_DT")))</f>
        <v/>
      </c>
      <c r="D494" s="22">
        <f>IF(LEFT((_xll.BDP(A494,"DVD_EX_DT")),4)="#N/A",NA(),(_xll.BDP(A494,"DVD_EX_DT")))</f>
        <v/>
      </c>
      <c r="E494" s="22">
        <f>IF(LEFT((_xll.BDP(A494,"DVD_SH_LAST")), 4) = "#N/A", NA(), (_xll.BDP(A494,"DVD_SH_LAST")))</f>
        <v/>
      </c>
      <c r="F494" s="22">
        <f>IF(LEFT((_xll.BDP(A494,"DVD_TYP_LAST")), 4) = "#N/A", NA(), (_xll.BDP(A494,"DVD_TYP_LAST")))</f>
        <v/>
      </c>
      <c r="G494" s="16">
        <f>IF(ISNUMBER(C494),IF(C494&gt;=Settings!$B$5,"Y","N"),"")</f>
        <v/>
      </c>
      <c r="H494" s="16">
        <f>IF(G494="Y",IF(ISNUMBER(SEARCH("Special",F494)),"SPECIAL DIVIDEND","NEW DIVIDEND"),IF(ISNUMBER(SEARCH("Special",F494)),"SPECIAL DIVIDEND",""))</f>
        <v/>
      </c>
    </row>
    <row r="495">
      <c r="A495" s="16">
        <f>'Rest Universe'!A496</f>
        <v/>
      </c>
      <c r="B495" s="22">
        <f>IFERROR(_xll.BDP(A495,"NAME"),"")</f>
        <v/>
      </c>
      <c r="C495" s="22">
        <f>IF(LEFT((_xll.BDP(A495,"DVD_DECLARED_DT")),4)="#N/A",NA(),(_xll.BDP(A495,"DVD_DECLARED_DT")))</f>
        <v/>
      </c>
      <c r="D495" s="22">
        <f>IF(LEFT((_xll.BDP(A495,"DVD_EX_DT")),4)="#N/A",NA(),(_xll.BDP(A495,"DVD_EX_DT")))</f>
        <v/>
      </c>
      <c r="E495" s="22">
        <f>IF(LEFT((_xll.BDP(A495,"DVD_SH_LAST")), 4) = "#N/A", NA(), (_xll.BDP(A495,"DVD_SH_LAST")))</f>
        <v/>
      </c>
      <c r="F495" s="22">
        <f>IF(LEFT((_xll.BDP(A495,"DVD_TYP_LAST")), 4) = "#N/A", NA(), (_xll.BDP(A495,"DVD_TYP_LAST")))</f>
        <v/>
      </c>
      <c r="G495" s="16">
        <f>IF(ISNUMBER(C495),IF(C495&gt;=Settings!$B$5,"Y","N"),"")</f>
        <v/>
      </c>
      <c r="H495" s="16">
        <f>IF(G495="Y",IF(ISNUMBER(SEARCH("Special",F495)),"SPECIAL DIVIDEND","NEW DIVIDEND"),IF(ISNUMBER(SEARCH("Special",F495)),"SPECIAL DIVIDEND",""))</f>
        <v/>
      </c>
    </row>
    <row r="496">
      <c r="A496" s="16">
        <f>'Rest Universe'!A497</f>
        <v/>
      </c>
      <c r="B496" s="22">
        <f>IFERROR(_xll.BDP(A496,"NAME"),"")</f>
        <v/>
      </c>
      <c r="C496" s="22">
        <f>IF(LEFT((_xll.BDP(A496,"DVD_DECLARED_DT")),4)="#N/A",NA(),(_xll.BDP(A496,"DVD_DECLARED_DT")))</f>
        <v/>
      </c>
      <c r="D496" s="22">
        <f>IF(LEFT((_xll.BDP(A496,"DVD_EX_DT")),4)="#N/A",NA(),(_xll.BDP(A496,"DVD_EX_DT")))</f>
        <v/>
      </c>
      <c r="E496" s="22">
        <f>IF(LEFT((_xll.BDP(A496,"DVD_SH_LAST")), 4) = "#N/A", NA(), (_xll.BDP(A496,"DVD_SH_LAST")))</f>
        <v/>
      </c>
      <c r="F496" s="22">
        <f>IF(LEFT((_xll.BDP(A496,"DVD_TYP_LAST")), 4) = "#N/A", NA(), (_xll.BDP(A496,"DVD_TYP_LAST")))</f>
        <v/>
      </c>
      <c r="G496" s="16">
        <f>IF(ISNUMBER(C496),IF(C496&gt;=Settings!$B$5,"Y","N"),"")</f>
        <v/>
      </c>
      <c r="H496" s="16">
        <f>IF(G496="Y",IF(ISNUMBER(SEARCH("Special",F496)),"SPECIAL DIVIDEND","NEW DIVIDEND"),IF(ISNUMBER(SEARCH("Special",F496)),"SPECIAL DIVIDEND",""))</f>
        <v/>
      </c>
    </row>
    <row r="497">
      <c r="A497" s="16">
        <f>'Rest Universe'!A498</f>
        <v/>
      </c>
      <c r="B497" s="22">
        <f>IFERROR(_xll.BDP(A497,"NAME"),"")</f>
        <v/>
      </c>
      <c r="C497" s="22">
        <f>IF(LEFT((_xll.BDP(A497,"DVD_DECLARED_DT")),4)="#N/A",NA(),(_xll.BDP(A497,"DVD_DECLARED_DT")))</f>
        <v/>
      </c>
      <c r="D497" s="22">
        <f>IF(LEFT((_xll.BDP(A497,"DVD_EX_DT")),4)="#N/A",NA(),(_xll.BDP(A497,"DVD_EX_DT")))</f>
        <v/>
      </c>
      <c r="E497" s="22">
        <f>IF(LEFT((_xll.BDP(A497,"DVD_SH_LAST")), 4) = "#N/A", NA(), (_xll.BDP(A497,"DVD_SH_LAST")))</f>
        <v/>
      </c>
      <c r="F497" s="22">
        <f>IF(LEFT((_xll.BDP(A497,"DVD_TYP_LAST")), 4) = "#N/A", NA(), (_xll.BDP(A497,"DVD_TYP_LAST")))</f>
        <v/>
      </c>
      <c r="G497" s="16">
        <f>IF(ISNUMBER(C497),IF(C497&gt;=Settings!$B$5,"Y","N"),"")</f>
        <v/>
      </c>
      <c r="H497" s="16">
        <f>IF(G497="Y",IF(ISNUMBER(SEARCH("Special",F497)),"SPECIAL DIVIDEND","NEW DIVIDEND"),IF(ISNUMBER(SEARCH("Special",F497)),"SPECIAL DIVIDEND",""))</f>
        <v/>
      </c>
    </row>
    <row r="498">
      <c r="A498" s="16">
        <f>'Rest Universe'!A499</f>
        <v/>
      </c>
      <c r="B498" s="22">
        <f>IFERROR(_xll.BDP(A498,"NAME"),"")</f>
        <v/>
      </c>
      <c r="C498" s="22">
        <f>IF(LEFT((_xll.BDP(A498,"DVD_DECLARED_DT")),4)="#N/A",NA(),(_xll.BDP(A498,"DVD_DECLARED_DT")))</f>
        <v/>
      </c>
      <c r="D498" s="22">
        <f>IF(LEFT((_xll.BDP(A498,"DVD_EX_DT")),4)="#N/A",NA(),(_xll.BDP(A498,"DVD_EX_DT")))</f>
        <v/>
      </c>
      <c r="E498" s="22">
        <f>IF(LEFT((_xll.BDP(A498,"DVD_SH_LAST")), 4) = "#N/A", NA(), (_xll.BDP(A498,"DVD_SH_LAST")))</f>
        <v/>
      </c>
      <c r="F498" s="22">
        <f>IF(LEFT((_xll.BDP(A498,"DVD_TYP_LAST")), 4) = "#N/A", NA(), (_xll.BDP(A498,"DVD_TYP_LAST")))</f>
        <v/>
      </c>
      <c r="G498" s="16">
        <f>IF(ISNUMBER(C498),IF(C498&gt;=Settings!$B$5,"Y","N"),"")</f>
        <v/>
      </c>
      <c r="H498" s="16">
        <f>IF(G498="Y",IF(ISNUMBER(SEARCH("Special",F498)),"SPECIAL DIVIDEND","NEW DIVIDEND"),IF(ISNUMBER(SEARCH("Special",F498)),"SPECIAL DIVIDEND",""))</f>
        <v/>
      </c>
    </row>
    <row r="499">
      <c r="A499" s="16">
        <f>'Rest Universe'!A500</f>
        <v/>
      </c>
      <c r="B499" s="22">
        <f>IFERROR(_xll.BDP(A499,"NAME"),"")</f>
        <v/>
      </c>
      <c r="C499" s="22">
        <f>IF(LEFT((_xll.BDP(A499,"DVD_DECLARED_DT")),4)="#N/A",NA(),(_xll.BDP(A499,"DVD_DECLARED_DT")))</f>
        <v/>
      </c>
      <c r="D499" s="22">
        <f>IF(LEFT((_xll.BDP(A499,"DVD_EX_DT")),4)="#N/A",NA(),(_xll.BDP(A499,"DVD_EX_DT")))</f>
        <v/>
      </c>
      <c r="E499" s="22">
        <f>IF(LEFT((_xll.BDP(A499,"DVD_SH_LAST")), 4) = "#N/A", NA(), (_xll.BDP(A499,"DVD_SH_LAST")))</f>
        <v/>
      </c>
      <c r="F499" s="22">
        <f>IF(LEFT((_xll.BDP(A499,"DVD_TYP_LAST")), 4) = "#N/A", NA(), (_xll.BDP(A499,"DVD_TYP_LAST")))</f>
        <v/>
      </c>
      <c r="G499" s="16">
        <f>IF(ISNUMBER(C499),IF(C499&gt;=Settings!$B$5,"Y","N"),"")</f>
        <v/>
      </c>
      <c r="H499" s="16">
        <f>IF(G499="Y",IF(ISNUMBER(SEARCH("Special",F499)),"SPECIAL DIVIDEND","NEW DIVIDEND"),IF(ISNUMBER(SEARCH("Special",F499)),"SPECIAL DIVIDEND",""))</f>
        <v/>
      </c>
    </row>
    <row r="500">
      <c r="A500" s="16">
        <f>'Rest Universe'!A501</f>
        <v/>
      </c>
      <c r="B500" s="22">
        <f>IFERROR(_xll.BDP(A500,"NAME"),"")</f>
        <v/>
      </c>
      <c r="C500" s="22">
        <f>IF(LEFT((_xll.BDP(A500,"DVD_DECLARED_DT")),4)="#N/A",NA(),(_xll.BDP(A500,"DVD_DECLARED_DT")))</f>
        <v/>
      </c>
      <c r="D500" s="22">
        <f>IF(LEFT((_xll.BDP(A500,"DVD_EX_DT")),4)="#N/A",NA(),(_xll.BDP(A500,"DVD_EX_DT")))</f>
        <v/>
      </c>
      <c r="E500" s="22">
        <f>IF(LEFT((_xll.BDP(A500,"DVD_SH_LAST")), 4) = "#N/A", NA(), (_xll.BDP(A500,"DVD_SH_LAST")))</f>
        <v/>
      </c>
      <c r="F500" s="22">
        <f>IF(LEFT((_xll.BDP(A500,"DVD_TYP_LAST")), 4) = "#N/A", NA(), (_xll.BDP(A500,"DVD_TYP_LAST")))</f>
        <v/>
      </c>
      <c r="G500" s="16">
        <f>IF(ISNUMBER(C500),IF(C500&gt;=Settings!$B$5,"Y","N"),"")</f>
        <v/>
      </c>
      <c r="H500" s="16">
        <f>IF(G500="Y",IF(ISNUMBER(SEARCH("Special",F500)),"SPECIAL DIVIDEND","NEW DIVIDEND"),IF(ISNUMBER(SEARCH("Special",F500)),"SPECIAL DIVIDEND",""))</f>
        <v/>
      </c>
    </row>
    <row r="501">
      <c r="A501" s="16">
        <f>'Rest Universe'!A502</f>
        <v/>
      </c>
      <c r="B501" s="22">
        <f>IFERROR(_xll.BDP(A501,"NAME"),"")</f>
        <v/>
      </c>
      <c r="C501" s="22">
        <f>IF(LEFT((_xll.BDP(A501,"DVD_DECLARED_DT")),4)="#N/A",NA(),(_xll.BDP(A501,"DVD_DECLARED_DT")))</f>
        <v/>
      </c>
      <c r="D501" s="22">
        <f>IF(LEFT((_xll.BDP(A501,"DVD_EX_DT")),4)="#N/A",NA(),(_xll.BDP(A501,"DVD_EX_DT")))</f>
        <v/>
      </c>
      <c r="E501" s="22">
        <f>IF(LEFT((_xll.BDP(A501,"DVD_SH_LAST")), 4) = "#N/A", NA(), (_xll.BDP(A501,"DVD_SH_LAST")))</f>
        <v/>
      </c>
      <c r="F501" s="22">
        <f>IF(LEFT((_xll.BDP(A501,"DVD_TYP_LAST")), 4) = "#N/A", NA(), (_xll.BDP(A501,"DVD_TYP_LAST")))</f>
        <v/>
      </c>
      <c r="G501" s="16">
        <f>IF(ISNUMBER(C501),IF(C501&gt;=Settings!$B$5,"Y","N"),"")</f>
        <v/>
      </c>
      <c r="H501" s="16">
        <f>IF(G501="Y",IF(ISNUMBER(SEARCH("Special",F501)),"SPECIAL DIVIDEND","NEW DIVIDEND"),IF(ISNUMBER(SEARCH("Special",F501)),"SPECIAL DIVIDEND",""))</f>
        <v/>
      </c>
    </row>
    <row r="502">
      <c r="A502" s="16">
        <f>'Rest Universe'!A503</f>
        <v/>
      </c>
      <c r="B502" s="22">
        <f>IFERROR(_xll.BDP(A502,"NAME"),"")</f>
        <v/>
      </c>
      <c r="C502" s="22">
        <f>IF(LEFT((_xll.BDP(A502,"DVD_DECLARED_DT")),4)="#N/A",NA(),(_xll.BDP(A502,"DVD_DECLARED_DT")))</f>
        <v/>
      </c>
      <c r="D502" s="22">
        <f>IF(LEFT((_xll.BDP(A502,"DVD_EX_DT")),4)="#N/A",NA(),(_xll.BDP(A502,"DVD_EX_DT")))</f>
        <v/>
      </c>
      <c r="E502" s="22">
        <f>IF(LEFT((_xll.BDP(A502,"DVD_SH_LAST")), 4) = "#N/A", NA(), (_xll.BDP(A502,"DVD_SH_LAST")))</f>
        <v/>
      </c>
      <c r="F502" s="22">
        <f>IF(LEFT((_xll.BDP(A502,"DVD_TYP_LAST")), 4) = "#N/A", NA(), (_xll.BDP(A502,"DVD_TYP_LAST")))</f>
        <v/>
      </c>
      <c r="G502" s="16">
        <f>IF(ISNUMBER(C502),IF(C502&gt;=Settings!$B$5,"Y","N"),"")</f>
        <v/>
      </c>
      <c r="H502" s="16">
        <f>IF(G502="Y",IF(ISNUMBER(SEARCH("Special",F502)),"SPECIAL DIVIDEND","NEW DIVIDEND"),IF(ISNUMBER(SEARCH("Special",F502)),"SPECIAL DIVIDEND",""))</f>
        <v/>
      </c>
    </row>
    <row r="503">
      <c r="A503" s="16">
        <f>'Rest Universe'!A504</f>
        <v/>
      </c>
      <c r="B503" s="22">
        <f>IFERROR(_xll.BDP(A503,"NAME"),"")</f>
        <v/>
      </c>
      <c r="C503" s="22">
        <f>IF(LEFT((_xll.BDP(A503,"DVD_DECLARED_DT")),4)="#N/A",NA(),(_xll.BDP(A503,"DVD_DECLARED_DT")))</f>
        <v/>
      </c>
      <c r="D503" s="22">
        <f>IF(LEFT((_xll.BDP(A503,"DVD_EX_DT")),4)="#N/A",NA(),(_xll.BDP(A503,"DVD_EX_DT")))</f>
        <v/>
      </c>
      <c r="E503" s="22">
        <f>IF(LEFT((_xll.BDP(A503,"DVD_SH_LAST")), 4) = "#N/A", NA(), (_xll.BDP(A503,"DVD_SH_LAST")))</f>
        <v/>
      </c>
      <c r="F503" s="22">
        <f>IF(LEFT((_xll.BDP(A503,"DVD_TYP_LAST")), 4) = "#N/A", NA(), (_xll.BDP(A503,"DVD_TYP_LAST")))</f>
        <v/>
      </c>
      <c r="G503" s="16">
        <f>IF(ISNUMBER(C503),IF(C503&gt;=Settings!$B$5,"Y","N"),"")</f>
        <v/>
      </c>
      <c r="H503" s="16">
        <f>IF(G503="Y",IF(ISNUMBER(SEARCH("Special",F503)),"SPECIAL DIVIDEND","NEW DIVIDEND"),IF(ISNUMBER(SEARCH("Special",F503)),"SPECIAL DIVIDEND",""))</f>
        <v/>
      </c>
    </row>
    <row r="504">
      <c r="A504" s="16">
        <f>'Rest Universe'!A505</f>
        <v/>
      </c>
      <c r="B504" s="22">
        <f>IFERROR(_xll.BDP(A504,"NAME"),"")</f>
        <v/>
      </c>
      <c r="C504" s="22">
        <f>IF(LEFT((_xll.BDP(A504,"DVD_DECLARED_DT")),4)="#N/A",NA(),(_xll.BDP(A504,"DVD_DECLARED_DT")))</f>
        <v/>
      </c>
      <c r="D504" s="22">
        <f>IF(LEFT((_xll.BDP(A504,"DVD_EX_DT")),4)="#N/A",NA(),(_xll.BDP(A504,"DVD_EX_DT")))</f>
        <v/>
      </c>
      <c r="E504" s="22">
        <f>IF(LEFT((_xll.BDP(A504,"DVD_SH_LAST")), 4) = "#N/A", NA(), (_xll.BDP(A504,"DVD_SH_LAST")))</f>
        <v/>
      </c>
      <c r="F504" s="22">
        <f>IF(LEFT((_xll.BDP(A504,"DVD_TYP_LAST")), 4) = "#N/A", NA(), (_xll.BDP(A504,"DVD_TYP_LAST")))</f>
        <v/>
      </c>
      <c r="G504" s="16">
        <f>IF(ISNUMBER(C504),IF(C504&gt;=Settings!$B$5,"Y","N"),"")</f>
        <v/>
      </c>
      <c r="H504" s="16">
        <f>IF(G504="Y",IF(ISNUMBER(SEARCH("Special",F504)),"SPECIAL DIVIDEND","NEW DIVIDEND"),IF(ISNUMBER(SEARCH("Special",F504)),"SPECIAL DIVIDEND",""))</f>
        <v/>
      </c>
    </row>
    <row r="505">
      <c r="A505" s="16">
        <f>'Rest Universe'!A506</f>
        <v/>
      </c>
      <c r="B505" s="22">
        <f>IFERROR(_xll.BDP(A505,"NAME"),"")</f>
        <v/>
      </c>
      <c r="C505" s="22">
        <f>IF(LEFT((_xll.BDP(A505,"DVD_DECLARED_DT")),4)="#N/A",NA(),(_xll.BDP(A505,"DVD_DECLARED_DT")))</f>
        <v/>
      </c>
      <c r="D505" s="22">
        <f>IF(LEFT((_xll.BDP(A505,"DVD_EX_DT")),4)="#N/A",NA(),(_xll.BDP(A505,"DVD_EX_DT")))</f>
        <v/>
      </c>
      <c r="E505" s="22">
        <f>IF(LEFT((_xll.BDP(A505,"DVD_SH_LAST")), 4) = "#N/A", NA(), (_xll.BDP(A505,"DVD_SH_LAST")))</f>
        <v/>
      </c>
      <c r="F505" s="22">
        <f>IF(LEFT((_xll.BDP(A505,"DVD_TYP_LAST")), 4) = "#N/A", NA(), (_xll.BDP(A505,"DVD_TYP_LAST")))</f>
        <v/>
      </c>
      <c r="G505" s="16">
        <f>IF(ISNUMBER(C505),IF(C505&gt;=Settings!$B$5,"Y","N"),"")</f>
        <v/>
      </c>
      <c r="H505" s="16">
        <f>IF(G505="Y",IF(ISNUMBER(SEARCH("Special",F505)),"SPECIAL DIVIDEND","NEW DIVIDEND"),IF(ISNUMBER(SEARCH("Special",F505)),"SPECIAL DIVIDEND",""))</f>
        <v/>
      </c>
    </row>
    <row r="506">
      <c r="A506" s="16">
        <f>'Rest Universe'!A507</f>
        <v/>
      </c>
      <c r="B506" s="22">
        <f>IFERROR(_xll.BDP(A506,"NAME"),"")</f>
        <v/>
      </c>
      <c r="C506" s="22">
        <f>IF(LEFT((_xll.BDP(A506,"DVD_DECLARED_DT")),4)="#N/A",NA(),(_xll.BDP(A506,"DVD_DECLARED_DT")))</f>
        <v/>
      </c>
      <c r="D506" s="22">
        <f>IF(LEFT((_xll.BDP(A506,"DVD_EX_DT")),4)="#N/A",NA(),(_xll.BDP(A506,"DVD_EX_DT")))</f>
        <v/>
      </c>
      <c r="E506" s="22">
        <f>IF(LEFT((_xll.BDP(A506,"DVD_SH_LAST")), 4) = "#N/A", NA(), (_xll.BDP(A506,"DVD_SH_LAST")))</f>
        <v/>
      </c>
      <c r="F506" s="22">
        <f>IF(LEFT((_xll.BDP(A506,"DVD_TYP_LAST")), 4) = "#N/A", NA(), (_xll.BDP(A506,"DVD_TYP_LAST")))</f>
        <v/>
      </c>
      <c r="G506" s="16">
        <f>IF(ISNUMBER(C506),IF(C506&gt;=Settings!$B$5,"Y","N"),"")</f>
        <v/>
      </c>
      <c r="H506" s="16">
        <f>IF(G506="Y",IF(ISNUMBER(SEARCH("Special",F506)),"SPECIAL DIVIDEND","NEW DIVIDEND"),IF(ISNUMBER(SEARCH("Special",F506)),"SPECIAL DIVIDEND",""))</f>
        <v/>
      </c>
    </row>
    <row r="507">
      <c r="A507" s="16">
        <f>'Rest Universe'!A508</f>
        <v/>
      </c>
      <c r="B507" s="22">
        <f>IFERROR(_xll.BDP(A507,"NAME"),"")</f>
        <v/>
      </c>
      <c r="C507" s="22">
        <f>IF(LEFT((_xll.BDP(A507,"DVD_DECLARED_DT")),4)="#N/A",NA(),(_xll.BDP(A507,"DVD_DECLARED_DT")))</f>
        <v/>
      </c>
      <c r="D507" s="22">
        <f>IF(LEFT((_xll.BDP(A507,"DVD_EX_DT")),4)="#N/A",NA(),(_xll.BDP(A507,"DVD_EX_DT")))</f>
        <v/>
      </c>
      <c r="E507" s="22">
        <f>IF(LEFT((_xll.BDP(A507,"DVD_SH_LAST")), 4) = "#N/A", NA(), (_xll.BDP(A507,"DVD_SH_LAST")))</f>
        <v/>
      </c>
      <c r="F507" s="22">
        <f>IF(LEFT((_xll.BDP(A507,"DVD_TYP_LAST")), 4) = "#N/A", NA(), (_xll.BDP(A507,"DVD_TYP_LAST")))</f>
        <v/>
      </c>
      <c r="G507" s="16">
        <f>IF(ISNUMBER(C507),IF(C507&gt;=Settings!$B$5,"Y","N"),"")</f>
        <v/>
      </c>
      <c r="H507" s="16">
        <f>IF(G507="Y",IF(ISNUMBER(SEARCH("Special",F507)),"SPECIAL DIVIDEND","NEW DIVIDEND"),IF(ISNUMBER(SEARCH("Special",F507)),"SPECIAL DIVIDEND",""))</f>
        <v/>
      </c>
    </row>
    <row r="508">
      <c r="A508" s="16">
        <f>'Rest Universe'!A509</f>
        <v/>
      </c>
      <c r="B508" s="22">
        <f>IFERROR(_xll.BDP(A508,"NAME"),"")</f>
        <v/>
      </c>
      <c r="C508" s="22">
        <f>IF(LEFT((_xll.BDP(A508,"DVD_DECLARED_DT")),4)="#N/A",NA(),(_xll.BDP(A508,"DVD_DECLARED_DT")))</f>
        <v/>
      </c>
      <c r="D508" s="22">
        <f>IF(LEFT((_xll.BDP(A508,"DVD_EX_DT")),4)="#N/A",NA(),(_xll.BDP(A508,"DVD_EX_DT")))</f>
        <v/>
      </c>
      <c r="E508" s="22">
        <f>IF(LEFT((_xll.BDP(A508,"DVD_SH_LAST")), 4) = "#N/A", NA(), (_xll.BDP(A508,"DVD_SH_LAST")))</f>
        <v/>
      </c>
      <c r="F508" s="22">
        <f>IF(LEFT((_xll.BDP(A508,"DVD_TYP_LAST")), 4) = "#N/A", NA(), (_xll.BDP(A508,"DVD_TYP_LAST")))</f>
        <v/>
      </c>
      <c r="G508" s="16">
        <f>IF(ISNUMBER(C508),IF(C508&gt;=Settings!$B$5,"Y","N"),"")</f>
        <v/>
      </c>
      <c r="H508" s="16">
        <f>IF(G508="Y",IF(ISNUMBER(SEARCH("Special",F508)),"SPECIAL DIVIDEND","NEW DIVIDEND"),IF(ISNUMBER(SEARCH("Special",F508)),"SPECIAL DIVIDEND",""))</f>
        <v/>
      </c>
    </row>
    <row r="509">
      <c r="A509" s="16">
        <f>'Rest Universe'!A510</f>
        <v/>
      </c>
      <c r="B509" s="22">
        <f>IFERROR(_xll.BDP(A509,"NAME"),"")</f>
        <v/>
      </c>
      <c r="C509" s="22">
        <f>IF(LEFT((_xll.BDP(A509,"DVD_DECLARED_DT")),4)="#N/A",NA(),(_xll.BDP(A509,"DVD_DECLARED_DT")))</f>
        <v/>
      </c>
      <c r="D509" s="22">
        <f>IF(LEFT((_xll.BDP(A509,"DVD_EX_DT")),4)="#N/A",NA(),(_xll.BDP(A509,"DVD_EX_DT")))</f>
        <v/>
      </c>
      <c r="E509" s="22">
        <f>IF(LEFT((_xll.BDP(A509,"DVD_SH_LAST")), 4) = "#N/A", NA(), (_xll.BDP(A509,"DVD_SH_LAST")))</f>
        <v/>
      </c>
      <c r="F509" s="22">
        <f>IF(LEFT((_xll.BDP(A509,"DVD_TYP_LAST")), 4) = "#N/A", NA(), (_xll.BDP(A509,"DVD_TYP_LAST")))</f>
        <v/>
      </c>
      <c r="G509" s="16">
        <f>IF(ISNUMBER(C509),IF(C509&gt;=Settings!$B$5,"Y","N"),"")</f>
        <v/>
      </c>
      <c r="H509" s="16">
        <f>IF(G509="Y",IF(ISNUMBER(SEARCH("Special",F509)),"SPECIAL DIVIDEND","NEW DIVIDEND"),IF(ISNUMBER(SEARCH("Special",F509)),"SPECIAL DIVIDEND",""))</f>
        <v/>
      </c>
    </row>
    <row r="510">
      <c r="A510" s="16">
        <f>'Rest Universe'!A511</f>
        <v/>
      </c>
      <c r="B510" s="22">
        <f>IFERROR(_xll.BDP(A510,"NAME"),"")</f>
        <v/>
      </c>
      <c r="C510" s="22">
        <f>IF(LEFT((_xll.BDP(A510,"DVD_DECLARED_DT")),4)="#N/A",NA(),(_xll.BDP(A510,"DVD_DECLARED_DT")))</f>
        <v/>
      </c>
      <c r="D510" s="22">
        <f>IF(LEFT((_xll.BDP(A510,"DVD_EX_DT")),4)="#N/A",NA(),(_xll.BDP(A510,"DVD_EX_DT")))</f>
        <v/>
      </c>
      <c r="E510" s="22">
        <f>IF(LEFT((_xll.BDP(A510,"DVD_SH_LAST")), 4) = "#N/A", NA(), (_xll.BDP(A510,"DVD_SH_LAST")))</f>
        <v/>
      </c>
      <c r="F510" s="22">
        <f>IF(LEFT((_xll.BDP(A510,"DVD_TYP_LAST")), 4) = "#N/A", NA(), (_xll.BDP(A510,"DVD_TYP_LAST")))</f>
        <v/>
      </c>
      <c r="G510" s="16">
        <f>IF(ISNUMBER(C510),IF(C510&gt;=Settings!$B$5,"Y","N"),"")</f>
        <v/>
      </c>
      <c r="H510" s="16">
        <f>IF(G510="Y",IF(ISNUMBER(SEARCH("Special",F510)),"SPECIAL DIVIDEND","NEW DIVIDEND"),IF(ISNUMBER(SEARCH("Special",F510)),"SPECIAL DIVIDEND",""))</f>
        <v/>
      </c>
    </row>
    <row r="511">
      <c r="A511" s="16">
        <f>'Rest Universe'!A512</f>
        <v/>
      </c>
      <c r="B511" s="22">
        <f>IFERROR(_xll.BDP(A511,"NAME"),"")</f>
        <v/>
      </c>
      <c r="C511" s="22">
        <f>IF(LEFT((_xll.BDP(A511,"DVD_DECLARED_DT")),4)="#N/A",NA(),(_xll.BDP(A511,"DVD_DECLARED_DT")))</f>
        <v/>
      </c>
      <c r="D511" s="22">
        <f>IF(LEFT((_xll.BDP(A511,"DVD_EX_DT")),4)="#N/A",NA(),(_xll.BDP(A511,"DVD_EX_DT")))</f>
        <v/>
      </c>
      <c r="E511" s="22">
        <f>IF(LEFT((_xll.BDP(A511,"DVD_SH_LAST")), 4) = "#N/A", NA(), (_xll.BDP(A511,"DVD_SH_LAST")))</f>
        <v/>
      </c>
      <c r="F511" s="22">
        <f>IF(LEFT((_xll.BDP(A511,"DVD_TYP_LAST")), 4) = "#N/A", NA(), (_xll.BDP(A511,"DVD_TYP_LAST")))</f>
        <v/>
      </c>
      <c r="G511" s="16">
        <f>IF(ISNUMBER(C511),IF(C511&gt;=Settings!$B$5,"Y","N"),"")</f>
        <v/>
      </c>
      <c r="H511" s="16">
        <f>IF(G511="Y",IF(ISNUMBER(SEARCH("Special",F511)),"SPECIAL DIVIDEND","NEW DIVIDEND"),IF(ISNUMBER(SEARCH("Special",F511)),"SPECIAL DIVIDEND",""))</f>
        <v/>
      </c>
    </row>
    <row r="512">
      <c r="A512" s="16">
        <f>'Rest Universe'!A513</f>
        <v/>
      </c>
      <c r="B512" s="22">
        <f>IFERROR(_xll.BDP(A512,"NAME"),"")</f>
        <v/>
      </c>
      <c r="C512" s="22">
        <f>IF(LEFT((_xll.BDP(A512,"DVD_DECLARED_DT")),4)="#N/A",NA(),(_xll.BDP(A512,"DVD_DECLARED_DT")))</f>
        <v/>
      </c>
      <c r="D512" s="22">
        <f>IF(LEFT((_xll.BDP(A512,"DVD_EX_DT")),4)="#N/A",NA(),(_xll.BDP(A512,"DVD_EX_DT")))</f>
        <v/>
      </c>
      <c r="E512" s="22">
        <f>IF(LEFT((_xll.BDP(A512,"DVD_SH_LAST")), 4) = "#N/A", NA(), (_xll.BDP(A512,"DVD_SH_LAST")))</f>
        <v/>
      </c>
      <c r="F512" s="22">
        <f>IF(LEFT((_xll.BDP(A512,"DVD_TYP_LAST")), 4) = "#N/A", NA(), (_xll.BDP(A512,"DVD_TYP_LAST")))</f>
        <v/>
      </c>
      <c r="G512" s="16">
        <f>IF(ISNUMBER(C512),IF(C512&gt;=Settings!$B$5,"Y","N"),"")</f>
        <v/>
      </c>
      <c r="H512" s="16">
        <f>IF(G512="Y",IF(ISNUMBER(SEARCH("Special",F512)),"SPECIAL DIVIDEND","NEW DIVIDEND"),IF(ISNUMBER(SEARCH("Special",F512)),"SPECIAL DIVIDEND",""))</f>
        <v/>
      </c>
    </row>
    <row r="513">
      <c r="A513" s="16">
        <f>'Rest Universe'!A514</f>
        <v/>
      </c>
      <c r="B513" s="22">
        <f>IFERROR(_xll.BDP(A513,"NAME"),"")</f>
        <v/>
      </c>
      <c r="C513" s="22">
        <f>IF(LEFT((_xll.BDP(A513,"DVD_DECLARED_DT")),4)="#N/A",NA(),(_xll.BDP(A513,"DVD_DECLARED_DT")))</f>
        <v/>
      </c>
      <c r="D513" s="22">
        <f>IF(LEFT((_xll.BDP(A513,"DVD_EX_DT")),4)="#N/A",NA(),(_xll.BDP(A513,"DVD_EX_DT")))</f>
        <v/>
      </c>
      <c r="E513" s="22">
        <f>IF(LEFT((_xll.BDP(A513,"DVD_SH_LAST")), 4) = "#N/A", NA(), (_xll.BDP(A513,"DVD_SH_LAST")))</f>
        <v/>
      </c>
      <c r="F513" s="22">
        <f>IF(LEFT((_xll.BDP(A513,"DVD_TYP_LAST")), 4) = "#N/A", NA(), (_xll.BDP(A513,"DVD_TYP_LAST")))</f>
        <v/>
      </c>
      <c r="G513" s="16">
        <f>IF(ISNUMBER(C513),IF(C513&gt;=Settings!$B$5,"Y","N"),"")</f>
        <v/>
      </c>
      <c r="H513" s="16">
        <f>IF(G513="Y",IF(ISNUMBER(SEARCH("Special",F513)),"SPECIAL DIVIDEND","NEW DIVIDEND"),IF(ISNUMBER(SEARCH("Special",F513)),"SPECIAL DIVIDEND",""))</f>
        <v/>
      </c>
    </row>
    <row r="514">
      <c r="A514" s="16">
        <f>'Rest Universe'!A515</f>
        <v/>
      </c>
      <c r="B514" s="22">
        <f>IFERROR(_xll.BDP(A514,"NAME"),"")</f>
        <v/>
      </c>
      <c r="C514" s="22">
        <f>IF(LEFT((_xll.BDP(A514,"DVD_DECLARED_DT")),4)="#N/A",NA(),(_xll.BDP(A514,"DVD_DECLARED_DT")))</f>
        <v/>
      </c>
      <c r="D514" s="22">
        <f>IF(LEFT((_xll.BDP(A514,"DVD_EX_DT")),4)="#N/A",NA(),(_xll.BDP(A514,"DVD_EX_DT")))</f>
        <v/>
      </c>
      <c r="E514" s="22">
        <f>IF(LEFT((_xll.BDP(A514,"DVD_SH_LAST")), 4) = "#N/A", NA(), (_xll.BDP(A514,"DVD_SH_LAST")))</f>
        <v/>
      </c>
      <c r="F514" s="22">
        <f>IF(LEFT((_xll.BDP(A514,"DVD_TYP_LAST")), 4) = "#N/A", NA(), (_xll.BDP(A514,"DVD_TYP_LAST")))</f>
        <v/>
      </c>
      <c r="G514" s="16">
        <f>IF(ISNUMBER(C514),IF(C514&gt;=Settings!$B$5,"Y","N"),"")</f>
        <v/>
      </c>
      <c r="H514" s="16">
        <f>IF(G514="Y",IF(ISNUMBER(SEARCH("Special",F514)),"SPECIAL DIVIDEND","NEW DIVIDEND"),IF(ISNUMBER(SEARCH("Special",F514)),"SPECIAL DIVIDEND",""))</f>
        <v/>
      </c>
    </row>
    <row r="515">
      <c r="A515" s="16">
        <f>'Rest Universe'!A516</f>
        <v/>
      </c>
      <c r="B515" s="22">
        <f>IFERROR(_xll.BDP(A515,"NAME"),"")</f>
        <v/>
      </c>
      <c r="C515" s="22">
        <f>IF(LEFT((_xll.BDP(A515,"DVD_DECLARED_DT")),4)="#N/A",NA(),(_xll.BDP(A515,"DVD_DECLARED_DT")))</f>
        <v/>
      </c>
      <c r="D515" s="22">
        <f>IF(LEFT((_xll.BDP(A515,"DVD_EX_DT")),4)="#N/A",NA(),(_xll.BDP(A515,"DVD_EX_DT")))</f>
        <v/>
      </c>
      <c r="E515" s="22">
        <f>IF(LEFT((_xll.BDP(A515,"DVD_SH_LAST")), 4) = "#N/A", NA(), (_xll.BDP(A515,"DVD_SH_LAST")))</f>
        <v/>
      </c>
      <c r="F515" s="22">
        <f>IF(LEFT((_xll.BDP(A515,"DVD_TYP_LAST")), 4) = "#N/A", NA(), (_xll.BDP(A515,"DVD_TYP_LAST")))</f>
        <v/>
      </c>
      <c r="G515" s="16">
        <f>IF(ISNUMBER(C515),IF(C515&gt;=Settings!$B$5,"Y","N"),"")</f>
        <v/>
      </c>
      <c r="H515" s="16">
        <f>IF(G515="Y",IF(ISNUMBER(SEARCH("Special",F515)),"SPECIAL DIVIDEND","NEW DIVIDEND"),IF(ISNUMBER(SEARCH("Special",F515)),"SPECIAL DIVIDEND",""))</f>
        <v/>
      </c>
    </row>
    <row r="516">
      <c r="A516" s="16">
        <f>'Rest Universe'!A517</f>
        <v/>
      </c>
      <c r="B516" s="22">
        <f>IFERROR(_xll.BDP(A516,"NAME"),"")</f>
        <v/>
      </c>
      <c r="C516" s="22">
        <f>IF(LEFT((_xll.BDP(A516,"DVD_DECLARED_DT")),4)="#N/A",NA(),(_xll.BDP(A516,"DVD_DECLARED_DT")))</f>
        <v/>
      </c>
      <c r="D516" s="22">
        <f>IF(LEFT((_xll.BDP(A516,"DVD_EX_DT")),4)="#N/A",NA(),(_xll.BDP(A516,"DVD_EX_DT")))</f>
        <v/>
      </c>
      <c r="E516" s="22">
        <f>IF(LEFT((_xll.BDP(A516,"DVD_SH_LAST")), 4) = "#N/A", NA(), (_xll.BDP(A516,"DVD_SH_LAST")))</f>
        <v/>
      </c>
      <c r="F516" s="22">
        <f>IF(LEFT((_xll.BDP(A516,"DVD_TYP_LAST")), 4) = "#N/A", NA(), (_xll.BDP(A516,"DVD_TYP_LAST")))</f>
        <v/>
      </c>
      <c r="G516" s="16">
        <f>IF(ISNUMBER(C516),IF(C516&gt;=Settings!$B$5,"Y","N"),"")</f>
        <v/>
      </c>
      <c r="H516" s="16">
        <f>IF(G516="Y",IF(ISNUMBER(SEARCH("Special",F516)),"SPECIAL DIVIDEND","NEW DIVIDEND"),IF(ISNUMBER(SEARCH("Special",F516)),"SPECIAL DIVIDEND",""))</f>
        <v/>
      </c>
    </row>
    <row r="517">
      <c r="A517" s="16">
        <f>'Rest Universe'!A518</f>
        <v/>
      </c>
      <c r="B517" s="22">
        <f>IFERROR(_xll.BDP(A517,"NAME"),"")</f>
        <v/>
      </c>
      <c r="C517" s="22">
        <f>IF(LEFT((_xll.BDP(A517,"DVD_DECLARED_DT")),4)="#N/A",NA(),(_xll.BDP(A517,"DVD_DECLARED_DT")))</f>
        <v/>
      </c>
      <c r="D517" s="22">
        <f>IF(LEFT((_xll.BDP(A517,"DVD_EX_DT")),4)="#N/A",NA(),(_xll.BDP(A517,"DVD_EX_DT")))</f>
        <v/>
      </c>
      <c r="E517" s="22">
        <f>IF(LEFT((_xll.BDP(A517,"DVD_SH_LAST")), 4) = "#N/A", NA(), (_xll.BDP(A517,"DVD_SH_LAST")))</f>
        <v/>
      </c>
      <c r="F517" s="22">
        <f>IF(LEFT((_xll.BDP(A517,"DVD_TYP_LAST")), 4) = "#N/A", NA(), (_xll.BDP(A517,"DVD_TYP_LAST")))</f>
        <v/>
      </c>
      <c r="G517" s="16">
        <f>IF(ISNUMBER(C517),IF(C517&gt;=Settings!$B$5,"Y","N"),"")</f>
        <v/>
      </c>
      <c r="H517" s="16">
        <f>IF(G517="Y",IF(ISNUMBER(SEARCH("Special",F517)),"SPECIAL DIVIDEND","NEW DIVIDEND"),IF(ISNUMBER(SEARCH("Special",F517)),"SPECIAL DIVIDEND",""))</f>
        <v/>
      </c>
    </row>
    <row r="518">
      <c r="A518" s="16">
        <f>'Rest Universe'!A519</f>
        <v/>
      </c>
      <c r="B518" s="22">
        <f>IFERROR(_xll.BDP(A518,"NAME"),"")</f>
        <v/>
      </c>
      <c r="C518" s="22">
        <f>IF(LEFT((_xll.BDP(A518,"DVD_DECLARED_DT")),4)="#N/A",NA(),(_xll.BDP(A518,"DVD_DECLARED_DT")))</f>
        <v/>
      </c>
      <c r="D518" s="22">
        <f>IF(LEFT((_xll.BDP(A518,"DVD_EX_DT")),4)="#N/A",NA(),(_xll.BDP(A518,"DVD_EX_DT")))</f>
        <v/>
      </c>
      <c r="E518" s="22">
        <f>IF(LEFT((_xll.BDP(A518,"DVD_SH_LAST")), 4) = "#N/A", NA(), (_xll.BDP(A518,"DVD_SH_LAST")))</f>
        <v/>
      </c>
      <c r="F518" s="22">
        <f>IF(LEFT((_xll.BDP(A518,"DVD_TYP_LAST")), 4) = "#N/A", NA(), (_xll.BDP(A518,"DVD_TYP_LAST")))</f>
        <v/>
      </c>
      <c r="G518" s="16">
        <f>IF(ISNUMBER(C518),IF(C518&gt;=Settings!$B$5,"Y","N"),"")</f>
        <v/>
      </c>
      <c r="H518" s="16">
        <f>IF(G518="Y",IF(ISNUMBER(SEARCH("Special",F518)),"SPECIAL DIVIDEND","NEW DIVIDEND"),IF(ISNUMBER(SEARCH("Special",F518)),"SPECIAL DIVIDEND",""))</f>
        <v/>
      </c>
    </row>
    <row r="519">
      <c r="A519" s="16">
        <f>'Rest Universe'!A520</f>
        <v/>
      </c>
      <c r="B519" s="22">
        <f>IFERROR(_xll.BDP(A519,"NAME"),"")</f>
        <v/>
      </c>
      <c r="C519" s="22">
        <f>IF(LEFT((_xll.BDP(A519,"DVD_DECLARED_DT")),4)="#N/A",NA(),(_xll.BDP(A519,"DVD_DECLARED_DT")))</f>
        <v/>
      </c>
      <c r="D519" s="22">
        <f>IF(LEFT((_xll.BDP(A519,"DVD_EX_DT")),4)="#N/A",NA(),(_xll.BDP(A519,"DVD_EX_DT")))</f>
        <v/>
      </c>
      <c r="E519" s="22">
        <f>IF(LEFT((_xll.BDP(A519,"DVD_SH_LAST")), 4) = "#N/A", NA(), (_xll.BDP(A519,"DVD_SH_LAST")))</f>
        <v/>
      </c>
      <c r="F519" s="22">
        <f>IF(LEFT((_xll.BDP(A519,"DVD_TYP_LAST")), 4) = "#N/A", NA(), (_xll.BDP(A519,"DVD_TYP_LAST")))</f>
        <v/>
      </c>
      <c r="G519" s="16">
        <f>IF(ISNUMBER(C519),IF(C519&gt;=Settings!$B$5,"Y","N"),"")</f>
        <v/>
      </c>
      <c r="H519" s="16">
        <f>IF(G519="Y",IF(ISNUMBER(SEARCH("Special",F519)),"SPECIAL DIVIDEND","NEW DIVIDEND"),IF(ISNUMBER(SEARCH("Special",F519)),"SPECIAL DIVIDEND",""))</f>
        <v/>
      </c>
    </row>
    <row r="520">
      <c r="A520" s="16">
        <f>'Rest Universe'!A521</f>
        <v/>
      </c>
      <c r="B520" s="22">
        <f>IFERROR(_xll.BDP(A520,"NAME"),"")</f>
        <v/>
      </c>
      <c r="C520" s="22">
        <f>IF(LEFT((_xll.BDP(A520,"DVD_DECLARED_DT")),4)="#N/A",NA(),(_xll.BDP(A520,"DVD_DECLARED_DT")))</f>
        <v/>
      </c>
      <c r="D520" s="22">
        <f>IF(LEFT((_xll.BDP(A520,"DVD_EX_DT")),4)="#N/A",NA(),(_xll.BDP(A520,"DVD_EX_DT")))</f>
        <v/>
      </c>
      <c r="E520" s="22">
        <f>IF(LEFT((_xll.BDP(A520,"DVD_SH_LAST")), 4) = "#N/A", NA(), (_xll.BDP(A520,"DVD_SH_LAST")))</f>
        <v/>
      </c>
      <c r="F520" s="22">
        <f>IF(LEFT((_xll.BDP(A520,"DVD_TYP_LAST")), 4) = "#N/A", NA(), (_xll.BDP(A520,"DVD_TYP_LAST")))</f>
        <v/>
      </c>
      <c r="G520" s="16">
        <f>IF(ISNUMBER(C520),IF(C520&gt;=Settings!$B$5,"Y","N"),"")</f>
        <v/>
      </c>
      <c r="H520" s="16">
        <f>IF(G520="Y",IF(ISNUMBER(SEARCH("Special",F520)),"SPECIAL DIVIDEND","NEW DIVIDEND"),IF(ISNUMBER(SEARCH("Special",F520)),"SPECIAL DIVIDEND",""))</f>
        <v/>
      </c>
    </row>
    <row r="521">
      <c r="A521" s="16">
        <f>'Rest Universe'!A522</f>
        <v/>
      </c>
      <c r="B521" s="22">
        <f>IFERROR(_xll.BDP(A521,"NAME"),"")</f>
        <v/>
      </c>
      <c r="C521" s="22">
        <f>IF(LEFT((_xll.BDP(A521,"DVD_DECLARED_DT")),4)="#N/A",NA(),(_xll.BDP(A521,"DVD_DECLARED_DT")))</f>
        <v/>
      </c>
      <c r="D521" s="22">
        <f>IF(LEFT((_xll.BDP(A521,"DVD_EX_DT")),4)="#N/A",NA(),(_xll.BDP(A521,"DVD_EX_DT")))</f>
        <v/>
      </c>
      <c r="E521" s="22">
        <f>IF(LEFT((_xll.BDP(A521,"DVD_SH_LAST")), 4) = "#N/A", NA(), (_xll.BDP(A521,"DVD_SH_LAST")))</f>
        <v/>
      </c>
      <c r="F521" s="22">
        <f>IF(LEFT((_xll.BDP(A521,"DVD_TYP_LAST")), 4) = "#N/A", NA(), (_xll.BDP(A521,"DVD_TYP_LAST")))</f>
        <v/>
      </c>
      <c r="G521" s="16">
        <f>IF(ISNUMBER(C521),IF(C521&gt;=Settings!$B$5,"Y","N"),"")</f>
        <v/>
      </c>
      <c r="H521" s="16">
        <f>IF(G521="Y",IF(ISNUMBER(SEARCH("Special",F521)),"SPECIAL DIVIDEND","NEW DIVIDEND"),IF(ISNUMBER(SEARCH("Special",F521)),"SPECIAL DIVIDEND",""))</f>
        <v/>
      </c>
    </row>
    <row r="522">
      <c r="A522" s="16">
        <f>'Rest Universe'!A523</f>
        <v/>
      </c>
      <c r="B522" s="22">
        <f>IFERROR(_xll.BDP(A522,"NAME"),"")</f>
        <v/>
      </c>
      <c r="C522" s="22">
        <f>IF(LEFT((_xll.BDP(A522,"DVD_DECLARED_DT")),4)="#N/A",NA(),(_xll.BDP(A522,"DVD_DECLARED_DT")))</f>
        <v/>
      </c>
      <c r="D522" s="22">
        <f>IF(LEFT((_xll.BDP(A522,"DVD_EX_DT")),4)="#N/A",NA(),(_xll.BDP(A522,"DVD_EX_DT")))</f>
        <v/>
      </c>
      <c r="E522" s="22">
        <f>IF(LEFT((_xll.BDP(A522,"DVD_SH_LAST")), 4) = "#N/A", NA(), (_xll.BDP(A522,"DVD_SH_LAST")))</f>
        <v/>
      </c>
      <c r="F522" s="22">
        <f>IF(LEFT((_xll.BDP(A522,"DVD_TYP_LAST")), 4) = "#N/A", NA(), (_xll.BDP(A522,"DVD_TYP_LAST")))</f>
        <v/>
      </c>
      <c r="G522" s="16">
        <f>IF(ISNUMBER(C522),IF(C522&gt;=Settings!$B$5,"Y","N"),"")</f>
        <v/>
      </c>
      <c r="H522" s="16">
        <f>IF(G522="Y",IF(ISNUMBER(SEARCH("Special",F522)),"SPECIAL DIVIDEND","NEW DIVIDEND"),IF(ISNUMBER(SEARCH("Special",F522)),"SPECIAL DIVIDEND",""))</f>
        <v/>
      </c>
    </row>
    <row r="523">
      <c r="A523" s="16">
        <f>'Rest Universe'!A524</f>
        <v/>
      </c>
      <c r="B523" s="22">
        <f>IFERROR(_xll.BDP(A523,"NAME"),"")</f>
        <v/>
      </c>
      <c r="C523" s="22">
        <f>IF(LEFT((_xll.BDP(A523,"DVD_DECLARED_DT")),4)="#N/A",NA(),(_xll.BDP(A523,"DVD_DECLARED_DT")))</f>
        <v/>
      </c>
      <c r="D523" s="22">
        <f>IF(LEFT((_xll.BDP(A523,"DVD_EX_DT")),4)="#N/A",NA(),(_xll.BDP(A523,"DVD_EX_DT")))</f>
        <v/>
      </c>
      <c r="E523" s="22">
        <f>IF(LEFT((_xll.BDP(A523,"DVD_SH_LAST")), 4) = "#N/A", NA(), (_xll.BDP(A523,"DVD_SH_LAST")))</f>
        <v/>
      </c>
      <c r="F523" s="22">
        <f>IF(LEFT((_xll.BDP(A523,"DVD_TYP_LAST")), 4) = "#N/A", NA(), (_xll.BDP(A523,"DVD_TYP_LAST")))</f>
        <v/>
      </c>
      <c r="G523" s="16">
        <f>IF(ISNUMBER(C523),IF(C523&gt;=Settings!$B$5,"Y","N"),"")</f>
        <v/>
      </c>
      <c r="H523" s="16">
        <f>IF(G523="Y",IF(ISNUMBER(SEARCH("Special",F523)),"SPECIAL DIVIDEND","NEW DIVIDEND"),IF(ISNUMBER(SEARCH("Special",F523)),"SPECIAL DIVIDEND",""))</f>
        <v/>
      </c>
    </row>
    <row r="524">
      <c r="A524" s="16">
        <f>'Rest Universe'!A525</f>
        <v/>
      </c>
      <c r="B524" s="22">
        <f>IFERROR(_xll.BDP(A524,"NAME"),"")</f>
        <v/>
      </c>
      <c r="C524" s="22">
        <f>IF(LEFT((_xll.BDP(A524,"DVD_DECLARED_DT")),4)="#N/A",NA(),(_xll.BDP(A524,"DVD_DECLARED_DT")))</f>
        <v/>
      </c>
      <c r="D524" s="22">
        <f>IF(LEFT((_xll.BDP(A524,"DVD_EX_DT")),4)="#N/A",NA(),(_xll.BDP(A524,"DVD_EX_DT")))</f>
        <v/>
      </c>
      <c r="E524" s="22">
        <f>IF(LEFT((_xll.BDP(A524,"DVD_SH_LAST")), 4) = "#N/A", NA(), (_xll.BDP(A524,"DVD_SH_LAST")))</f>
        <v/>
      </c>
      <c r="F524" s="22">
        <f>IF(LEFT((_xll.BDP(A524,"DVD_TYP_LAST")), 4) = "#N/A", NA(), (_xll.BDP(A524,"DVD_TYP_LAST")))</f>
        <v/>
      </c>
      <c r="G524" s="16">
        <f>IF(ISNUMBER(C524),IF(C524&gt;=Settings!$B$5,"Y","N"),"")</f>
        <v/>
      </c>
      <c r="H524" s="16">
        <f>IF(G524="Y",IF(ISNUMBER(SEARCH("Special",F524)),"SPECIAL DIVIDEND","NEW DIVIDEND"),IF(ISNUMBER(SEARCH("Special",F524)),"SPECIAL DIVIDEND",""))</f>
        <v/>
      </c>
    </row>
    <row r="525">
      <c r="A525" s="16">
        <f>'Rest Universe'!A526</f>
        <v/>
      </c>
      <c r="B525" s="22">
        <f>IFERROR(_xll.BDP(A525,"NAME"),"")</f>
        <v/>
      </c>
      <c r="C525" s="22">
        <f>IF(LEFT((_xll.BDP(A525,"DVD_DECLARED_DT")),4)="#N/A",NA(),(_xll.BDP(A525,"DVD_DECLARED_DT")))</f>
        <v/>
      </c>
      <c r="D525" s="22">
        <f>IF(LEFT((_xll.BDP(A525,"DVD_EX_DT")),4)="#N/A",NA(),(_xll.BDP(A525,"DVD_EX_DT")))</f>
        <v/>
      </c>
      <c r="E525" s="22">
        <f>IF(LEFT((_xll.BDP(A525,"DVD_SH_LAST")), 4) = "#N/A", NA(), (_xll.BDP(A525,"DVD_SH_LAST")))</f>
        <v/>
      </c>
      <c r="F525" s="22">
        <f>IF(LEFT((_xll.BDP(A525,"DVD_TYP_LAST")), 4) = "#N/A", NA(), (_xll.BDP(A525,"DVD_TYP_LAST")))</f>
        <v/>
      </c>
      <c r="G525" s="16">
        <f>IF(ISNUMBER(C525),IF(C525&gt;=Settings!$B$5,"Y","N"),"")</f>
        <v/>
      </c>
      <c r="H525" s="16">
        <f>IF(G525="Y",IF(ISNUMBER(SEARCH("Special",F525)),"SPECIAL DIVIDEND","NEW DIVIDEND"),IF(ISNUMBER(SEARCH("Special",F525)),"SPECIAL DIVIDEND",""))</f>
        <v/>
      </c>
    </row>
    <row r="526">
      <c r="A526" s="16">
        <f>'Rest Universe'!A527</f>
        <v/>
      </c>
      <c r="B526" s="22">
        <f>IFERROR(_xll.BDP(A526,"NAME"),"")</f>
        <v/>
      </c>
      <c r="C526" s="22">
        <f>IF(LEFT((_xll.BDP(A526,"DVD_DECLARED_DT")),4)="#N/A",NA(),(_xll.BDP(A526,"DVD_DECLARED_DT")))</f>
        <v/>
      </c>
      <c r="D526" s="22">
        <f>IF(LEFT((_xll.BDP(A526,"DVD_EX_DT")),4)="#N/A",NA(),(_xll.BDP(A526,"DVD_EX_DT")))</f>
        <v/>
      </c>
      <c r="E526" s="22">
        <f>IF(LEFT((_xll.BDP(A526,"DVD_SH_LAST")), 4) = "#N/A", NA(), (_xll.BDP(A526,"DVD_SH_LAST")))</f>
        <v/>
      </c>
      <c r="F526" s="22">
        <f>IF(LEFT((_xll.BDP(A526,"DVD_TYP_LAST")), 4) = "#N/A", NA(), (_xll.BDP(A526,"DVD_TYP_LAST")))</f>
        <v/>
      </c>
      <c r="G526" s="16">
        <f>IF(ISNUMBER(C526),IF(C526&gt;=Settings!$B$5,"Y","N"),"")</f>
        <v/>
      </c>
      <c r="H526" s="16">
        <f>IF(G526="Y",IF(ISNUMBER(SEARCH("Special",F526)),"SPECIAL DIVIDEND","NEW DIVIDEND"),IF(ISNUMBER(SEARCH("Special",F526)),"SPECIAL DIVIDEND",""))</f>
        <v/>
      </c>
    </row>
    <row r="527">
      <c r="A527" s="16">
        <f>'Rest Universe'!A528</f>
        <v/>
      </c>
      <c r="B527" s="22">
        <f>IFERROR(_xll.BDP(A527,"NAME"),"")</f>
        <v/>
      </c>
      <c r="C527" s="22">
        <f>IF(LEFT((_xll.BDP(A527,"DVD_DECLARED_DT")),4)="#N/A",NA(),(_xll.BDP(A527,"DVD_DECLARED_DT")))</f>
        <v/>
      </c>
      <c r="D527" s="22">
        <f>IF(LEFT((_xll.BDP(A527,"DVD_EX_DT")),4)="#N/A",NA(),(_xll.BDP(A527,"DVD_EX_DT")))</f>
        <v/>
      </c>
      <c r="E527" s="22">
        <f>IF(LEFT((_xll.BDP(A527,"DVD_SH_LAST")), 4) = "#N/A", NA(), (_xll.BDP(A527,"DVD_SH_LAST")))</f>
        <v/>
      </c>
      <c r="F527" s="22">
        <f>IF(LEFT((_xll.BDP(A527,"DVD_TYP_LAST")), 4) = "#N/A", NA(), (_xll.BDP(A527,"DVD_TYP_LAST")))</f>
        <v/>
      </c>
      <c r="G527" s="16">
        <f>IF(ISNUMBER(C527),IF(C527&gt;=Settings!$B$5,"Y","N"),"")</f>
        <v/>
      </c>
      <c r="H527" s="16">
        <f>IF(G527="Y",IF(ISNUMBER(SEARCH("Special",F527)),"SPECIAL DIVIDEND","NEW DIVIDEND"),IF(ISNUMBER(SEARCH("Special",F527)),"SPECIAL DIVIDEND",""))</f>
        <v/>
      </c>
    </row>
    <row r="528">
      <c r="A528" s="16">
        <f>'Rest Universe'!A529</f>
        <v/>
      </c>
      <c r="B528" s="22">
        <f>IFERROR(_xll.BDP(A528,"NAME"),"")</f>
        <v/>
      </c>
      <c r="C528" s="22">
        <f>IF(LEFT((_xll.BDP(A528,"DVD_DECLARED_DT")),4)="#N/A",NA(),(_xll.BDP(A528,"DVD_DECLARED_DT")))</f>
        <v/>
      </c>
      <c r="D528" s="22">
        <f>IF(LEFT((_xll.BDP(A528,"DVD_EX_DT")),4)="#N/A",NA(),(_xll.BDP(A528,"DVD_EX_DT")))</f>
        <v/>
      </c>
      <c r="E528" s="22">
        <f>IF(LEFT((_xll.BDP(A528,"DVD_SH_LAST")), 4) = "#N/A", NA(), (_xll.BDP(A528,"DVD_SH_LAST")))</f>
        <v/>
      </c>
      <c r="F528" s="22">
        <f>IF(LEFT((_xll.BDP(A528,"DVD_TYP_LAST")), 4) = "#N/A", NA(), (_xll.BDP(A528,"DVD_TYP_LAST")))</f>
        <v/>
      </c>
      <c r="G528" s="16">
        <f>IF(ISNUMBER(C528),IF(C528&gt;=Settings!$B$5,"Y","N"),"")</f>
        <v/>
      </c>
      <c r="H528" s="16">
        <f>IF(G528="Y",IF(ISNUMBER(SEARCH("Special",F528)),"SPECIAL DIVIDEND","NEW DIVIDEND"),IF(ISNUMBER(SEARCH("Special",F528)),"SPECIAL DIVIDEND",""))</f>
        <v/>
      </c>
    </row>
    <row r="529">
      <c r="A529" s="16">
        <f>'Rest Universe'!A530</f>
        <v/>
      </c>
      <c r="B529" s="22">
        <f>IFERROR(_xll.BDP(A529,"NAME"),"")</f>
        <v/>
      </c>
      <c r="C529" s="22">
        <f>IF(LEFT((_xll.BDP(A529,"DVD_DECLARED_DT")),4)="#N/A",NA(),(_xll.BDP(A529,"DVD_DECLARED_DT")))</f>
        <v/>
      </c>
      <c r="D529" s="22">
        <f>IF(LEFT((_xll.BDP(A529,"DVD_EX_DT")),4)="#N/A",NA(),(_xll.BDP(A529,"DVD_EX_DT")))</f>
        <v/>
      </c>
      <c r="E529" s="22">
        <f>IF(LEFT((_xll.BDP(A529,"DVD_SH_LAST")), 4) = "#N/A", NA(), (_xll.BDP(A529,"DVD_SH_LAST")))</f>
        <v/>
      </c>
      <c r="F529" s="22">
        <f>IF(LEFT((_xll.BDP(A529,"DVD_TYP_LAST")), 4) = "#N/A", NA(), (_xll.BDP(A529,"DVD_TYP_LAST")))</f>
        <v/>
      </c>
      <c r="G529" s="16">
        <f>IF(ISNUMBER(C529),IF(C529&gt;=Settings!$B$5,"Y","N"),"")</f>
        <v/>
      </c>
      <c r="H529" s="16">
        <f>IF(G529="Y",IF(ISNUMBER(SEARCH("Special",F529)),"SPECIAL DIVIDEND","NEW DIVIDEND"),IF(ISNUMBER(SEARCH("Special",F529)),"SPECIAL DIVIDEND",""))</f>
        <v/>
      </c>
    </row>
    <row r="530">
      <c r="A530" s="16">
        <f>'Rest Universe'!A531</f>
        <v/>
      </c>
      <c r="B530" s="22">
        <f>IFERROR(_xll.BDP(A530,"NAME"),"")</f>
        <v/>
      </c>
      <c r="C530" s="22">
        <f>IF(LEFT((_xll.BDP(A530,"DVD_DECLARED_DT")),4)="#N/A",NA(),(_xll.BDP(A530,"DVD_DECLARED_DT")))</f>
        <v/>
      </c>
      <c r="D530" s="22">
        <f>IF(LEFT((_xll.BDP(A530,"DVD_EX_DT")),4)="#N/A",NA(),(_xll.BDP(A530,"DVD_EX_DT")))</f>
        <v/>
      </c>
      <c r="E530" s="22">
        <f>IF(LEFT((_xll.BDP(A530,"DVD_SH_LAST")), 4) = "#N/A", NA(), (_xll.BDP(A530,"DVD_SH_LAST")))</f>
        <v/>
      </c>
      <c r="F530" s="22">
        <f>IF(LEFT((_xll.BDP(A530,"DVD_TYP_LAST")), 4) = "#N/A", NA(), (_xll.BDP(A530,"DVD_TYP_LAST")))</f>
        <v/>
      </c>
      <c r="G530" s="16">
        <f>IF(ISNUMBER(C530),IF(C530&gt;=Settings!$B$5,"Y","N"),"")</f>
        <v/>
      </c>
      <c r="H530" s="16">
        <f>IF(G530="Y",IF(ISNUMBER(SEARCH("Special",F530)),"SPECIAL DIVIDEND","NEW DIVIDEND"),IF(ISNUMBER(SEARCH("Special",F530)),"SPECIAL DIVIDEND",""))</f>
        <v/>
      </c>
    </row>
    <row r="531">
      <c r="A531" s="16">
        <f>'Rest Universe'!A532</f>
        <v/>
      </c>
      <c r="B531" s="22">
        <f>IFERROR(_xll.BDP(A531,"NAME"),"")</f>
        <v/>
      </c>
      <c r="C531" s="22">
        <f>IF(LEFT((_xll.BDP(A531,"DVD_DECLARED_DT")),4)="#N/A",NA(),(_xll.BDP(A531,"DVD_DECLARED_DT")))</f>
        <v/>
      </c>
      <c r="D531" s="22">
        <f>IF(LEFT((_xll.BDP(A531,"DVD_EX_DT")),4)="#N/A",NA(),(_xll.BDP(A531,"DVD_EX_DT")))</f>
        <v/>
      </c>
      <c r="E531" s="22">
        <f>IF(LEFT((_xll.BDP(A531,"DVD_SH_LAST")), 4) = "#N/A", NA(), (_xll.BDP(A531,"DVD_SH_LAST")))</f>
        <v/>
      </c>
      <c r="F531" s="22">
        <f>IF(LEFT((_xll.BDP(A531,"DVD_TYP_LAST")), 4) = "#N/A", NA(), (_xll.BDP(A531,"DVD_TYP_LAST")))</f>
        <v/>
      </c>
      <c r="G531" s="16">
        <f>IF(ISNUMBER(C531),IF(C531&gt;=Settings!$B$5,"Y","N"),"")</f>
        <v/>
      </c>
      <c r="H531" s="16">
        <f>IF(G531="Y",IF(ISNUMBER(SEARCH("Special",F531)),"SPECIAL DIVIDEND","NEW DIVIDEND"),IF(ISNUMBER(SEARCH("Special",F531)),"SPECIAL DIVIDEND",""))</f>
        <v/>
      </c>
    </row>
    <row r="532">
      <c r="A532" s="16">
        <f>'Rest Universe'!A533</f>
        <v/>
      </c>
      <c r="B532" s="22">
        <f>IFERROR(_xll.BDP(A532,"NAME"),"")</f>
        <v/>
      </c>
      <c r="C532" s="22">
        <f>IF(LEFT((_xll.BDP(A532,"DVD_DECLARED_DT")),4)="#N/A",NA(),(_xll.BDP(A532,"DVD_DECLARED_DT")))</f>
        <v/>
      </c>
      <c r="D532" s="22">
        <f>IF(LEFT((_xll.BDP(A532,"DVD_EX_DT")),4)="#N/A",NA(),(_xll.BDP(A532,"DVD_EX_DT")))</f>
        <v/>
      </c>
      <c r="E532" s="22">
        <f>IF(LEFT((_xll.BDP(A532,"DVD_SH_LAST")), 4) = "#N/A", NA(), (_xll.BDP(A532,"DVD_SH_LAST")))</f>
        <v/>
      </c>
      <c r="F532" s="22">
        <f>IF(LEFT((_xll.BDP(A532,"DVD_TYP_LAST")), 4) = "#N/A", NA(), (_xll.BDP(A532,"DVD_TYP_LAST")))</f>
        <v/>
      </c>
      <c r="G532" s="16">
        <f>IF(ISNUMBER(C532),IF(C532&gt;=Settings!$B$5,"Y","N"),"")</f>
        <v/>
      </c>
      <c r="H532" s="16">
        <f>IF(G532="Y",IF(ISNUMBER(SEARCH("Special",F532)),"SPECIAL DIVIDEND","NEW DIVIDEND"),IF(ISNUMBER(SEARCH("Special",F532)),"SPECIAL DIVIDEND",""))</f>
        <v/>
      </c>
    </row>
    <row r="533">
      <c r="A533" s="16">
        <f>'Rest Universe'!A534</f>
        <v/>
      </c>
      <c r="B533" s="22">
        <f>IFERROR(_xll.BDP(A533,"NAME"),"")</f>
        <v/>
      </c>
      <c r="C533" s="22">
        <f>IF(LEFT((_xll.BDP(A533,"DVD_DECLARED_DT")),4)="#N/A",NA(),(_xll.BDP(A533,"DVD_DECLARED_DT")))</f>
        <v/>
      </c>
      <c r="D533" s="22">
        <f>IF(LEFT((_xll.BDP(A533,"DVD_EX_DT")),4)="#N/A",NA(),(_xll.BDP(A533,"DVD_EX_DT")))</f>
        <v/>
      </c>
      <c r="E533" s="22">
        <f>IF(LEFT((_xll.BDP(A533,"DVD_SH_LAST")), 4) = "#N/A", NA(), (_xll.BDP(A533,"DVD_SH_LAST")))</f>
        <v/>
      </c>
      <c r="F533" s="22">
        <f>IF(LEFT((_xll.BDP(A533,"DVD_TYP_LAST")), 4) = "#N/A", NA(), (_xll.BDP(A533,"DVD_TYP_LAST")))</f>
        <v/>
      </c>
      <c r="G533" s="16">
        <f>IF(ISNUMBER(C533),IF(C533&gt;=Settings!$B$5,"Y","N"),"")</f>
        <v/>
      </c>
      <c r="H533" s="16">
        <f>IF(G533="Y",IF(ISNUMBER(SEARCH("Special",F533)),"SPECIAL DIVIDEND","NEW DIVIDEND"),IF(ISNUMBER(SEARCH("Special",F533)),"SPECIAL DIVIDEND",""))</f>
        <v/>
      </c>
    </row>
    <row r="534">
      <c r="A534" s="16">
        <f>'Rest Universe'!A535</f>
        <v/>
      </c>
      <c r="B534" s="22">
        <f>IFERROR(_xll.BDP(A534,"NAME"),"")</f>
        <v/>
      </c>
      <c r="C534" s="22">
        <f>IF(LEFT((_xll.BDP(A534,"DVD_DECLARED_DT")),4)="#N/A",NA(),(_xll.BDP(A534,"DVD_DECLARED_DT")))</f>
        <v/>
      </c>
      <c r="D534" s="22">
        <f>IF(LEFT((_xll.BDP(A534,"DVD_EX_DT")),4)="#N/A",NA(),(_xll.BDP(A534,"DVD_EX_DT")))</f>
        <v/>
      </c>
      <c r="E534" s="22">
        <f>IF(LEFT((_xll.BDP(A534,"DVD_SH_LAST")), 4) = "#N/A", NA(), (_xll.BDP(A534,"DVD_SH_LAST")))</f>
        <v/>
      </c>
      <c r="F534" s="22">
        <f>IF(LEFT((_xll.BDP(A534,"DVD_TYP_LAST")), 4) = "#N/A", NA(), (_xll.BDP(A534,"DVD_TYP_LAST")))</f>
        <v/>
      </c>
      <c r="G534" s="16">
        <f>IF(ISNUMBER(C534),IF(C534&gt;=Settings!$B$5,"Y","N"),"")</f>
        <v/>
      </c>
      <c r="H534" s="16">
        <f>IF(G534="Y",IF(ISNUMBER(SEARCH("Special",F534)),"SPECIAL DIVIDEND","NEW DIVIDEND"),IF(ISNUMBER(SEARCH("Special",F534)),"SPECIAL DIVIDEND",""))</f>
        <v/>
      </c>
    </row>
    <row r="535">
      <c r="A535" s="16">
        <f>'Rest Universe'!A536</f>
        <v/>
      </c>
      <c r="B535" s="22">
        <f>IFERROR(_xll.BDP(A535,"NAME"),"")</f>
        <v/>
      </c>
      <c r="C535" s="22">
        <f>IF(LEFT((_xll.BDP(A535,"DVD_DECLARED_DT")),4)="#N/A",NA(),(_xll.BDP(A535,"DVD_DECLARED_DT")))</f>
        <v/>
      </c>
      <c r="D535" s="22">
        <f>IF(LEFT((_xll.BDP(A535,"DVD_EX_DT")),4)="#N/A",NA(),(_xll.BDP(A535,"DVD_EX_DT")))</f>
        <v/>
      </c>
      <c r="E535" s="22">
        <f>IF(LEFT((_xll.BDP(A535,"DVD_SH_LAST")), 4) = "#N/A", NA(), (_xll.BDP(A535,"DVD_SH_LAST")))</f>
        <v/>
      </c>
      <c r="F535" s="22">
        <f>IF(LEFT((_xll.BDP(A535,"DVD_TYP_LAST")), 4) = "#N/A", NA(), (_xll.BDP(A535,"DVD_TYP_LAST")))</f>
        <v/>
      </c>
      <c r="G535" s="16">
        <f>IF(ISNUMBER(C535),IF(C535&gt;=Settings!$B$5,"Y","N"),"")</f>
        <v/>
      </c>
      <c r="H535" s="16">
        <f>IF(G535="Y",IF(ISNUMBER(SEARCH("Special",F535)),"SPECIAL DIVIDEND","NEW DIVIDEND"),IF(ISNUMBER(SEARCH("Special",F535)),"SPECIAL DIVIDEND",""))</f>
        <v/>
      </c>
    </row>
    <row r="536">
      <c r="A536" s="16">
        <f>'Rest Universe'!A537</f>
        <v/>
      </c>
      <c r="B536" s="22">
        <f>IFERROR(_xll.BDP(A536,"NAME"),"")</f>
        <v/>
      </c>
      <c r="C536" s="22">
        <f>IF(LEFT((_xll.BDP(A536,"DVD_DECLARED_DT")),4)="#N/A",NA(),(_xll.BDP(A536,"DVD_DECLARED_DT")))</f>
        <v/>
      </c>
      <c r="D536" s="22">
        <f>IF(LEFT((_xll.BDP(A536,"DVD_EX_DT")),4)="#N/A",NA(),(_xll.BDP(A536,"DVD_EX_DT")))</f>
        <v/>
      </c>
      <c r="E536" s="22">
        <f>IF(LEFT((_xll.BDP(A536,"DVD_SH_LAST")), 4) = "#N/A", NA(), (_xll.BDP(A536,"DVD_SH_LAST")))</f>
        <v/>
      </c>
      <c r="F536" s="22">
        <f>IF(LEFT((_xll.BDP(A536,"DVD_TYP_LAST")), 4) = "#N/A", NA(), (_xll.BDP(A536,"DVD_TYP_LAST")))</f>
        <v/>
      </c>
      <c r="G536" s="16">
        <f>IF(ISNUMBER(C536),IF(C536&gt;=Settings!$B$5,"Y","N"),"")</f>
        <v/>
      </c>
      <c r="H536" s="16">
        <f>IF(G536="Y",IF(ISNUMBER(SEARCH("Special",F536)),"SPECIAL DIVIDEND","NEW DIVIDEND"),IF(ISNUMBER(SEARCH("Special",F536)),"SPECIAL DIVIDEND",""))</f>
        <v/>
      </c>
    </row>
    <row r="537">
      <c r="A537" s="16">
        <f>'Rest Universe'!A538</f>
        <v/>
      </c>
      <c r="B537" s="22">
        <f>IFERROR(_xll.BDP(A537,"NAME"),"")</f>
        <v/>
      </c>
      <c r="C537" s="22">
        <f>IF(LEFT((_xll.BDP(A537,"DVD_DECLARED_DT")),4)="#N/A",NA(),(_xll.BDP(A537,"DVD_DECLARED_DT")))</f>
        <v/>
      </c>
      <c r="D537" s="22">
        <f>IF(LEFT((_xll.BDP(A537,"DVD_EX_DT")),4)="#N/A",NA(),(_xll.BDP(A537,"DVD_EX_DT")))</f>
        <v/>
      </c>
      <c r="E537" s="22">
        <f>IF(LEFT((_xll.BDP(A537,"DVD_SH_LAST")), 4) = "#N/A", NA(), (_xll.BDP(A537,"DVD_SH_LAST")))</f>
        <v/>
      </c>
      <c r="F537" s="22">
        <f>IF(LEFT((_xll.BDP(A537,"DVD_TYP_LAST")), 4) = "#N/A", NA(), (_xll.BDP(A537,"DVD_TYP_LAST")))</f>
        <v/>
      </c>
      <c r="G537" s="16">
        <f>IF(ISNUMBER(C537),IF(C537&gt;=Settings!$B$5,"Y","N"),"")</f>
        <v/>
      </c>
      <c r="H537" s="16">
        <f>IF(G537="Y",IF(ISNUMBER(SEARCH("Special",F537)),"SPECIAL DIVIDEND","NEW DIVIDEND"),IF(ISNUMBER(SEARCH("Special",F537)),"SPECIAL DIVIDEND",""))</f>
        <v/>
      </c>
    </row>
    <row r="538">
      <c r="A538" s="16">
        <f>'Rest Universe'!A539</f>
        <v/>
      </c>
      <c r="B538" s="22">
        <f>IFERROR(_xll.BDP(A538,"NAME"),"")</f>
        <v/>
      </c>
      <c r="C538" s="22">
        <f>IF(LEFT((_xll.BDP(A538,"DVD_DECLARED_DT")),4)="#N/A",NA(),(_xll.BDP(A538,"DVD_DECLARED_DT")))</f>
        <v/>
      </c>
      <c r="D538" s="22">
        <f>IF(LEFT((_xll.BDP(A538,"DVD_EX_DT")),4)="#N/A",NA(),(_xll.BDP(A538,"DVD_EX_DT")))</f>
        <v/>
      </c>
      <c r="E538" s="22">
        <f>IF(LEFT((_xll.BDP(A538,"DVD_SH_LAST")), 4) = "#N/A", NA(), (_xll.BDP(A538,"DVD_SH_LAST")))</f>
        <v/>
      </c>
      <c r="F538" s="22">
        <f>IF(LEFT((_xll.BDP(A538,"DVD_TYP_LAST")), 4) = "#N/A", NA(), (_xll.BDP(A538,"DVD_TYP_LAST")))</f>
        <v/>
      </c>
      <c r="G538" s="16">
        <f>IF(ISNUMBER(C538),IF(C538&gt;=Settings!$B$5,"Y","N"),"")</f>
        <v/>
      </c>
      <c r="H538" s="16">
        <f>IF(G538="Y",IF(ISNUMBER(SEARCH("Special",F538)),"SPECIAL DIVIDEND","NEW DIVIDEND"),IF(ISNUMBER(SEARCH("Special",F538)),"SPECIAL DIVIDEND",""))</f>
        <v/>
      </c>
    </row>
    <row r="539">
      <c r="A539" s="16">
        <f>'Rest Universe'!A540</f>
        <v/>
      </c>
      <c r="B539" s="22">
        <f>IFERROR(_xll.BDP(A539,"NAME"),"")</f>
        <v/>
      </c>
      <c r="C539" s="22">
        <f>IF(LEFT((_xll.BDP(A539,"DVD_DECLARED_DT")),4)="#N/A",NA(),(_xll.BDP(A539,"DVD_DECLARED_DT")))</f>
        <v/>
      </c>
      <c r="D539" s="22">
        <f>IF(LEFT((_xll.BDP(A539,"DVD_EX_DT")),4)="#N/A",NA(),(_xll.BDP(A539,"DVD_EX_DT")))</f>
        <v/>
      </c>
      <c r="E539" s="22">
        <f>IF(LEFT((_xll.BDP(A539,"DVD_SH_LAST")), 4) = "#N/A", NA(), (_xll.BDP(A539,"DVD_SH_LAST")))</f>
        <v/>
      </c>
      <c r="F539" s="22">
        <f>IF(LEFT((_xll.BDP(A539,"DVD_TYP_LAST")), 4) = "#N/A", NA(), (_xll.BDP(A539,"DVD_TYP_LAST")))</f>
        <v/>
      </c>
      <c r="G539" s="16">
        <f>IF(ISNUMBER(C539),IF(C539&gt;=Settings!$B$5,"Y","N"),"")</f>
        <v/>
      </c>
      <c r="H539" s="16">
        <f>IF(G539="Y",IF(ISNUMBER(SEARCH("Special",F539)),"SPECIAL DIVIDEND","NEW DIVIDEND"),IF(ISNUMBER(SEARCH("Special",F539)),"SPECIAL DIVIDEND",""))</f>
        <v/>
      </c>
    </row>
    <row r="540">
      <c r="A540" s="16">
        <f>'Rest Universe'!A541</f>
        <v/>
      </c>
      <c r="B540" s="22">
        <f>IFERROR(_xll.BDP(A540,"NAME"),"")</f>
        <v/>
      </c>
      <c r="C540" s="22">
        <f>IF(LEFT((_xll.BDP(A540,"DVD_DECLARED_DT")),4)="#N/A",NA(),(_xll.BDP(A540,"DVD_DECLARED_DT")))</f>
        <v/>
      </c>
      <c r="D540" s="22">
        <f>IF(LEFT((_xll.BDP(A540,"DVD_EX_DT")),4)="#N/A",NA(),(_xll.BDP(A540,"DVD_EX_DT")))</f>
        <v/>
      </c>
      <c r="E540" s="22">
        <f>IF(LEFT((_xll.BDP(A540,"DVD_SH_LAST")), 4) = "#N/A", NA(), (_xll.BDP(A540,"DVD_SH_LAST")))</f>
        <v/>
      </c>
      <c r="F540" s="22">
        <f>IF(LEFT((_xll.BDP(A540,"DVD_TYP_LAST")), 4) = "#N/A", NA(), (_xll.BDP(A540,"DVD_TYP_LAST")))</f>
        <v/>
      </c>
      <c r="G540" s="16">
        <f>IF(ISNUMBER(C540),IF(C540&gt;=Settings!$B$5,"Y","N"),"")</f>
        <v/>
      </c>
      <c r="H540" s="16">
        <f>IF(G540="Y",IF(ISNUMBER(SEARCH("Special",F540)),"SPECIAL DIVIDEND","NEW DIVIDEND"),IF(ISNUMBER(SEARCH("Special",F540)),"SPECIAL DIVIDEND",""))</f>
        <v/>
      </c>
    </row>
    <row r="541">
      <c r="A541" s="16">
        <f>'Rest Universe'!A542</f>
        <v/>
      </c>
      <c r="B541" s="22">
        <f>IFERROR(_xll.BDP(A541,"NAME"),"")</f>
        <v/>
      </c>
      <c r="C541" s="22">
        <f>IF(LEFT((_xll.BDP(A541,"DVD_DECLARED_DT")),4)="#N/A",NA(),(_xll.BDP(A541,"DVD_DECLARED_DT")))</f>
        <v/>
      </c>
      <c r="D541" s="22">
        <f>IF(LEFT((_xll.BDP(A541,"DVD_EX_DT")),4)="#N/A",NA(),(_xll.BDP(A541,"DVD_EX_DT")))</f>
        <v/>
      </c>
      <c r="E541" s="22">
        <f>IF(LEFT((_xll.BDP(A541,"DVD_SH_LAST")), 4) = "#N/A", NA(), (_xll.BDP(A541,"DVD_SH_LAST")))</f>
        <v/>
      </c>
      <c r="F541" s="22">
        <f>IF(LEFT((_xll.BDP(A541,"DVD_TYP_LAST")), 4) = "#N/A", NA(), (_xll.BDP(A541,"DVD_TYP_LAST")))</f>
        <v/>
      </c>
      <c r="G541" s="16">
        <f>IF(ISNUMBER(C541),IF(C541&gt;=Settings!$B$5,"Y","N"),"")</f>
        <v/>
      </c>
      <c r="H541" s="16">
        <f>IF(G541="Y",IF(ISNUMBER(SEARCH("Special",F541)),"SPECIAL DIVIDEND","NEW DIVIDEND"),IF(ISNUMBER(SEARCH("Special",F541)),"SPECIAL DIVIDEND",""))</f>
        <v/>
      </c>
    </row>
    <row r="542">
      <c r="A542" s="16">
        <f>'Rest Universe'!A543</f>
        <v/>
      </c>
      <c r="B542" s="22">
        <f>IFERROR(_xll.BDP(A542,"NAME"),"")</f>
        <v/>
      </c>
      <c r="C542" s="22">
        <f>IF(LEFT((_xll.BDP(A542,"DVD_DECLARED_DT")),4)="#N/A",NA(),(_xll.BDP(A542,"DVD_DECLARED_DT")))</f>
        <v/>
      </c>
      <c r="D542" s="22">
        <f>IF(LEFT((_xll.BDP(A542,"DVD_EX_DT")),4)="#N/A",NA(),(_xll.BDP(A542,"DVD_EX_DT")))</f>
        <v/>
      </c>
      <c r="E542" s="22">
        <f>IF(LEFT((_xll.BDP(A542,"DVD_SH_LAST")), 4) = "#N/A", NA(), (_xll.BDP(A542,"DVD_SH_LAST")))</f>
        <v/>
      </c>
      <c r="F542" s="22">
        <f>IF(LEFT((_xll.BDP(A542,"DVD_TYP_LAST")), 4) = "#N/A", NA(), (_xll.BDP(A542,"DVD_TYP_LAST")))</f>
        <v/>
      </c>
      <c r="G542" s="16">
        <f>IF(ISNUMBER(C542),IF(C542&gt;=Settings!$B$5,"Y","N"),"")</f>
        <v/>
      </c>
      <c r="H542" s="16">
        <f>IF(G542="Y",IF(ISNUMBER(SEARCH("Special",F542)),"SPECIAL DIVIDEND","NEW DIVIDEND"),IF(ISNUMBER(SEARCH("Special",F542)),"SPECIAL DIVIDEND",""))</f>
        <v/>
      </c>
    </row>
    <row r="543">
      <c r="A543" s="16">
        <f>'Rest Universe'!A544</f>
        <v/>
      </c>
      <c r="B543" s="22">
        <f>IFERROR(_xll.BDP(A543,"NAME"),"")</f>
        <v/>
      </c>
      <c r="C543" s="22">
        <f>IF(LEFT((_xll.BDP(A543,"DVD_DECLARED_DT")),4)="#N/A",NA(),(_xll.BDP(A543,"DVD_DECLARED_DT")))</f>
        <v/>
      </c>
      <c r="D543" s="22">
        <f>IF(LEFT((_xll.BDP(A543,"DVD_EX_DT")),4)="#N/A",NA(),(_xll.BDP(A543,"DVD_EX_DT")))</f>
        <v/>
      </c>
      <c r="E543" s="22">
        <f>IF(LEFT((_xll.BDP(A543,"DVD_SH_LAST")), 4) = "#N/A", NA(), (_xll.BDP(A543,"DVD_SH_LAST")))</f>
        <v/>
      </c>
      <c r="F543" s="22">
        <f>IF(LEFT((_xll.BDP(A543,"DVD_TYP_LAST")), 4) = "#N/A", NA(), (_xll.BDP(A543,"DVD_TYP_LAST")))</f>
        <v/>
      </c>
      <c r="G543" s="16">
        <f>IF(ISNUMBER(C543),IF(C543&gt;=Settings!$B$5,"Y","N"),"")</f>
        <v/>
      </c>
      <c r="H543" s="16">
        <f>IF(G543="Y",IF(ISNUMBER(SEARCH("Special",F543)),"SPECIAL DIVIDEND","NEW DIVIDEND"),IF(ISNUMBER(SEARCH("Special",F543)),"SPECIAL DIVIDEND",""))</f>
        <v/>
      </c>
    </row>
    <row r="544">
      <c r="A544" s="16">
        <f>'Rest Universe'!A545</f>
        <v/>
      </c>
      <c r="B544" s="22">
        <f>IFERROR(_xll.BDP(A544,"NAME"),"")</f>
        <v/>
      </c>
      <c r="C544" s="22">
        <f>IF(LEFT((_xll.BDP(A544,"DVD_DECLARED_DT")),4)="#N/A",NA(),(_xll.BDP(A544,"DVD_DECLARED_DT")))</f>
        <v/>
      </c>
      <c r="D544" s="22">
        <f>IF(LEFT((_xll.BDP(A544,"DVD_EX_DT")),4)="#N/A",NA(),(_xll.BDP(A544,"DVD_EX_DT")))</f>
        <v/>
      </c>
      <c r="E544" s="22">
        <f>IF(LEFT((_xll.BDP(A544,"DVD_SH_LAST")), 4) = "#N/A", NA(), (_xll.BDP(A544,"DVD_SH_LAST")))</f>
        <v/>
      </c>
      <c r="F544" s="22">
        <f>IF(LEFT((_xll.BDP(A544,"DVD_TYP_LAST")), 4) = "#N/A", NA(), (_xll.BDP(A544,"DVD_TYP_LAST")))</f>
        <v/>
      </c>
      <c r="G544" s="16">
        <f>IF(ISNUMBER(C544),IF(C544&gt;=Settings!$B$5,"Y","N"),"")</f>
        <v/>
      </c>
      <c r="H544" s="16">
        <f>IF(G544="Y",IF(ISNUMBER(SEARCH("Special",F544)),"SPECIAL DIVIDEND","NEW DIVIDEND"),IF(ISNUMBER(SEARCH("Special",F544)),"SPECIAL DIVIDEND",""))</f>
        <v/>
      </c>
    </row>
    <row r="545">
      <c r="A545" s="16">
        <f>'Rest Universe'!A546</f>
        <v/>
      </c>
      <c r="B545" s="22">
        <f>IFERROR(_xll.BDP(A545,"NAME"),"")</f>
        <v/>
      </c>
      <c r="C545" s="22">
        <f>IF(LEFT((_xll.BDP(A545,"DVD_DECLARED_DT")),4)="#N/A",NA(),(_xll.BDP(A545,"DVD_DECLARED_DT")))</f>
        <v/>
      </c>
      <c r="D545" s="22">
        <f>IF(LEFT((_xll.BDP(A545,"DVD_EX_DT")),4)="#N/A",NA(),(_xll.BDP(A545,"DVD_EX_DT")))</f>
        <v/>
      </c>
      <c r="E545" s="22">
        <f>IF(LEFT((_xll.BDP(A545,"DVD_SH_LAST")), 4) = "#N/A", NA(), (_xll.BDP(A545,"DVD_SH_LAST")))</f>
        <v/>
      </c>
      <c r="F545" s="22">
        <f>IF(LEFT((_xll.BDP(A545,"DVD_TYP_LAST")), 4) = "#N/A", NA(), (_xll.BDP(A545,"DVD_TYP_LAST")))</f>
        <v/>
      </c>
      <c r="G545" s="16">
        <f>IF(ISNUMBER(C545),IF(C545&gt;=Settings!$B$5,"Y","N"),"")</f>
        <v/>
      </c>
      <c r="H545" s="16">
        <f>IF(G545="Y",IF(ISNUMBER(SEARCH("Special",F545)),"SPECIAL DIVIDEND","NEW DIVIDEND"),IF(ISNUMBER(SEARCH("Special",F545)),"SPECIAL DIVIDEND",""))</f>
        <v/>
      </c>
    </row>
    <row r="546">
      <c r="A546" s="16">
        <f>'Rest Universe'!A547</f>
        <v/>
      </c>
      <c r="B546" s="22">
        <f>IFERROR(_xll.BDP(A546,"NAME"),"")</f>
        <v/>
      </c>
      <c r="C546" s="22">
        <f>IF(LEFT((_xll.BDP(A546,"DVD_DECLARED_DT")),4)="#N/A",NA(),(_xll.BDP(A546,"DVD_DECLARED_DT")))</f>
        <v/>
      </c>
      <c r="D546" s="22">
        <f>IF(LEFT((_xll.BDP(A546,"DVD_EX_DT")),4)="#N/A",NA(),(_xll.BDP(A546,"DVD_EX_DT")))</f>
        <v/>
      </c>
      <c r="E546" s="22">
        <f>IF(LEFT((_xll.BDP(A546,"DVD_SH_LAST")), 4) = "#N/A", NA(), (_xll.BDP(A546,"DVD_SH_LAST")))</f>
        <v/>
      </c>
      <c r="F546" s="22">
        <f>IF(LEFT((_xll.BDP(A546,"DVD_TYP_LAST")), 4) = "#N/A", NA(), (_xll.BDP(A546,"DVD_TYP_LAST")))</f>
        <v/>
      </c>
      <c r="G546" s="16">
        <f>IF(ISNUMBER(C546),IF(C546&gt;=Settings!$B$5,"Y","N"),"")</f>
        <v/>
      </c>
      <c r="H546" s="16">
        <f>IF(G546="Y",IF(ISNUMBER(SEARCH("Special",F546)),"SPECIAL DIVIDEND","NEW DIVIDEND"),IF(ISNUMBER(SEARCH("Special",F546)),"SPECIAL DIVIDEND",""))</f>
        <v/>
      </c>
    </row>
    <row r="547">
      <c r="A547" s="16">
        <f>'Rest Universe'!A548</f>
        <v/>
      </c>
      <c r="B547" s="22">
        <f>IFERROR(_xll.BDP(A547,"NAME"),"")</f>
        <v/>
      </c>
      <c r="C547" s="22">
        <f>IF(LEFT((_xll.BDP(A547,"DVD_DECLARED_DT")),4)="#N/A",NA(),(_xll.BDP(A547,"DVD_DECLARED_DT")))</f>
        <v/>
      </c>
      <c r="D547" s="22">
        <f>IF(LEFT((_xll.BDP(A547,"DVD_EX_DT")),4)="#N/A",NA(),(_xll.BDP(A547,"DVD_EX_DT")))</f>
        <v/>
      </c>
      <c r="E547" s="22">
        <f>IF(LEFT((_xll.BDP(A547,"DVD_SH_LAST")), 4) = "#N/A", NA(), (_xll.BDP(A547,"DVD_SH_LAST")))</f>
        <v/>
      </c>
      <c r="F547" s="22">
        <f>IF(LEFT((_xll.BDP(A547,"DVD_TYP_LAST")), 4) = "#N/A", NA(), (_xll.BDP(A547,"DVD_TYP_LAST")))</f>
        <v/>
      </c>
      <c r="G547" s="16">
        <f>IF(ISNUMBER(C547),IF(C547&gt;=Settings!$B$5,"Y","N"),"")</f>
        <v/>
      </c>
      <c r="H547" s="16">
        <f>IF(G547="Y",IF(ISNUMBER(SEARCH("Special",F547)),"SPECIAL DIVIDEND","NEW DIVIDEND"),IF(ISNUMBER(SEARCH("Special",F547)),"SPECIAL DIVIDEND",""))</f>
        <v/>
      </c>
    </row>
    <row r="548">
      <c r="A548" s="16">
        <f>'Rest Universe'!A549</f>
        <v/>
      </c>
      <c r="B548" s="22">
        <f>IFERROR(_xll.BDP(A548,"NAME"),"")</f>
        <v/>
      </c>
      <c r="C548" s="22">
        <f>IF(LEFT((_xll.BDP(A548,"DVD_DECLARED_DT")),4)="#N/A",NA(),(_xll.BDP(A548,"DVD_DECLARED_DT")))</f>
        <v/>
      </c>
      <c r="D548" s="22">
        <f>IF(LEFT((_xll.BDP(A548,"DVD_EX_DT")),4)="#N/A",NA(),(_xll.BDP(A548,"DVD_EX_DT")))</f>
        <v/>
      </c>
      <c r="E548" s="22">
        <f>IF(LEFT((_xll.BDP(A548,"DVD_SH_LAST")), 4) = "#N/A", NA(), (_xll.BDP(A548,"DVD_SH_LAST")))</f>
        <v/>
      </c>
      <c r="F548" s="22">
        <f>IF(LEFT((_xll.BDP(A548,"DVD_TYP_LAST")), 4) = "#N/A", NA(), (_xll.BDP(A548,"DVD_TYP_LAST")))</f>
        <v/>
      </c>
      <c r="G548" s="16">
        <f>IF(ISNUMBER(C548),IF(C548&gt;=Settings!$B$5,"Y","N"),"")</f>
        <v/>
      </c>
      <c r="H548" s="16">
        <f>IF(G548="Y",IF(ISNUMBER(SEARCH("Special",F548)),"SPECIAL DIVIDEND","NEW DIVIDEND"),IF(ISNUMBER(SEARCH("Special",F548)),"SPECIAL DIVIDEND",""))</f>
        <v/>
      </c>
    </row>
    <row r="549">
      <c r="A549" s="16">
        <f>'Rest Universe'!A550</f>
        <v/>
      </c>
      <c r="B549" s="22">
        <f>IFERROR(_xll.BDP(A549,"NAME"),"")</f>
        <v/>
      </c>
      <c r="C549" s="22">
        <f>IF(LEFT((_xll.BDP(A549,"DVD_DECLARED_DT")),4)="#N/A",NA(),(_xll.BDP(A549,"DVD_DECLARED_DT")))</f>
        <v/>
      </c>
      <c r="D549" s="22">
        <f>IF(LEFT((_xll.BDP(A549,"DVD_EX_DT")),4)="#N/A",NA(),(_xll.BDP(A549,"DVD_EX_DT")))</f>
        <v/>
      </c>
      <c r="E549" s="22">
        <f>IF(LEFT((_xll.BDP(A549,"DVD_SH_LAST")), 4) = "#N/A", NA(), (_xll.BDP(A549,"DVD_SH_LAST")))</f>
        <v/>
      </c>
      <c r="F549" s="22">
        <f>IF(LEFT((_xll.BDP(A549,"DVD_TYP_LAST")), 4) = "#N/A", NA(), (_xll.BDP(A549,"DVD_TYP_LAST")))</f>
        <v/>
      </c>
      <c r="G549" s="16">
        <f>IF(ISNUMBER(C549),IF(C549&gt;=Settings!$B$5,"Y","N"),"")</f>
        <v/>
      </c>
      <c r="H549" s="16">
        <f>IF(G549="Y",IF(ISNUMBER(SEARCH("Special",F549)),"SPECIAL DIVIDEND","NEW DIVIDEND"),IF(ISNUMBER(SEARCH("Special",F549)),"SPECIAL DIVIDEND",""))</f>
        <v/>
      </c>
    </row>
    <row r="550">
      <c r="A550" s="16">
        <f>'Rest Universe'!A551</f>
        <v/>
      </c>
      <c r="B550" s="22">
        <f>IFERROR(_xll.BDP(A550,"NAME"),"")</f>
        <v/>
      </c>
      <c r="C550" s="22">
        <f>IF(LEFT((_xll.BDP(A550,"DVD_DECLARED_DT")),4)="#N/A",NA(),(_xll.BDP(A550,"DVD_DECLARED_DT")))</f>
        <v/>
      </c>
      <c r="D550" s="22">
        <f>IF(LEFT((_xll.BDP(A550,"DVD_EX_DT")),4)="#N/A",NA(),(_xll.BDP(A550,"DVD_EX_DT")))</f>
        <v/>
      </c>
      <c r="E550" s="22">
        <f>IF(LEFT((_xll.BDP(A550,"DVD_SH_LAST")), 4) = "#N/A", NA(), (_xll.BDP(A550,"DVD_SH_LAST")))</f>
        <v/>
      </c>
      <c r="F550" s="22">
        <f>IF(LEFT((_xll.BDP(A550,"DVD_TYP_LAST")), 4) = "#N/A", NA(), (_xll.BDP(A550,"DVD_TYP_LAST")))</f>
        <v/>
      </c>
      <c r="G550" s="16">
        <f>IF(ISNUMBER(C550),IF(C550&gt;=Settings!$B$5,"Y","N"),"")</f>
        <v/>
      </c>
      <c r="H550" s="16">
        <f>IF(G550="Y",IF(ISNUMBER(SEARCH("Special",F550)),"SPECIAL DIVIDEND","NEW DIVIDEND"),IF(ISNUMBER(SEARCH("Special",F550)),"SPECIAL DIVIDEND",""))</f>
        <v/>
      </c>
    </row>
    <row r="551">
      <c r="A551" s="16">
        <f>'Rest Universe'!A552</f>
        <v/>
      </c>
      <c r="B551" s="22">
        <f>IFERROR(_xll.BDP(A551,"NAME"),"")</f>
        <v/>
      </c>
      <c r="C551" s="22">
        <f>IF(LEFT((_xll.BDP(A551,"DVD_DECLARED_DT")),4)="#N/A",NA(),(_xll.BDP(A551,"DVD_DECLARED_DT")))</f>
        <v/>
      </c>
      <c r="D551" s="22">
        <f>IF(LEFT((_xll.BDP(A551,"DVD_EX_DT")),4)="#N/A",NA(),(_xll.BDP(A551,"DVD_EX_DT")))</f>
        <v/>
      </c>
      <c r="E551" s="22">
        <f>IF(LEFT((_xll.BDP(A551,"DVD_SH_LAST")), 4) = "#N/A", NA(), (_xll.BDP(A551,"DVD_SH_LAST")))</f>
        <v/>
      </c>
      <c r="F551" s="22">
        <f>IF(LEFT((_xll.BDP(A551,"DVD_TYP_LAST")), 4) = "#N/A", NA(), (_xll.BDP(A551,"DVD_TYP_LAST")))</f>
        <v/>
      </c>
      <c r="G551" s="16">
        <f>IF(ISNUMBER(C551),IF(C551&gt;=Settings!$B$5,"Y","N"),"")</f>
        <v/>
      </c>
      <c r="H551" s="16">
        <f>IF(G551="Y",IF(ISNUMBER(SEARCH("Special",F551)),"SPECIAL DIVIDEND","NEW DIVIDEND"),IF(ISNUMBER(SEARCH("Special",F551)),"SPECIAL DIVIDEND",""))</f>
        <v/>
      </c>
    </row>
    <row r="552">
      <c r="A552" s="16">
        <f>'Rest Universe'!A553</f>
        <v/>
      </c>
      <c r="B552" s="22">
        <f>IFERROR(_xll.BDP(A552,"NAME"),"")</f>
        <v/>
      </c>
      <c r="C552" s="22">
        <f>IF(LEFT((_xll.BDP(A552,"DVD_DECLARED_DT")),4)="#N/A",NA(),(_xll.BDP(A552,"DVD_DECLARED_DT")))</f>
        <v/>
      </c>
      <c r="D552" s="22">
        <f>IF(LEFT((_xll.BDP(A552,"DVD_EX_DT")),4)="#N/A",NA(),(_xll.BDP(A552,"DVD_EX_DT")))</f>
        <v/>
      </c>
      <c r="E552" s="22">
        <f>IF(LEFT((_xll.BDP(A552,"DVD_SH_LAST")), 4) = "#N/A", NA(), (_xll.BDP(A552,"DVD_SH_LAST")))</f>
        <v/>
      </c>
      <c r="F552" s="22">
        <f>IF(LEFT((_xll.BDP(A552,"DVD_TYP_LAST")), 4) = "#N/A", NA(), (_xll.BDP(A552,"DVD_TYP_LAST")))</f>
        <v/>
      </c>
      <c r="G552" s="16">
        <f>IF(ISNUMBER(C552),IF(C552&gt;=Settings!$B$5,"Y","N"),"")</f>
        <v/>
      </c>
      <c r="H552" s="16">
        <f>IF(G552="Y",IF(ISNUMBER(SEARCH("Special",F552)),"SPECIAL DIVIDEND","NEW DIVIDEND"),IF(ISNUMBER(SEARCH("Special",F552)),"SPECIAL DIVIDEND",""))</f>
        <v/>
      </c>
    </row>
    <row r="553">
      <c r="A553" s="16">
        <f>'Rest Universe'!A554</f>
        <v/>
      </c>
      <c r="B553" s="22">
        <f>IFERROR(_xll.BDP(A553,"NAME"),"")</f>
        <v/>
      </c>
      <c r="C553" s="22">
        <f>IF(LEFT((_xll.BDP(A553,"DVD_DECLARED_DT")),4)="#N/A",NA(),(_xll.BDP(A553,"DVD_DECLARED_DT")))</f>
        <v/>
      </c>
      <c r="D553" s="22">
        <f>IF(LEFT((_xll.BDP(A553,"DVD_EX_DT")),4)="#N/A",NA(),(_xll.BDP(A553,"DVD_EX_DT")))</f>
        <v/>
      </c>
      <c r="E553" s="22">
        <f>IF(LEFT((_xll.BDP(A553,"DVD_SH_LAST")), 4) = "#N/A", NA(), (_xll.BDP(A553,"DVD_SH_LAST")))</f>
        <v/>
      </c>
      <c r="F553" s="22">
        <f>IF(LEFT((_xll.BDP(A553,"DVD_TYP_LAST")), 4) = "#N/A", NA(), (_xll.BDP(A553,"DVD_TYP_LAST")))</f>
        <v/>
      </c>
      <c r="G553" s="16">
        <f>IF(ISNUMBER(C553),IF(C553&gt;=Settings!$B$5,"Y","N"),"")</f>
        <v/>
      </c>
      <c r="H553" s="16">
        <f>IF(G553="Y",IF(ISNUMBER(SEARCH("Special",F553)),"SPECIAL DIVIDEND","NEW DIVIDEND"),IF(ISNUMBER(SEARCH("Special",F553)),"SPECIAL DIVIDEND",""))</f>
        <v/>
      </c>
    </row>
    <row r="554">
      <c r="A554" s="16">
        <f>'Rest Universe'!A555</f>
        <v/>
      </c>
      <c r="B554" s="22">
        <f>IFERROR(_xll.BDP(A554,"NAME"),"")</f>
        <v/>
      </c>
      <c r="C554" s="22">
        <f>IF(LEFT((_xll.BDP(A554,"DVD_DECLARED_DT")),4)="#N/A",NA(),(_xll.BDP(A554,"DVD_DECLARED_DT")))</f>
        <v/>
      </c>
      <c r="D554" s="22">
        <f>IF(LEFT((_xll.BDP(A554,"DVD_EX_DT")),4)="#N/A",NA(),(_xll.BDP(A554,"DVD_EX_DT")))</f>
        <v/>
      </c>
      <c r="E554" s="22">
        <f>IF(LEFT((_xll.BDP(A554,"DVD_SH_LAST")), 4) = "#N/A", NA(), (_xll.BDP(A554,"DVD_SH_LAST")))</f>
        <v/>
      </c>
      <c r="F554" s="22">
        <f>IF(LEFT((_xll.BDP(A554,"DVD_TYP_LAST")), 4) = "#N/A", NA(), (_xll.BDP(A554,"DVD_TYP_LAST")))</f>
        <v/>
      </c>
      <c r="G554" s="16">
        <f>IF(ISNUMBER(C554),IF(C554&gt;=Settings!$B$5,"Y","N"),"")</f>
        <v/>
      </c>
      <c r="H554" s="16">
        <f>IF(G554="Y",IF(ISNUMBER(SEARCH("Special",F554)),"SPECIAL DIVIDEND","NEW DIVIDEND"),IF(ISNUMBER(SEARCH("Special",F554)),"SPECIAL DIVIDEND",""))</f>
        <v/>
      </c>
    </row>
    <row r="555">
      <c r="A555" s="16">
        <f>'Rest Universe'!A556</f>
        <v/>
      </c>
      <c r="B555" s="22">
        <f>IFERROR(_xll.BDP(A555,"NAME"),"")</f>
        <v/>
      </c>
      <c r="C555" s="22">
        <f>IF(LEFT((_xll.BDP(A555,"DVD_DECLARED_DT")),4)="#N/A",NA(),(_xll.BDP(A555,"DVD_DECLARED_DT")))</f>
        <v/>
      </c>
      <c r="D555" s="22">
        <f>IF(LEFT((_xll.BDP(A555,"DVD_EX_DT")),4)="#N/A",NA(),(_xll.BDP(A555,"DVD_EX_DT")))</f>
        <v/>
      </c>
      <c r="E555" s="22">
        <f>IF(LEFT((_xll.BDP(A555,"DVD_SH_LAST")), 4) = "#N/A", NA(), (_xll.BDP(A555,"DVD_SH_LAST")))</f>
        <v/>
      </c>
      <c r="F555" s="22">
        <f>IF(LEFT((_xll.BDP(A555,"DVD_TYP_LAST")), 4) = "#N/A", NA(), (_xll.BDP(A555,"DVD_TYP_LAST")))</f>
        <v/>
      </c>
      <c r="G555" s="16">
        <f>IF(ISNUMBER(C555),IF(C555&gt;=Settings!$B$5,"Y","N"),"")</f>
        <v/>
      </c>
      <c r="H555" s="16">
        <f>IF(G555="Y",IF(ISNUMBER(SEARCH("Special",F555)),"SPECIAL DIVIDEND","NEW DIVIDEND"),IF(ISNUMBER(SEARCH("Special",F555)),"SPECIAL DIVIDEND",""))</f>
        <v/>
      </c>
    </row>
    <row r="556">
      <c r="A556" s="16">
        <f>'Rest Universe'!A557</f>
        <v/>
      </c>
      <c r="B556" s="22">
        <f>IFERROR(_xll.BDP(A556,"NAME"),"")</f>
        <v/>
      </c>
      <c r="C556" s="22">
        <f>IF(LEFT((_xll.BDP(A556,"DVD_DECLARED_DT")),4)="#N/A",NA(),(_xll.BDP(A556,"DVD_DECLARED_DT")))</f>
        <v/>
      </c>
      <c r="D556" s="22">
        <f>IF(LEFT((_xll.BDP(A556,"DVD_EX_DT")),4)="#N/A",NA(),(_xll.BDP(A556,"DVD_EX_DT")))</f>
        <v/>
      </c>
      <c r="E556" s="22">
        <f>IF(LEFT((_xll.BDP(A556,"DVD_SH_LAST")), 4) = "#N/A", NA(), (_xll.BDP(A556,"DVD_SH_LAST")))</f>
        <v/>
      </c>
      <c r="F556" s="22">
        <f>IF(LEFT((_xll.BDP(A556,"DVD_TYP_LAST")), 4) = "#N/A", NA(), (_xll.BDP(A556,"DVD_TYP_LAST")))</f>
        <v/>
      </c>
      <c r="G556" s="16">
        <f>IF(ISNUMBER(C556),IF(C556&gt;=Settings!$B$5,"Y","N"),"")</f>
        <v/>
      </c>
      <c r="H556" s="16">
        <f>IF(G556="Y",IF(ISNUMBER(SEARCH("Special",F556)),"SPECIAL DIVIDEND","NEW DIVIDEND"),IF(ISNUMBER(SEARCH("Special",F556)),"SPECIAL DIVIDEND",""))</f>
        <v/>
      </c>
    </row>
    <row r="557">
      <c r="A557" s="16">
        <f>'Rest Universe'!A558</f>
        <v/>
      </c>
      <c r="B557" s="22">
        <f>IFERROR(_xll.BDP(A557,"NAME"),"")</f>
        <v/>
      </c>
      <c r="C557" s="22">
        <f>IF(LEFT((_xll.BDP(A557,"DVD_DECLARED_DT")),4)="#N/A",NA(),(_xll.BDP(A557,"DVD_DECLARED_DT")))</f>
        <v/>
      </c>
      <c r="D557" s="22">
        <f>IF(LEFT((_xll.BDP(A557,"DVD_EX_DT")),4)="#N/A",NA(),(_xll.BDP(A557,"DVD_EX_DT")))</f>
        <v/>
      </c>
      <c r="E557" s="22">
        <f>IF(LEFT((_xll.BDP(A557,"DVD_SH_LAST")), 4) = "#N/A", NA(), (_xll.BDP(A557,"DVD_SH_LAST")))</f>
        <v/>
      </c>
      <c r="F557" s="22">
        <f>IF(LEFT((_xll.BDP(A557,"DVD_TYP_LAST")), 4) = "#N/A", NA(), (_xll.BDP(A557,"DVD_TYP_LAST")))</f>
        <v/>
      </c>
      <c r="G557" s="16">
        <f>IF(ISNUMBER(C557),IF(C557&gt;=Settings!$B$5,"Y","N"),"")</f>
        <v/>
      </c>
      <c r="H557" s="16">
        <f>IF(G557="Y",IF(ISNUMBER(SEARCH("Special",F557)),"SPECIAL DIVIDEND","NEW DIVIDEND"),IF(ISNUMBER(SEARCH("Special",F557)),"SPECIAL DIVIDEND",""))</f>
        <v/>
      </c>
    </row>
    <row r="558">
      <c r="A558" s="16">
        <f>'Rest Universe'!A559</f>
        <v/>
      </c>
      <c r="B558" s="22">
        <f>IFERROR(_xll.BDP(A558,"NAME"),"")</f>
        <v/>
      </c>
      <c r="C558" s="22">
        <f>IF(LEFT((_xll.BDP(A558,"DVD_DECLARED_DT")),4)="#N/A",NA(),(_xll.BDP(A558,"DVD_DECLARED_DT")))</f>
        <v/>
      </c>
      <c r="D558" s="22">
        <f>IF(LEFT((_xll.BDP(A558,"DVD_EX_DT")),4)="#N/A",NA(),(_xll.BDP(A558,"DVD_EX_DT")))</f>
        <v/>
      </c>
      <c r="E558" s="22">
        <f>IF(LEFT((_xll.BDP(A558,"DVD_SH_LAST")), 4) = "#N/A", NA(), (_xll.BDP(A558,"DVD_SH_LAST")))</f>
        <v/>
      </c>
      <c r="F558" s="22">
        <f>IF(LEFT((_xll.BDP(A558,"DVD_TYP_LAST")), 4) = "#N/A", NA(), (_xll.BDP(A558,"DVD_TYP_LAST")))</f>
        <v/>
      </c>
      <c r="G558" s="16">
        <f>IF(ISNUMBER(C558),IF(C558&gt;=Settings!$B$5,"Y","N"),"")</f>
        <v/>
      </c>
      <c r="H558" s="16">
        <f>IF(G558="Y",IF(ISNUMBER(SEARCH("Special",F558)),"SPECIAL DIVIDEND","NEW DIVIDEND"),IF(ISNUMBER(SEARCH("Special",F558)),"SPECIAL DIVIDEND",""))</f>
        <v/>
      </c>
    </row>
    <row r="559">
      <c r="A559" s="16">
        <f>'Rest Universe'!A560</f>
        <v/>
      </c>
      <c r="B559" s="22">
        <f>IFERROR(_xll.BDP(A559,"NAME"),"")</f>
        <v/>
      </c>
      <c r="C559" s="22">
        <f>IF(LEFT((_xll.BDP(A559,"DVD_DECLARED_DT")),4)="#N/A",NA(),(_xll.BDP(A559,"DVD_DECLARED_DT")))</f>
        <v/>
      </c>
      <c r="D559" s="22">
        <f>IF(LEFT((_xll.BDP(A559,"DVD_EX_DT")),4)="#N/A",NA(),(_xll.BDP(A559,"DVD_EX_DT")))</f>
        <v/>
      </c>
      <c r="E559" s="22">
        <f>IF(LEFT((_xll.BDP(A559,"DVD_SH_LAST")), 4) = "#N/A", NA(), (_xll.BDP(A559,"DVD_SH_LAST")))</f>
        <v/>
      </c>
      <c r="F559" s="22">
        <f>IF(LEFT((_xll.BDP(A559,"DVD_TYP_LAST")), 4) = "#N/A", NA(), (_xll.BDP(A559,"DVD_TYP_LAST")))</f>
        <v/>
      </c>
      <c r="G559" s="16">
        <f>IF(ISNUMBER(C559),IF(C559&gt;=Settings!$B$5,"Y","N"),"")</f>
        <v/>
      </c>
      <c r="H559" s="16">
        <f>IF(G559="Y",IF(ISNUMBER(SEARCH("Special",F559)),"SPECIAL DIVIDEND","NEW DIVIDEND"),IF(ISNUMBER(SEARCH("Special",F559)),"SPECIAL DIVIDEND",""))</f>
        <v/>
      </c>
    </row>
    <row r="560">
      <c r="A560" s="16">
        <f>'Rest Universe'!A561</f>
        <v/>
      </c>
      <c r="B560" s="22">
        <f>IFERROR(_xll.BDP(A560,"NAME"),"")</f>
        <v/>
      </c>
      <c r="C560" s="22">
        <f>IF(LEFT((_xll.BDP(A560,"DVD_DECLARED_DT")),4)="#N/A",NA(),(_xll.BDP(A560,"DVD_DECLARED_DT")))</f>
        <v/>
      </c>
      <c r="D560" s="22">
        <f>IF(LEFT((_xll.BDP(A560,"DVD_EX_DT")),4)="#N/A",NA(),(_xll.BDP(A560,"DVD_EX_DT")))</f>
        <v/>
      </c>
      <c r="E560" s="22">
        <f>IF(LEFT((_xll.BDP(A560,"DVD_SH_LAST")), 4) = "#N/A", NA(), (_xll.BDP(A560,"DVD_SH_LAST")))</f>
        <v/>
      </c>
      <c r="F560" s="22">
        <f>IF(LEFT((_xll.BDP(A560,"DVD_TYP_LAST")), 4) = "#N/A", NA(), (_xll.BDP(A560,"DVD_TYP_LAST")))</f>
        <v/>
      </c>
      <c r="G560" s="16">
        <f>IF(ISNUMBER(C560),IF(C560&gt;=Settings!$B$5,"Y","N"),"")</f>
        <v/>
      </c>
      <c r="H560" s="16">
        <f>IF(G560="Y",IF(ISNUMBER(SEARCH("Special",F560)),"SPECIAL DIVIDEND","NEW DIVIDEND"),IF(ISNUMBER(SEARCH("Special",F560)),"SPECIAL DIVIDEND",""))</f>
        <v/>
      </c>
    </row>
    <row r="561">
      <c r="A561" s="16">
        <f>'Rest Universe'!A562</f>
        <v/>
      </c>
      <c r="B561" s="22">
        <f>IFERROR(_xll.BDP(A561,"NAME"),"")</f>
        <v/>
      </c>
      <c r="C561" s="22">
        <f>IF(LEFT((_xll.BDP(A561,"DVD_DECLARED_DT")),4)="#N/A",NA(),(_xll.BDP(A561,"DVD_DECLARED_DT")))</f>
        <v/>
      </c>
      <c r="D561" s="22">
        <f>IF(LEFT((_xll.BDP(A561,"DVD_EX_DT")),4)="#N/A",NA(),(_xll.BDP(A561,"DVD_EX_DT")))</f>
        <v/>
      </c>
      <c r="E561" s="22">
        <f>IF(LEFT((_xll.BDP(A561,"DVD_SH_LAST")), 4) = "#N/A", NA(), (_xll.BDP(A561,"DVD_SH_LAST")))</f>
        <v/>
      </c>
      <c r="F561" s="22">
        <f>IF(LEFT((_xll.BDP(A561,"DVD_TYP_LAST")), 4) = "#N/A", NA(), (_xll.BDP(A561,"DVD_TYP_LAST")))</f>
        <v/>
      </c>
      <c r="G561" s="16">
        <f>IF(ISNUMBER(C561),IF(C561&gt;=Settings!$B$5,"Y","N"),"")</f>
        <v/>
      </c>
      <c r="H561" s="16">
        <f>IF(G561="Y",IF(ISNUMBER(SEARCH("Special",F561)),"SPECIAL DIVIDEND","NEW DIVIDEND"),IF(ISNUMBER(SEARCH("Special",F561)),"SPECIAL DIVIDEND",""))</f>
        <v/>
      </c>
    </row>
    <row r="562">
      <c r="A562" s="16">
        <f>'Rest Universe'!A563</f>
        <v/>
      </c>
      <c r="B562" s="22">
        <f>IFERROR(_xll.BDP(A562,"NAME"),"")</f>
        <v/>
      </c>
      <c r="C562" s="22">
        <f>IF(LEFT((_xll.BDP(A562,"DVD_DECLARED_DT")),4)="#N/A",NA(),(_xll.BDP(A562,"DVD_DECLARED_DT")))</f>
        <v/>
      </c>
      <c r="D562" s="22">
        <f>IF(LEFT((_xll.BDP(A562,"DVD_EX_DT")),4)="#N/A",NA(),(_xll.BDP(A562,"DVD_EX_DT")))</f>
        <v/>
      </c>
      <c r="E562" s="22">
        <f>IF(LEFT((_xll.BDP(A562,"DVD_SH_LAST")), 4) = "#N/A", NA(), (_xll.BDP(A562,"DVD_SH_LAST")))</f>
        <v/>
      </c>
      <c r="F562" s="22">
        <f>IF(LEFT((_xll.BDP(A562,"DVD_TYP_LAST")), 4) = "#N/A", NA(), (_xll.BDP(A562,"DVD_TYP_LAST")))</f>
        <v/>
      </c>
      <c r="G562" s="16">
        <f>IF(ISNUMBER(C562),IF(C562&gt;=Settings!$B$5,"Y","N"),"")</f>
        <v/>
      </c>
      <c r="H562" s="16">
        <f>IF(G562="Y",IF(ISNUMBER(SEARCH("Special",F562)),"SPECIAL DIVIDEND","NEW DIVIDEND"),IF(ISNUMBER(SEARCH("Special",F562)),"SPECIAL DIVIDEND",""))</f>
        <v/>
      </c>
    </row>
    <row r="563">
      <c r="A563" s="16">
        <f>'Rest Universe'!A564</f>
        <v/>
      </c>
      <c r="B563" s="22">
        <f>IFERROR(_xll.BDP(A563,"NAME"),"")</f>
        <v/>
      </c>
      <c r="C563" s="22">
        <f>IF(LEFT((_xll.BDP(A563,"DVD_DECLARED_DT")),4)="#N/A",NA(),(_xll.BDP(A563,"DVD_DECLARED_DT")))</f>
        <v/>
      </c>
      <c r="D563" s="22">
        <f>IF(LEFT((_xll.BDP(A563,"DVD_EX_DT")),4)="#N/A",NA(),(_xll.BDP(A563,"DVD_EX_DT")))</f>
        <v/>
      </c>
      <c r="E563" s="22">
        <f>IF(LEFT((_xll.BDP(A563,"DVD_SH_LAST")), 4) = "#N/A", NA(), (_xll.BDP(A563,"DVD_SH_LAST")))</f>
        <v/>
      </c>
      <c r="F563" s="22">
        <f>IF(LEFT((_xll.BDP(A563,"DVD_TYP_LAST")), 4) = "#N/A", NA(), (_xll.BDP(A563,"DVD_TYP_LAST")))</f>
        <v/>
      </c>
      <c r="G563" s="16">
        <f>IF(ISNUMBER(C563),IF(C563&gt;=Settings!$B$5,"Y","N"),"")</f>
        <v/>
      </c>
      <c r="H563" s="16">
        <f>IF(G563="Y",IF(ISNUMBER(SEARCH("Special",F563)),"SPECIAL DIVIDEND","NEW DIVIDEND"),IF(ISNUMBER(SEARCH("Special",F563)),"SPECIAL DIVIDEND",""))</f>
        <v/>
      </c>
    </row>
    <row r="564">
      <c r="A564" s="16">
        <f>'Rest Universe'!A565</f>
        <v/>
      </c>
      <c r="B564" s="22">
        <f>IFERROR(_xll.BDP(A564,"NAME"),"")</f>
        <v/>
      </c>
      <c r="C564" s="22">
        <f>IF(LEFT((_xll.BDP(A564,"DVD_DECLARED_DT")),4)="#N/A",NA(),(_xll.BDP(A564,"DVD_DECLARED_DT")))</f>
        <v/>
      </c>
      <c r="D564" s="22">
        <f>IF(LEFT((_xll.BDP(A564,"DVD_EX_DT")),4)="#N/A",NA(),(_xll.BDP(A564,"DVD_EX_DT")))</f>
        <v/>
      </c>
      <c r="E564" s="22">
        <f>IF(LEFT((_xll.BDP(A564,"DVD_SH_LAST")), 4) = "#N/A", NA(), (_xll.BDP(A564,"DVD_SH_LAST")))</f>
        <v/>
      </c>
      <c r="F564" s="22">
        <f>IF(LEFT((_xll.BDP(A564,"DVD_TYP_LAST")), 4) = "#N/A", NA(), (_xll.BDP(A564,"DVD_TYP_LAST")))</f>
        <v/>
      </c>
      <c r="G564" s="16">
        <f>IF(ISNUMBER(C564),IF(C564&gt;=Settings!$B$5,"Y","N"),"")</f>
        <v/>
      </c>
      <c r="H564" s="16">
        <f>IF(G564="Y",IF(ISNUMBER(SEARCH("Special",F564)),"SPECIAL DIVIDEND","NEW DIVIDEND"),IF(ISNUMBER(SEARCH("Special",F564)),"SPECIAL DIVIDEND",""))</f>
        <v/>
      </c>
    </row>
    <row r="565">
      <c r="A565" s="16">
        <f>'Rest Universe'!A566</f>
        <v/>
      </c>
      <c r="B565" s="22">
        <f>IFERROR(_xll.BDP(A565,"NAME"),"")</f>
        <v/>
      </c>
      <c r="C565" s="22">
        <f>IF(LEFT((_xll.BDP(A565,"DVD_DECLARED_DT")),4)="#N/A",NA(),(_xll.BDP(A565,"DVD_DECLARED_DT")))</f>
        <v/>
      </c>
      <c r="D565" s="22">
        <f>IF(LEFT((_xll.BDP(A565,"DVD_EX_DT")),4)="#N/A",NA(),(_xll.BDP(A565,"DVD_EX_DT")))</f>
        <v/>
      </c>
      <c r="E565" s="22">
        <f>IF(LEFT((_xll.BDP(A565,"DVD_SH_LAST")), 4) = "#N/A", NA(), (_xll.BDP(A565,"DVD_SH_LAST")))</f>
        <v/>
      </c>
      <c r="F565" s="22">
        <f>IF(LEFT((_xll.BDP(A565,"DVD_TYP_LAST")), 4) = "#N/A", NA(), (_xll.BDP(A565,"DVD_TYP_LAST")))</f>
        <v/>
      </c>
      <c r="G565" s="16">
        <f>IF(ISNUMBER(C565),IF(C565&gt;=Settings!$B$5,"Y","N"),"")</f>
        <v/>
      </c>
      <c r="H565" s="16">
        <f>IF(G565="Y",IF(ISNUMBER(SEARCH("Special",F565)),"SPECIAL DIVIDEND","NEW DIVIDEND"),IF(ISNUMBER(SEARCH("Special",F565)),"SPECIAL DIVIDEND",""))</f>
        <v/>
      </c>
    </row>
    <row r="566">
      <c r="A566" s="16">
        <f>'Rest Universe'!A567</f>
        <v/>
      </c>
      <c r="B566" s="22">
        <f>IFERROR(_xll.BDP(A566,"NAME"),"")</f>
        <v/>
      </c>
      <c r="C566" s="22">
        <f>IF(LEFT((_xll.BDP(A566,"DVD_DECLARED_DT")),4)="#N/A",NA(),(_xll.BDP(A566,"DVD_DECLARED_DT")))</f>
        <v/>
      </c>
      <c r="D566" s="22">
        <f>IF(LEFT((_xll.BDP(A566,"DVD_EX_DT")),4)="#N/A",NA(),(_xll.BDP(A566,"DVD_EX_DT")))</f>
        <v/>
      </c>
      <c r="E566" s="22">
        <f>IF(LEFT((_xll.BDP(A566,"DVD_SH_LAST")), 4) = "#N/A", NA(), (_xll.BDP(A566,"DVD_SH_LAST")))</f>
        <v/>
      </c>
      <c r="F566" s="22">
        <f>IF(LEFT((_xll.BDP(A566,"DVD_TYP_LAST")), 4) = "#N/A", NA(), (_xll.BDP(A566,"DVD_TYP_LAST")))</f>
        <v/>
      </c>
      <c r="G566" s="16">
        <f>IF(ISNUMBER(C566),IF(C566&gt;=Settings!$B$5,"Y","N"),"")</f>
        <v/>
      </c>
      <c r="H566" s="16">
        <f>IF(G566="Y",IF(ISNUMBER(SEARCH("Special",F566)),"SPECIAL DIVIDEND","NEW DIVIDEND"),IF(ISNUMBER(SEARCH("Special",F566)),"SPECIAL DIVIDEND",""))</f>
        <v/>
      </c>
    </row>
    <row r="567">
      <c r="A567" s="16">
        <f>'Rest Universe'!A568</f>
        <v/>
      </c>
      <c r="B567" s="22">
        <f>IFERROR(_xll.BDP(A567,"NAME"),"")</f>
        <v/>
      </c>
      <c r="C567" s="22">
        <f>IF(LEFT((_xll.BDP(A567,"DVD_DECLARED_DT")),4)="#N/A",NA(),(_xll.BDP(A567,"DVD_DECLARED_DT")))</f>
        <v/>
      </c>
      <c r="D567" s="22">
        <f>IF(LEFT((_xll.BDP(A567,"DVD_EX_DT")),4)="#N/A",NA(),(_xll.BDP(A567,"DVD_EX_DT")))</f>
        <v/>
      </c>
      <c r="E567" s="22">
        <f>IF(LEFT((_xll.BDP(A567,"DVD_SH_LAST")), 4) = "#N/A", NA(), (_xll.BDP(A567,"DVD_SH_LAST")))</f>
        <v/>
      </c>
      <c r="F567" s="22">
        <f>IF(LEFT((_xll.BDP(A567,"DVD_TYP_LAST")), 4) = "#N/A", NA(), (_xll.BDP(A567,"DVD_TYP_LAST")))</f>
        <v/>
      </c>
      <c r="G567" s="16">
        <f>IF(ISNUMBER(C567),IF(C567&gt;=Settings!$B$5,"Y","N"),"")</f>
        <v/>
      </c>
      <c r="H567" s="16">
        <f>IF(G567="Y",IF(ISNUMBER(SEARCH("Special",F567)),"SPECIAL DIVIDEND","NEW DIVIDEND"),IF(ISNUMBER(SEARCH("Special",F567)),"SPECIAL DIVIDEND",""))</f>
        <v/>
      </c>
    </row>
    <row r="568">
      <c r="A568" s="16">
        <f>'Rest Universe'!A569</f>
        <v/>
      </c>
      <c r="B568" s="22">
        <f>IFERROR(_xll.BDP(A568,"NAME"),"")</f>
        <v/>
      </c>
      <c r="C568" s="22">
        <f>IF(LEFT((_xll.BDP(A568,"DVD_DECLARED_DT")),4)="#N/A",NA(),(_xll.BDP(A568,"DVD_DECLARED_DT")))</f>
        <v/>
      </c>
      <c r="D568" s="22">
        <f>IF(LEFT((_xll.BDP(A568,"DVD_EX_DT")),4)="#N/A",NA(),(_xll.BDP(A568,"DVD_EX_DT")))</f>
        <v/>
      </c>
      <c r="E568" s="22">
        <f>IF(LEFT((_xll.BDP(A568,"DVD_SH_LAST")), 4) = "#N/A", NA(), (_xll.BDP(A568,"DVD_SH_LAST")))</f>
        <v/>
      </c>
      <c r="F568" s="22">
        <f>IF(LEFT((_xll.BDP(A568,"DVD_TYP_LAST")), 4) = "#N/A", NA(), (_xll.BDP(A568,"DVD_TYP_LAST")))</f>
        <v/>
      </c>
      <c r="G568" s="16">
        <f>IF(ISNUMBER(C568),IF(C568&gt;=Settings!$B$5,"Y","N"),"")</f>
        <v/>
      </c>
      <c r="H568" s="16">
        <f>IF(G568="Y",IF(ISNUMBER(SEARCH("Special",F568)),"SPECIAL DIVIDEND","NEW DIVIDEND"),IF(ISNUMBER(SEARCH("Special",F568)),"SPECIAL DIVIDEND",""))</f>
        <v/>
      </c>
    </row>
    <row r="569">
      <c r="A569" s="16">
        <f>'Rest Universe'!A570</f>
        <v/>
      </c>
      <c r="B569" s="22">
        <f>IFERROR(_xll.BDP(A569,"NAME"),"")</f>
        <v/>
      </c>
      <c r="C569" s="22">
        <f>IF(LEFT((_xll.BDP(A569,"DVD_DECLARED_DT")),4)="#N/A",NA(),(_xll.BDP(A569,"DVD_DECLARED_DT")))</f>
        <v/>
      </c>
      <c r="D569" s="22">
        <f>IF(LEFT((_xll.BDP(A569,"DVD_EX_DT")),4)="#N/A",NA(),(_xll.BDP(A569,"DVD_EX_DT")))</f>
        <v/>
      </c>
      <c r="E569" s="22">
        <f>IF(LEFT((_xll.BDP(A569,"DVD_SH_LAST")), 4) = "#N/A", NA(), (_xll.BDP(A569,"DVD_SH_LAST")))</f>
        <v/>
      </c>
      <c r="F569" s="22">
        <f>IF(LEFT((_xll.BDP(A569,"DVD_TYP_LAST")), 4) = "#N/A", NA(), (_xll.BDP(A569,"DVD_TYP_LAST")))</f>
        <v/>
      </c>
      <c r="G569" s="16">
        <f>IF(ISNUMBER(C569),IF(C569&gt;=Settings!$B$5,"Y","N"),"")</f>
        <v/>
      </c>
      <c r="H569" s="16">
        <f>IF(G569="Y",IF(ISNUMBER(SEARCH("Special",F569)),"SPECIAL DIVIDEND","NEW DIVIDEND"),IF(ISNUMBER(SEARCH("Special",F569)),"SPECIAL DIVIDEND",""))</f>
        <v/>
      </c>
    </row>
    <row r="570">
      <c r="A570" s="16">
        <f>'Rest Universe'!A571</f>
        <v/>
      </c>
      <c r="B570" s="22">
        <f>IFERROR(_xll.BDP(A570,"NAME"),"")</f>
        <v/>
      </c>
      <c r="C570" s="22">
        <f>IF(LEFT((_xll.BDP(A570,"DVD_DECLARED_DT")),4)="#N/A",NA(),(_xll.BDP(A570,"DVD_DECLARED_DT")))</f>
        <v/>
      </c>
      <c r="D570" s="22">
        <f>IF(LEFT((_xll.BDP(A570,"DVD_EX_DT")),4)="#N/A",NA(),(_xll.BDP(A570,"DVD_EX_DT")))</f>
        <v/>
      </c>
      <c r="E570" s="22">
        <f>IF(LEFT((_xll.BDP(A570,"DVD_SH_LAST")), 4) = "#N/A", NA(), (_xll.BDP(A570,"DVD_SH_LAST")))</f>
        <v/>
      </c>
      <c r="F570" s="22">
        <f>IF(LEFT((_xll.BDP(A570,"DVD_TYP_LAST")), 4) = "#N/A", NA(), (_xll.BDP(A570,"DVD_TYP_LAST")))</f>
        <v/>
      </c>
      <c r="G570" s="16">
        <f>IF(ISNUMBER(C570),IF(C570&gt;=Settings!$B$5,"Y","N"),"")</f>
        <v/>
      </c>
      <c r="H570" s="16">
        <f>IF(G570="Y",IF(ISNUMBER(SEARCH("Special",F570)),"SPECIAL DIVIDEND","NEW DIVIDEND"),IF(ISNUMBER(SEARCH("Special",F570)),"SPECIAL DIVIDEND",""))</f>
        <v/>
      </c>
    </row>
    <row r="571">
      <c r="A571" s="16">
        <f>'Rest Universe'!A572</f>
        <v/>
      </c>
      <c r="B571" s="22">
        <f>IFERROR(_xll.BDP(A571,"NAME"),"")</f>
        <v/>
      </c>
      <c r="C571" s="22">
        <f>IF(LEFT((_xll.BDP(A571,"DVD_DECLARED_DT")),4)="#N/A",NA(),(_xll.BDP(A571,"DVD_DECLARED_DT")))</f>
        <v/>
      </c>
      <c r="D571" s="22">
        <f>IF(LEFT((_xll.BDP(A571,"DVD_EX_DT")),4)="#N/A",NA(),(_xll.BDP(A571,"DVD_EX_DT")))</f>
        <v/>
      </c>
      <c r="E571" s="22">
        <f>IF(LEFT((_xll.BDP(A571,"DVD_SH_LAST")), 4) = "#N/A", NA(), (_xll.BDP(A571,"DVD_SH_LAST")))</f>
        <v/>
      </c>
      <c r="F571" s="22">
        <f>IF(LEFT((_xll.BDP(A571,"DVD_TYP_LAST")), 4) = "#N/A", NA(), (_xll.BDP(A571,"DVD_TYP_LAST")))</f>
        <v/>
      </c>
      <c r="G571" s="16">
        <f>IF(ISNUMBER(C571),IF(C571&gt;=Settings!$B$5,"Y","N"),"")</f>
        <v/>
      </c>
      <c r="H571" s="16">
        <f>IF(G571="Y",IF(ISNUMBER(SEARCH("Special",F571)),"SPECIAL DIVIDEND","NEW DIVIDEND"),IF(ISNUMBER(SEARCH("Special",F571)),"SPECIAL DIVIDEND",""))</f>
        <v/>
      </c>
    </row>
    <row r="572">
      <c r="A572" s="16">
        <f>'Rest Universe'!A573</f>
        <v/>
      </c>
      <c r="B572" s="22">
        <f>IFERROR(_xll.BDP(A572,"NAME"),"")</f>
        <v/>
      </c>
      <c r="C572" s="22">
        <f>IF(LEFT((_xll.BDP(A572,"DVD_DECLARED_DT")),4)="#N/A",NA(),(_xll.BDP(A572,"DVD_DECLARED_DT")))</f>
        <v/>
      </c>
      <c r="D572" s="22">
        <f>IF(LEFT((_xll.BDP(A572,"DVD_EX_DT")),4)="#N/A",NA(),(_xll.BDP(A572,"DVD_EX_DT")))</f>
        <v/>
      </c>
      <c r="E572" s="22">
        <f>IF(LEFT((_xll.BDP(A572,"DVD_SH_LAST")), 4) = "#N/A", NA(), (_xll.BDP(A572,"DVD_SH_LAST")))</f>
        <v/>
      </c>
      <c r="F572" s="22">
        <f>IF(LEFT((_xll.BDP(A572,"DVD_TYP_LAST")), 4) = "#N/A", NA(), (_xll.BDP(A572,"DVD_TYP_LAST")))</f>
        <v/>
      </c>
      <c r="G572" s="16">
        <f>IF(ISNUMBER(C572),IF(C572&gt;=Settings!$B$5,"Y","N"),"")</f>
        <v/>
      </c>
      <c r="H572" s="16">
        <f>IF(G572="Y",IF(ISNUMBER(SEARCH("Special",F572)),"SPECIAL DIVIDEND","NEW DIVIDEND"),IF(ISNUMBER(SEARCH("Special",F572)),"SPECIAL DIVIDEND",""))</f>
        <v/>
      </c>
    </row>
    <row r="573">
      <c r="A573" s="16">
        <f>'Rest Universe'!A574</f>
        <v/>
      </c>
      <c r="B573" s="22">
        <f>IFERROR(_xll.BDP(A573,"NAME"),"")</f>
        <v/>
      </c>
      <c r="C573" s="22">
        <f>IF(LEFT((_xll.BDP(A573,"DVD_DECLARED_DT")),4)="#N/A",NA(),(_xll.BDP(A573,"DVD_DECLARED_DT")))</f>
        <v/>
      </c>
      <c r="D573" s="22">
        <f>IF(LEFT((_xll.BDP(A573,"DVD_EX_DT")),4)="#N/A",NA(),(_xll.BDP(A573,"DVD_EX_DT")))</f>
        <v/>
      </c>
      <c r="E573" s="22">
        <f>IF(LEFT((_xll.BDP(A573,"DVD_SH_LAST")), 4) = "#N/A", NA(), (_xll.BDP(A573,"DVD_SH_LAST")))</f>
        <v/>
      </c>
      <c r="F573" s="22">
        <f>IF(LEFT((_xll.BDP(A573,"DVD_TYP_LAST")), 4) = "#N/A", NA(), (_xll.BDP(A573,"DVD_TYP_LAST")))</f>
        <v/>
      </c>
      <c r="G573" s="16">
        <f>IF(ISNUMBER(C573),IF(C573&gt;=Settings!$B$5,"Y","N"),"")</f>
        <v/>
      </c>
      <c r="H573" s="16">
        <f>IF(G573="Y",IF(ISNUMBER(SEARCH("Special",F573)),"SPECIAL DIVIDEND","NEW DIVIDEND"),IF(ISNUMBER(SEARCH("Special",F573)),"SPECIAL DIVIDEND",""))</f>
        <v/>
      </c>
    </row>
    <row r="574">
      <c r="A574" s="16">
        <f>'Rest Universe'!A575</f>
        <v/>
      </c>
      <c r="B574" s="22">
        <f>IFERROR(_xll.BDP(A574,"NAME"),"")</f>
        <v/>
      </c>
      <c r="C574" s="22">
        <f>IF(LEFT((_xll.BDP(A574,"DVD_DECLARED_DT")),4)="#N/A",NA(),(_xll.BDP(A574,"DVD_DECLARED_DT")))</f>
        <v/>
      </c>
      <c r="D574" s="22">
        <f>IF(LEFT((_xll.BDP(A574,"DVD_EX_DT")),4)="#N/A",NA(),(_xll.BDP(A574,"DVD_EX_DT")))</f>
        <v/>
      </c>
      <c r="E574" s="22">
        <f>IF(LEFT((_xll.BDP(A574,"DVD_SH_LAST")), 4) = "#N/A", NA(), (_xll.BDP(A574,"DVD_SH_LAST")))</f>
        <v/>
      </c>
      <c r="F574" s="22">
        <f>IF(LEFT((_xll.BDP(A574,"DVD_TYP_LAST")), 4) = "#N/A", NA(), (_xll.BDP(A574,"DVD_TYP_LAST")))</f>
        <v/>
      </c>
      <c r="G574" s="16">
        <f>IF(ISNUMBER(C574),IF(C574&gt;=Settings!$B$5,"Y","N"),"")</f>
        <v/>
      </c>
      <c r="H574" s="16">
        <f>IF(G574="Y",IF(ISNUMBER(SEARCH("Special",F574)),"SPECIAL DIVIDEND","NEW DIVIDEND"),IF(ISNUMBER(SEARCH("Special",F574)),"SPECIAL DIVIDEND",""))</f>
        <v/>
      </c>
    </row>
    <row r="575">
      <c r="A575" s="16">
        <f>'Rest Universe'!A576</f>
        <v/>
      </c>
      <c r="B575" s="22">
        <f>IFERROR(_xll.BDP(A575,"NAME"),"")</f>
        <v/>
      </c>
      <c r="C575" s="22">
        <f>IF(LEFT((_xll.BDP(A575,"DVD_DECLARED_DT")),4)="#N/A",NA(),(_xll.BDP(A575,"DVD_DECLARED_DT")))</f>
        <v/>
      </c>
      <c r="D575" s="22">
        <f>IF(LEFT((_xll.BDP(A575,"DVD_EX_DT")),4)="#N/A",NA(),(_xll.BDP(A575,"DVD_EX_DT")))</f>
        <v/>
      </c>
      <c r="E575" s="22">
        <f>IF(LEFT((_xll.BDP(A575,"DVD_SH_LAST")), 4) = "#N/A", NA(), (_xll.BDP(A575,"DVD_SH_LAST")))</f>
        <v/>
      </c>
      <c r="F575" s="22">
        <f>IF(LEFT((_xll.BDP(A575,"DVD_TYP_LAST")), 4) = "#N/A", NA(), (_xll.BDP(A575,"DVD_TYP_LAST")))</f>
        <v/>
      </c>
      <c r="G575" s="16">
        <f>IF(ISNUMBER(C575),IF(C575&gt;=Settings!$B$5,"Y","N"),"")</f>
        <v/>
      </c>
      <c r="H575" s="16">
        <f>IF(G575="Y",IF(ISNUMBER(SEARCH("Special",F575)),"SPECIAL DIVIDEND","NEW DIVIDEND"),IF(ISNUMBER(SEARCH("Special",F575)),"SPECIAL DIVIDEND",""))</f>
        <v/>
      </c>
    </row>
    <row r="576">
      <c r="A576" s="16">
        <f>'Rest Universe'!A577</f>
        <v/>
      </c>
      <c r="B576" s="22">
        <f>IFERROR(_xll.BDP(A576,"NAME"),"")</f>
        <v/>
      </c>
      <c r="C576" s="22">
        <f>IF(LEFT((_xll.BDP(A576,"DVD_DECLARED_DT")),4)="#N/A",NA(),(_xll.BDP(A576,"DVD_DECLARED_DT")))</f>
        <v/>
      </c>
      <c r="D576" s="22">
        <f>IF(LEFT((_xll.BDP(A576,"DVD_EX_DT")),4)="#N/A",NA(),(_xll.BDP(A576,"DVD_EX_DT")))</f>
        <v/>
      </c>
      <c r="E576" s="22">
        <f>IF(LEFT((_xll.BDP(A576,"DVD_SH_LAST")), 4) = "#N/A", NA(), (_xll.BDP(A576,"DVD_SH_LAST")))</f>
        <v/>
      </c>
      <c r="F576" s="22">
        <f>IF(LEFT((_xll.BDP(A576,"DVD_TYP_LAST")), 4) = "#N/A", NA(), (_xll.BDP(A576,"DVD_TYP_LAST")))</f>
        <v/>
      </c>
      <c r="G576" s="16">
        <f>IF(ISNUMBER(C576),IF(C576&gt;=Settings!$B$5,"Y","N"),"")</f>
        <v/>
      </c>
      <c r="H576" s="16">
        <f>IF(G576="Y",IF(ISNUMBER(SEARCH("Special",F576)),"SPECIAL DIVIDEND","NEW DIVIDEND"),IF(ISNUMBER(SEARCH("Special",F576)),"SPECIAL DIVIDEND",""))</f>
        <v/>
      </c>
    </row>
    <row r="577">
      <c r="A577" s="16">
        <f>'Rest Universe'!A578</f>
        <v/>
      </c>
      <c r="B577" s="22">
        <f>IFERROR(_xll.BDP(A577,"NAME"),"")</f>
        <v/>
      </c>
      <c r="C577" s="22">
        <f>IF(LEFT((_xll.BDP(A577,"DVD_DECLARED_DT")),4)="#N/A",NA(),(_xll.BDP(A577,"DVD_DECLARED_DT")))</f>
        <v/>
      </c>
      <c r="D577" s="22">
        <f>IF(LEFT((_xll.BDP(A577,"DVD_EX_DT")),4)="#N/A",NA(),(_xll.BDP(A577,"DVD_EX_DT")))</f>
        <v/>
      </c>
      <c r="E577" s="22">
        <f>IF(LEFT((_xll.BDP(A577,"DVD_SH_LAST")), 4) = "#N/A", NA(), (_xll.BDP(A577,"DVD_SH_LAST")))</f>
        <v/>
      </c>
      <c r="F577" s="22">
        <f>IF(LEFT((_xll.BDP(A577,"DVD_TYP_LAST")), 4) = "#N/A", NA(), (_xll.BDP(A577,"DVD_TYP_LAST")))</f>
        <v/>
      </c>
      <c r="G577" s="16">
        <f>IF(ISNUMBER(C577),IF(C577&gt;=Settings!$B$5,"Y","N"),"")</f>
        <v/>
      </c>
      <c r="H577" s="16">
        <f>IF(G577="Y",IF(ISNUMBER(SEARCH("Special",F577)),"SPECIAL DIVIDEND","NEW DIVIDEND"),IF(ISNUMBER(SEARCH("Special",F577)),"SPECIAL DIVIDEND",""))</f>
        <v/>
      </c>
    </row>
    <row r="578">
      <c r="A578" s="16">
        <f>'Rest Universe'!A579</f>
        <v/>
      </c>
      <c r="B578" s="22">
        <f>IFERROR(_xll.BDP(A578,"NAME"),"")</f>
        <v/>
      </c>
      <c r="C578" s="22">
        <f>IF(LEFT((_xll.BDP(A578,"DVD_DECLARED_DT")),4)="#N/A",NA(),(_xll.BDP(A578,"DVD_DECLARED_DT")))</f>
        <v/>
      </c>
      <c r="D578" s="22">
        <f>IF(LEFT((_xll.BDP(A578,"DVD_EX_DT")),4)="#N/A",NA(),(_xll.BDP(A578,"DVD_EX_DT")))</f>
        <v/>
      </c>
      <c r="E578" s="22">
        <f>IF(LEFT((_xll.BDP(A578,"DVD_SH_LAST")), 4) = "#N/A", NA(), (_xll.BDP(A578,"DVD_SH_LAST")))</f>
        <v/>
      </c>
      <c r="F578" s="22">
        <f>IF(LEFT((_xll.BDP(A578,"DVD_TYP_LAST")), 4) = "#N/A", NA(), (_xll.BDP(A578,"DVD_TYP_LAST")))</f>
        <v/>
      </c>
      <c r="G578" s="16">
        <f>IF(ISNUMBER(C578),IF(C578&gt;=Settings!$B$5,"Y","N"),"")</f>
        <v/>
      </c>
      <c r="H578" s="16">
        <f>IF(G578="Y",IF(ISNUMBER(SEARCH("Special",F578)),"SPECIAL DIVIDEND","NEW DIVIDEND"),IF(ISNUMBER(SEARCH("Special",F578)),"SPECIAL DIVIDEND",""))</f>
        <v/>
      </c>
    </row>
    <row r="579">
      <c r="A579" s="16">
        <f>'Rest Universe'!A580</f>
        <v/>
      </c>
      <c r="B579" s="22">
        <f>IFERROR(_xll.BDP(A579,"NAME"),"")</f>
        <v/>
      </c>
      <c r="C579" s="22">
        <f>IF(LEFT((_xll.BDP(A579,"DVD_DECLARED_DT")),4)="#N/A",NA(),(_xll.BDP(A579,"DVD_DECLARED_DT")))</f>
        <v/>
      </c>
      <c r="D579" s="22">
        <f>IF(LEFT((_xll.BDP(A579,"DVD_EX_DT")),4)="#N/A",NA(),(_xll.BDP(A579,"DVD_EX_DT")))</f>
        <v/>
      </c>
      <c r="E579" s="22">
        <f>IF(LEFT((_xll.BDP(A579,"DVD_SH_LAST")), 4) = "#N/A", NA(), (_xll.BDP(A579,"DVD_SH_LAST")))</f>
        <v/>
      </c>
      <c r="F579" s="22">
        <f>IF(LEFT((_xll.BDP(A579,"DVD_TYP_LAST")), 4) = "#N/A", NA(), (_xll.BDP(A579,"DVD_TYP_LAST")))</f>
        <v/>
      </c>
      <c r="G579" s="16">
        <f>IF(ISNUMBER(C579),IF(C579&gt;=Settings!$B$5,"Y","N"),"")</f>
        <v/>
      </c>
      <c r="H579" s="16">
        <f>IF(G579="Y",IF(ISNUMBER(SEARCH("Special",F579)),"SPECIAL DIVIDEND","NEW DIVIDEND"),IF(ISNUMBER(SEARCH("Special",F579)),"SPECIAL DIVIDEND",""))</f>
        <v/>
      </c>
    </row>
    <row r="580">
      <c r="A580" s="16">
        <f>'Rest Universe'!A581</f>
        <v/>
      </c>
      <c r="B580" s="22">
        <f>IFERROR(_xll.BDP(A580,"NAME"),"")</f>
        <v/>
      </c>
      <c r="C580" s="22">
        <f>IF(LEFT((_xll.BDP(A580,"DVD_DECLARED_DT")),4)="#N/A",NA(),(_xll.BDP(A580,"DVD_DECLARED_DT")))</f>
        <v/>
      </c>
      <c r="D580" s="22">
        <f>IF(LEFT((_xll.BDP(A580,"DVD_EX_DT")),4)="#N/A",NA(),(_xll.BDP(A580,"DVD_EX_DT")))</f>
        <v/>
      </c>
      <c r="E580" s="22">
        <f>IF(LEFT((_xll.BDP(A580,"DVD_SH_LAST")), 4) = "#N/A", NA(), (_xll.BDP(A580,"DVD_SH_LAST")))</f>
        <v/>
      </c>
      <c r="F580" s="22">
        <f>IF(LEFT((_xll.BDP(A580,"DVD_TYP_LAST")), 4) = "#N/A", NA(), (_xll.BDP(A580,"DVD_TYP_LAST")))</f>
        <v/>
      </c>
      <c r="G580" s="16">
        <f>IF(ISNUMBER(C580),IF(C580&gt;=Settings!$B$5,"Y","N"),"")</f>
        <v/>
      </c>
      <c r="H580" s="16">
        <f>IF(G580="Y",IF(ISNUMBER(SEARCH("Special",F580)),"SPECIAL DIVIDEND","NEW DIVIDEND"),IF(ISNUMBER(SEARCH("Special",F580)),"SPECIAL DIVIDEND",""))</f>
        <v/>
      </c>
    </row>
    <row r="581">
      <c r="A581" s="16">
        <f>'Rest Universe'!A582</f>
        <v/>
      </c>
      <c r="B581" s="22">
        <f>IFERROR(_xll.BDP(A581,"NAME"),"")</f>
        <v/>
      </c>
      <c r="C581" s="22">
        <f>IF(LEFT((_xll.BDP(A581,"DVD_DECLARED_DT")),4)="#N/A",NA(),(_xll.BDP(A581,"DVD_DECLARED_DT")))</f>
        <v/>
      </c>
      <c r="D581" s="22">
        <f>IF(LEFT((_xll.BDP(A581,"DVD_EX_DT")),4)="#N/A",NA(),(_xll.BDP(A581,"DVD_EX_DT")))</f>
        <v/>
      </c>
      <c r="E581" s="22">
        <f>IF(LEFT((_xll.BDP(A581,"DVD_SH_LAST")), 4) = "#N/A", NA(), (_xll.BDP(A581,"DVD_SH_LAST")))</f>
        <v/>
      </c>
      <c r="F581" s="22">
        <f>IF(LEFT((_xll.BDP(A581,"DVD_TYP_LAST")), 4) = "#N/A", NA(), (_xll.BDP(A581,"DVD_TYP_LAST")))</f>
        <v/>
      </c>
      <c r="G581" s="16">
        <f>IF(ISNUMBER(C581),IF(C581&gt;=Settings!$B$5,"Y","N"),"")</f>
        <v/>
      </c>
      <c r="H581" s="16">
        <f>IF(G581="Y",IF(ISNUMBER(SEARCH("Special",F581)),"SPECIAL DIVIDEND","NEW DIVIDEND"),IF(ISNUMBER(SEARCH("Special",F581)),"SPECIAL DIVIDEND",""))</f>
        <v/>
      </c>
    </row>
    <row r="582">
      <c r="A582" s="16">
        <f>'Rest Universe'!A583</f>
        <v/>
      </c>
      <c r="B582" s="22">
        <f>IFERROR(_xll.BDP(A582,"NAME"),"")</f>
        <v/>
      </c>
      <c r="C582" s="22">
        <f>IF(LEFT((_xll.BDP(A582,"DVD_DECLARED_DT")),4)="#N/A",NA(),(_xll.BDP(A582,"DVD_DECLARED_DT")))</f>
        <v/>
      </c>
      <c r="D582" s="22">
        <f>IF(LEFT((_xll.BDP(A582,"DVD_EX_DT")),4)="#N/A",NA(),(_xll.BDP(A582,"DVD_EX_DT")))</f>
        <v/>
      </c>
      <c r="E582" s="22">
        <f>IF(LEFT((_xll.BDP(A582,"DVD_SH_LAST")), 4) = "#N/A", NA(), (_xll.BDP(A582,"DVD_SH_LAST")))</f>
        <v/>
      </c>
      <c r="F582" s="22">
        <f>IF(LEFT((_xll.BDP(A582,"DVD_TYP_LAST")), 4) = "#N/A", NA(), (_xll.BDP(A582,"DVD_TYP_LAST")))</f>
        <v/>
      </c>
      <c r="G582" s="16">
        <f>IF(ISNUMBER(C582),IF(C582&gt;=Settings!$B$5,"Y","N"),"")</f>
        <v/>
      </c>
      <c r="H582" s="16">
        <f>IF(G582="Y",IF(ISNUMBER(SEARCH("Special",F582)),"SPECIAL DIVIDEND","NEW DIVIDEND"),IF(ISNUMBER(SEARCH("Special",F582)),"SPECIAL DIVIDEND",""))</f>
        <v/>
      </c>
    </row>
    <row r="583">
      <c r="A583" s="16">
        <f>'Rest Universe'!A584</f>
        <v/>
      </c>
      <c r="B583" s="22">
        <f>IFERROR(_xll.BDP(A583,"NAME"),"")</f>
        <v/>
      </c>
      <c r="C583" s="22">
        <f>IF(LEFT((_xll.BDP(A583,"DVD_DECLARED_DT")),4)="#N/A",NA(),(_xll.BDP(A583,"DVD_DECLARED_DT")))</f>
        <v/>
      </c>
      <c r="D583" s="22">
        <f>IF(LEFT((_xll.BDP(A583,"DVD_EX_DT")),4)="#N/A",NA(),(_xll.BDP(A583,"DVD_EX_DT")))</f>
        <v/>
      </c>
      <c r="E583" s="22">
        <f>IF(LEFT((_xll.BDP(A583,"DVD_SH_LAST")), 4) = "#N/A", NA(), (_xll.BDP(A583,"DVD_SH_LAST")))</f>
        <v/>
      </c>
      <c r="F583" s="22">
        <f>IF(LEFT((_xll.BDP(A583,"DVD_TYP_LAST")), 4) = "#N/A", NA(), (_xll.BDP(A583,"DVD_TYP_LAST")))</f>
        <v/>
      </c>
      <c r="G583" s="16">
        <f>IF(ISNUMBER(C583),IF(C583&gt;=Settings!$B$5,"Y","N"),"")</f>
        <v/>
      </c>
      <c r="H583" s="16">
        <f>IF(G583="Y",IF(ISNUMBER(SEARCH("Special",F583)),"SPECIAL DIVIDEND","NEW DIVIDEND"),IF(ISNUMBER(SEARCH("Special",F583)),"SPECIAL DIVIDEND",""))</f>
        <v/>
      </c>
    </row>
    <row r="584">
      <c r="A584" s="16">
        <f>'Rest Universe'!A585</f>
        <v/>
      </c>
      <c r="B584" s="22">
        <f>IFERROR(_xll.BDP(A584,"NAME"),"")</f>
        <v/>
      </c>
      <c r="C584" s="22">
        <f>IF(LEFT((_xll.BDP(A584,"DVD_DECLARED_DT")),4)="#N/A",NA(),(_xll.BDP(A584,"DVD_DECLARED_DT")))</f>
        <v/>
      </c>
      <c r="D584" s="22">
        <f>IF(LEFT((_xll.BDP(A584,"DVD_EX_DT")),4)="#N/A",NA(),(_xll.BDP(A584,"DVD_EX_DT")))</f>
        <v/>
      </c>
      <c r="E584" s="22">
        <f>IF(LEFT((_xll.BDP(A584,"DVD_SH_LAST")), 4) = "#N/A", NA(), (_xll.BDP(A584,"DVD_SH_LAST")))</f>
        <v/>
      </c>
      <c r="F584" s="22">
        <f>IF(LEFT((_xll.BDP(A584,"DVD_TYP_LAST")), 4) = "#N/A", NA(), (_xll.BDP(A584,"DVD_TYP_LAST")))</f>
        <v/>
      </c>
      <c r="G584" s="16">
        <f>IF(ISNUMBER(C584),IF(C584&gt;=Settings!$B$5,"Y","N"),"")</f>
        <v/>
      </c>
      <c r="H584" s="16">
        <f>IF(G584="Y",IF(ISNUMBER(SEARCH("Special",F584)),"SPECIAL DIVIDEND","NEW DIVIDEND"),IF(ISNUMBER(SEARCH("Special",F584)),"SPECIAL DIVIDEND",""))</f>
        <v/>
      </c>
    </row>
    <row r="585">
      <c r="A585" s="16">
        <f>'Rest Universe'!A586</f>
        <v/>
      </c>
      <c r="B585" s="22">
        <f>IFERROR(_xll.BDP(A585,"NAME"),"")</f>
        <v/>
      </c>
      <c r="C585" s="22">
        <f>IF(LEFT((_xll.BDP(A585,"DVD_DECLARED_DT")),4)="#N/A",NA(),(_xll.BDP(A585,"DVD_DECLARED_DT")))</f>
        <v/>
      </c>
      <c r="D585" s="22">
        <f>IF(LEFT((_xll.BDP(A585,"DVD_EX_DT")),4)="#N/A",NA(),(_xll.BDP(A585,"DVD_EX_DT")))</f>
        <v/>
      </c>
      <c r="E585" s="22">
        <f>IF(LEFT((_xll.BDP(A585,"DVD_SH_LAST")), 4) = "#N/A", NA(), (_xll.BDP(A585,"DVD_SH_LAST")))</f>
        <v/>
      </c>
      <c r="F585" s="22">
        <f>IF(LEFT((_xll.BDP(A585,"DVD_TYP_LAST")), 4) = "#N/A", NA(), (_xll.BDP(A585,"DVD_TYP_LAST")))</f>
        <v/>
      </c>
      <c r="G585" s="16">
        <f>IF(ISNUMBER(C585),IF(C585&gt;=Settings!$B$5,"Y","N"),"")</f>
        <v/>
      </c>
      <c r="H585" s="16">
        <f>IF(G585="Y",IF(ISNUMBER(SEARCH("Special",F585)),"SPECIAL DIVIDEND","NEW DIVIDEND"),IF(ISNUMBER(SEARCH("Special",F585)),"SPECIAL DIVIDEND",""))</f>
        <v/>
      </c>
    </row>
    <row r="586">
      <c r="A586" s="16">
        <f>'Rest Universe'!A587</f>
        <v/>
      </c>
      <c r="B586" s="22">
        <f>IFERROR(_xll.BDP(A586,"NAME"),"")</f>
        <v/>
      </c>
      <c r="C586" s="22">
        <f>IF(LEFT((_xll.BDP(A586,"DVD_DECLARED_DT")),4)="#N/A",NA(),(_xll.BDP(A586,"DVD_DECLARED_DT")))</f>
        <v/>
      </c>
      <c r="D586" s="22">
        <f>IF(LEFT((_xll.BDP(A586,"DVD_EX_DT")),4)="#N/A",NA(),(_xll.BDP(A586,"DVD_EX_DT")))</f>
        <v/>
      </c>
      <c r="E586" s="22">
        <f>IF(LEFT((_xll.BDP(A586,"DVD_SH_LAST")), 4) = "#N/A", NA(), (_xll.BDP(A586,"DVD_SH_LAST")))</f>
        <v/>
      </c>
      <c r="F586" s="22">
        <f>IF(LEFT((_xll.BDP(A586,"DVD_TYP_LAST")), 4) = "#N/A", NA(), (_xll.BDP(A586,"DVD_TYP_LAST")))</f>
        <v/>
      </c>
      <c r="G586" s="16">
        <f>IF(ISNUMBER(C586),IF(C586&gt;=Settings!$B$5,"Y","N"),"")</f>
        <v/>
      </c>
      <c r="H586" s="16">
        <f>IF(G586="Y",IF(ISNUMBER(SEARCH("Special",F586)),"SPECIAL DIVIDEND","NEW DIVIDEND"),IF(ISNUMBER(SEARCH("Special",F586)),"SPECIAL DIVIDEND",""))</f>
        <v/>
      </c>
    </row>
    <row r="587">
      <c r="A587" s="16">
        <f>'Rest Universe'!A588</f>
        <v/>
      </c>
      <c r="B587" s="22">
        <f>IFERROR(_xll.BDP(A587,"NAME"),"")</f>
        <v/>
      </c>
      <c r="C587" s="22">
        <f>IF(LEFT((_xll.BDP(A587,"DVD_DECLARED_DT")),4)="#N/A",NA(),(_xll.BDP(A587,"DVD_DECLARED_DT")))</f>
        <v/>
      </c>
      <c r="D587" s="22">
        <f>IF(LEFT((_xll.BDP(A587,"DVD_EX_DT")),4)="#N/A",NA(),(_xll.BDP(A587,"DVD_EX_DT")))</f>
        <v/>
      </c>
      <c r="E587" s="22">
        <f>IF(LEFT((_xll.BDP(A587,"DVD_SH_LAST")), 4) = "#N/A", NA(), (_xll.BDP(A587,"DVD_SH_LAST")))</f>
        <v/>
      </c>
      <c r="F587" s="22">
        <f>IF(LEFT((_xll.BDP(A587,"DVD_TYP_LAST")), 4) = "#N/A", NA(), (_xll.BDP(A587,"DVD_TYP_LAST")))</f>
        <v/>
      </c>
      <c r="G587" s="16">
        <f>IF(ISNUMBER(C587),IF(C587&gt;=Settings!$B$5,"Y","N"),"")</f>
        <v/>
      </c>
      <c r="H587" s="16">
        <f>IF(G587="Y",IF(ISNUMBER(SEARCH("Special",F587)),"SPECIAL DIVIDEND","NEW DIVIDEND"),IF(ISNUMBER(SEARCH("Special",F587)),"SPECIAL DIVIDEND",""))</f>
        <v/>
      </c>
    </row>
    <row r="588">
      <c r="A588" s="16">
        <f>'Rest Universe'!A589</f>
        <v/>
      </c>
      <c r="B588" s="22">
        <f>IFERROR(_xll.BDP(A588,"NAME"),"")</f>
        <v/>
      </c>
      <c r="C588" s="22">
        <f>IF(LEFT((_xll.BDP(A588,"DVD_DECLARED_DT")),4)="#N/A",NA(),(_xll.BDP(A588,"DVD_DECLARED_DT")))</f>
        <v/>
      </c>
      <c r="D588" s="22">
        <f>IF(LEFT((_xll.BDP(A588,"DVD_EX_DT")),4)="#N/A",NA(),(_xll.BDP(A588,"DVD_EX_DT")))</f>
        <v/>
      </c>
      <c r="E588" s="22">
        <f>IF(LEFT((_xll.BDP(A588,"DVD_SH_LAST")), 4) = "#N/A", NA(), (_xll.BDP(A588,"DVD_SH_LAST")))</f>
        <v/>
      </c>
      <c r="F588" s="22">
        <f>IF(LEFT((_xll.BDP(A588,"DVD_TYP_LAST")), 4) = "#N/A", NA(), (_xll.BDP(A588,"DVD_TYP_LAST")))</f>
        <v/>
      </c>
      <c r="G588" s="16">
        <f>IF(ISNUMBER(C588),IF(C588&gt;=Settings!$B$5,"Y","N"),"")</f>
        <v/>
      </c>
      <c r="H588" s="16">
        <f>IF(G588="Y",IF(ISNUMBER(SEARCH("Special",F588)),"SPECIAL DIVIDEND","NEW DIVIDEND"),IF(ISNUMBER(SEARCH("Special",F588)),"SPECIAL DIVIDEND",""))</f>
        <v/>
      </c>
    </row>
    <row r="589">
      <c r="A589" s="16">
        <f>'Rest Universe'!A590</f>
        <v/>
      </c>
      <c r="B589" s="22">
        <f>IFERROR(_xll.BDP(A589,"NAME"),"")</f>
        <v/>
      </c>
      <c r="C589" s="22">
        <f>IF(LEFT((_xll.BDP(A589,"DVD_DECLARED_DT")),4)="#N/A",NA(),(_xll.BDP(A589,"DVD_DECLARED_DT")))</f>
        <v/>
      </c>
      <c r="D589" s="22">
        <f>IF(LEFT((_xll.BDP(A589,"DVD_EX_DT")),4)="#N/A",NA(),(_xll.BDP(A589,"DVD_EX_DT")))</f>
        <v/>
      </c>
      <c r="E589" s="22">
        <f>IF(LEFT((_xll.BDP(A589,"DVD_SH_LAST")), 4) = "#N/A", NA(), (_xll.BDP(A589,"DVD_SH_LAST")))</f>
        <v/>
      </c>
      <c r="F589" s="22">
        <f>IF(LEFT((_xll.BDP(A589,"DVD_TYP_LAST")), 4) = "#N/A", NA(), (_xll.BDP(A589,"DVD_TYP_LAST")))</f>
        <v/>
      </c>
      <c r="G589" s="16">
        <f>IF(ISNUMBER(C589),IF(C589&gt;=Settings!$B$5,"Y","N"),"")</f>
        <v/>
      </c>
      <c r="H589" s="16">
        <f>IF(G589="Y",IF(ISNUMBER(SEARCH("Special",F589)),"SPECIAL DIVIDEND","NEW DIVIDEND"),IF(ISNUMBER(SEARCH("Special",F589)),"SPECIAL DIVIDEND",""))</f>
        <v/>
      </c>
    </row>
    <row r="590">
      <c r="A590" s="16">
        <f>'Rest Universe'!A591</f>
        <v/>
      </c>
      <c r="B590" s="22">
        <f>IFERROR(_xll.BDP(A590,"NAME"),"")</f>
        <v/>
      </c>
      <c r="C590" s="22">
        <f>IF(LEFT((_xll.BDP(A590,"DVD_DECLARED_DT")),4)="#N/A",NA(),(_xll.BDP(A590,"DVD_DECLARED_DT")))</f>
        <v/>
      </c>
      <c r="D590" s="22">
        <f>IF(LEFT((_xll.BDP(A590,"DVD_EX_DT")),4)="#N/A",NA(),(_xll.BDP(A590,"DVD_EX_DT")))</f>
        <v/>
      </c>
      <c r="E590" s="22">
        <f>IF(LEFT((_xll.BDP(A590,"DVD_SH_LAST")), 4) = "#N/A", NA(), (_xll.BDP(A590,"DVD_SH_LAST")))</f>
        <v/>
      </c>
      <c r="F590" s="22">
        <f>IF(LEFT((_xll.BDP(A590,"DVD_TYP_LAST")), 4) = "#N/A", NA(), (_xll.BDP(A590,"DVD_TYP_LAST")))</f>
        <v/>
      </c>
      <c r="G590" s="16">
        <f>IF(ISNUMBER(C590),IF(C590&gt;=Settings!$B$5,"Y","N"),"")</f>
        <v/>
      </c>
      <c r="H590" s="16">
        <f>IF(G590="Y",IF(ISNUMBER(SEARCH("Special",F590)),"SPECIAL DIVIDEND","NEW DIVIDEND"),IF(ISNUMBER(SEARCH("Special",F590)),"SPECIAL DIVIDEND",""))</f>
        <v/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16" customWidth="1" min="4" max="4"/>
    <col width="16" customWidth="1" min="5" max="5"/>
    <col width="12" customWidth="1" min="6" max="6"/>
    <col width="10" customWidth="1" min="7" max="7"/>
    <col width="14" customWidth="1" min="8" max="8"/>
    <col width="16" customWidth="1" min="9" max="9"/>
    <col width="22" customWidth="1" min="10" max="10"/>
  </cols>
  <sheetData>
    <row r="1" ht="22" customHeight="1">
      <c r="A1" s="13" t="inlineStr">
        <is>
          <t>Equity Offerings / Splits / Rights Tracker — SGX Ex-STI30</t>
        </is>
      </c>
    </row>
    <row r="2">
      <c r="A2" s="15" t="inlineStr">
        <is>
          <t>Note: columns D–H populate from the live BDS array in column C once opened in Bloomberg Excel and recalculated.</t>
        </is>
      </c>
    </row>
    <row r="3">
      <c r="A3" s="14" t="inlineStr">
        <is>
          <t>Ticker</t>
        </is>
      </c>
      <c r="B3" s="14" t="inlineStr">
        <is>
          <t>Name</t>
        </is>
      </c>
      <c r="C3" s="14" t="inlineStr">
        <is>
          <t>Action ID / Details (Bloomberg BDS spill → C:H)</t>
        </is>
      </c>
      <c r="D3" s="14" t="inlineStr">
        <is>
          <t>Type of Offering</t>
        </is>
      </c>
      <c r="E3" s="14" t="inlineStr">
        <is>
          <t>Announcement Date</t>
        </is>
      </c>
      <c r="F3" s="14" t="inlineStr">
        <is>
          <t>Status</t>
        </is>
      </c>
      <c r="G3" s="14" t="inlineStr">
        <is>
          <t>Currency</t>
        </is>
      </c>
      <c r="H3" s="14" t="inlineStr">
        <is>
          <t>Size</t>
        </is>
      </c>
      <c r="I3" s="14" t="inlineStr">
        <is>
          <t>In Lookback Window?</t>
        </is>
      </c>
      <c r="J3" s="14" t="inlineStr">
        <is>
          <t>Flag</t>
        </is>
      </c>
    </row>
    <row r="4">
      <c r="A4" s="16">
        <f>'Rest Universe'!A5</f>
        <v/>
      </c>
      <c r="B4" s="22">
        <f>IFERROR(_xll.BDP(A4,"NAME"),"")</f>
        <v/>
      </c>
      <c r="C4" s="22">
        <f t="array" ref="C4">_xll.BDS(A4, "EQUITY_OFFERINGS", "sortdesc=3", "endrow=1")</f>
        <v/>
      </c>
      <c r="D4" s="16" t="n"/>
      <c r="E4" s="16" t="n"/>
      <c r="F4" s="16" t="n"/>
      <c r="G4" s="16" t="n"/>
      <c r="H4" s="16" t="n"/>
      <c r="I4" s="16">
        <f>IF(ISNUMBER(E4),IF(E4&gt;=Settings!$B$5,"Y","N"),"")</f>
        <v/>
      </c>
      <c r="J4" s="16">
        <f>IF(I4="Y","RECENT OFFERING/SPLIT/RIGHTS","")</f>
        <v/>
      </c>
    </row>
    <row r="5">
      <c r="A5" s="16">
        <f>'Rest Universe'!A6</f>
        <v/>
      </c>
      <c r="B5" s="22">
        <f>IFERROR(_xll.BDP(A5,"NAME"),"")</f>
        <v/>
      </c>
      <c r="C5" s="22">
        <f t="array" ref="C5">_xll.BDS(A5, "EQUITY_OFFERINGS", "sortdesc=3", "endrow=1")</f>
        <v/>
      </c>
      <c r="D5" s="16" t="n"/>
      <c r="E5" s="16" t="n"/>
      <c r="F5" s="16" t="n"/>
      <c r="G5" s="16" t="n"/>
      <c r="H5" s="16" t="n"/>
      <c r="I5" s="16">
        <f>IF(ISNUMBER(E5),IF(E5&gt;=Settings!$B$5,"Y","N"),"")</f>
        <v/>
      </c>
      <c r="J5" s="16">
        <f>IF(I5="Y","RECENT OFFERING/SPLIT/RIGHTS","")</f>
        <v/>
      </c>
    </row>
    <row r="6">
      <c r="A6" s="16">
        <f>'Rest Universe'!A7</f>
        <v/>
      </c>
      <c r="B6" s="22">
        <f>IFERROR(_xll.BDP(A6,"NAME"),"")</f>
        <v/>
      </c>
      <c r="C6" s="22">
        <f t="array" ref="C6">_xll.BDS(A6, "EQUITY_OFFERINGS", "sortdesc=3", "endrow=1")</f>
        <v/>
      </c>
      <c r="D6" s="16" t="n"/>
      <c r="E6" s="16" t="n"/>
      <c r="F6" s="16" t="n"/>
      <c r="G6" s="16" t="n"/>
      <c r="H6" s="16" t="n"/>
      <c r="I6" s="16">
        <f>IF(ISNUMBER(E6),IF(E6&gt;=Settings!$B$5,"Y","N"),"")</f>
        <v/>
      </c>
      <c r="J6" s="16">
        <f>IF(I6="Y","RECENT OFFERING/SPLIT/RIGHTS","")</f>
        <v/>
      </c>
    </row>
    <row r="7">
      <c r="A7" s="16">
        <f>'Rest Universe'!A8</f>
        <v/>
      </c>
      <c r="B7" s="22">
        <f>IFERROR(_xll.BDP(A7,"NAME"),"")</f>
        <v/>
      </c>
      <c r="C7" s="22">
        <f t="array" ref="C7">_xll.BDS(A7, "EQUITY_OFFERINGS", "sortdesc=3", "endrow=1")</f>
        <v/>
      </c>
      <c r="D7" s="16" t="n"/>
      <c r="E7" s="16" t="n"/>
      <c r="F7" s="16" t="n"/>
      <c r="G7" s="16" t="n"/>
      <c r="H7" s="16" t="n"/>
      <c r="I7" s="16">
        <f>IF(ISNUMBER(E7),IF(E7&gt;=Settings!$B$5,"Y","N"),"")</f>
        <v/>
      </c>
      <c r="J7" s="16">
        <f>IF(I7="Y","RECENT OFFERING/SPLIT/RIGHTS","")</f>
        <v/>
      </c>
    </row>
    <row r="8">
      <c r="A8" s="16">
        <f>'Rest Universe'!A9</f>
        <v/>
      </c>
      <c r="B8" s="22">
        <f>IFERROR(_xll.BDP(A8,"NAME"),"")</f>
        <v/>
      </c>
      <c r="C8" s="22">
        <f t="array" ref="C8">_xll.BDS(A8, "EQUITY_OFFERINGS", "sortdesc=3", "endrow=1")</f>
        <v/>
      </c>
      <c r="D8" s="16" t="n"/>
      <c r="E8" s="16" t="n"/>
      <c r="F8" s="16" t="n"/>
      <c r="G8" s="16" t="n"/>
      <c r="H8" s="16" t="n"/>
      <c r="I8" s="16">
        <f>IF(ISNUMBER(E8),IF(E8&gt;=Settings!$B$5,"Y","N"),"")</f>
        <v/>
      </c>
      <c r="J8" s="16">
        <f>IF(I8="Y","RECENT OFFERING/SPLIT/RIGHTS","")</f>
        <v/>
      </c>
    </row>
    <row r="9">
      <c r="A9" s="16">
        <f>'Rest Universe'!A10</f>
        <v/>
      </c>
      <c r="B9" s="22">
        <f>IFERROR(_xll.BDP(A9,"NAME"),"")</f>
        <v/>
      </c>
      <c r="C9" s="22">
        <f t="array" ref="C9">_xll.BDS(A9, "EQUITY_OFFERINGS", "sortdesc=3", "endrow=1")</f>
        <v/>
      </c>
      <c r="D9" s="16" t="n"/>
      <c r="E9" s="16" t="n"/>
      <c r="F9" s="16" t="n"/>
      <c r="G9" s="16" t="n"/>
      <c r="H9" s="16" t="n"/>
      <c r="I9" s="16">
        <f>IF(ISNUMBER(E9),IF(E9&gt;=Settings!$B$5,"Y","N"),"")</f>
        <v/>
      </c>
      <c r="J9" s="16">
        <f>IF(I9="Y","RECENT OFFERING/SPLIT/RIGHTS","")</f>
        <v/>
      </c>
    </row>
    <row r="10">
      <c r="A10" s="16">
        <f>'Rest Universe'!A11</f>
        <v/>
      </c>
      <c r="B10" s="22">
        <f>IFERROR(_xll.BDP(A10,"NAME"),"")</f>
        <v/>
      </c>
      <c r="C10" s="22">
        <f t="array" ref="C10">_xll.BDS(A10, "EQUITY_OFFERINGS", "sortdesc=3", "endrow=1")</f>
        <v/>
      </c>
      <c r="D10" s="16" t="n"/>
      <c r="E10" s="16" t="n"/>
      <c r="F10" s="16" t="n"/>
      <c r="G10" s="16" t="n"/>
      <c r="H10" s="16" t="n"/>
      <c r="I10" s="16">
        <f>IF(ISNUMBER(E10),IF(E10&gt;=Settings!$B$5,"Y","N"),"")</f>
        <v/>
      </c>
      <c r="J10" s="16">
        <f>IF(I10="Y","RECENT OFFERING/SPLIT/RIGHTS","")</f>
        <v/>
      </c>
    </row>
    <row r="11">
      <c r="A11" s="16">
        <f>'Rest Universe'!A12</f>
        <v/>
      </c>
      <c r="B11" s="22">
        <f>IFERROR(_xll.BDP(A11,"NAME"),"")</f>
        <v/>
      </c>
      <c r="C11" s="22">
        <f t="array" ref="C11">_xll.BDS(A11, "EQUITY_OFFERINGS", "sortdesc=3", "endrow=1")</f>
        <v/>
      </c>
      <c r="D11" s="16" t="n"/>
      <c r="E11" s="16" t="n"/>
      <c r="F11" s="16" t="n"/>
      <c r="G11" s="16" t="n"/>
      <c r="H11" s="16" t="n"/>
      <c r="I11" s="16">
        <f>IF(ISNUMBER(E11),IF(E11&gt;=Settings!$B$5,"Y","N"),"")</f>
        <v/>
      </c>
      <c r="J11" s="16">
        <f>IF(I11="Y","RECENT OFFERING/SPLIT/RIGHTS","")</f>
        <v/>
      </c>
    </row>
    <row r="12">
      <c r="A12" s="16">
        <f>'Rest Universe'!A13</f>
        <v/>
      </c>
      <c r="B12" s="22">
        <f>IFERROR(_xll.BDP(A12,"NAME"),"")</f>
        <v/>
      </c>
      <c r="C12" s="22">
        <f t="array" ref="C12">_xll.BDS(A12, "EQUITY_OFFERINGS", "sortdesc=3", "endrow=1")</f>
        <v/>
      </c>
      <c r="D12" s="16" t="n"/>
      <c r="E12" s="16" t="n"/>
      <c r="F12" s="16" t="n"/>
      <c r="G12" s="16" t="n"/>
      <c r="H12" s="16" t="n"/>
      <c r="I12" s="16">
        <f>IF(ISNUMBER(E12),IF(E12&gt;=Settings!$B$5,"Y","N"),"")</f>
        <v/>
      </c>
      <c r="J12" s="16">
        <f>IF(I12="Y","RECENT OFFERING/SPLIT/RIGHTS","")</f>
        <v/>
      </c>
    </row>
    <row r="13">
      <c r="A13" s="16">
        <f>'Rest Universe'!A14</f>
        <v/>
      </c>
      <c r="B13" s="22">
        <f>IFERROR(_xll.BDP(A13,"NAME"),"")</f>
        <v/>
      </c>
      <c r="C13" s="22">
        <f t="array" ref="C13">_xll.BDS(A13, "EQUITY_OFFERINGS", "sortdesc=3", "endrow=1")</f>
        <v/>
      </c>
      <c r="D13" s="16" t="n"/>
      <c r="E13" s="16" t="n"/>
      <c r="F13" s="16" t="n"/>
      <c r="G13" s="16" t="n"/>
      <c r="H13" s="16" t="n"/>
      <c r="I13" s="16">
        <f>IF(ISNUMBER(E13),IF(E13&gt;=Settings!$B$5,"Y","N"),"")</f>
        <v/>
      </c>
      <c r="J13" s="16">
        <f>IF(I13="Y","RECENT OFFERING/SPLIT/RIGHTS","")</f>
        <v/>
      </c>
    </row>
    <row r="14">
      <c r="A14" s="16">
        <f>'Rest Universe'!A15</f>
        <v/>
      </c>
      <c r="B14" s="22">
        <f>IFERROR(_xll.BDP(A14,"NAME"),"")</f>
        <v/>
      </c>
      <c r="C14" s="22">
        <f t="array" ref="C14">_xll.BDS(A14, "EQUITY_OFFERINGS", "sortdesc=3", "endrow=1")</f>
        <v/>
      </c>
      <c r="D14" s="16" t="n"/>
      <c r="E14" s="16" t="n"/>
      <c r="F14" s="16" t="n"/>
      <c r="G14" s="16" t="n"/>
      <c r="H14" s="16" t="n"/>
      <c r="I14" s="16">
        <f>IF(ISNUMBER(E14),IF(E14&gt;=Settings!$B$5,"Y","N"),"")</f>
        <v/>
      </c>
      <c r="J14" s="16">
        <f>IF(I14="Y","RECENT OFFERING/SPLIT/RIGHTS","")</f>
        <v/>
      </c>
    </row>
    <row r="15">
      <c r="A15" s="16">
        <f>'Rest Universe'!A16</f>
        <v/>
      </c>
      <c r="B15" s="22">
        <f>IFERROR(_xll.BDP(A15,"NAME"),"")</f>
        <v/>
      </c>
      <c r="C15" s="22">
        <f t="array" ref="C15">_xll.BDS(A15, "EQUITY_OFFERINGS", "sortdesc=3", "endrow=1")</f>
        <v/>
      </c>
      <c r="D15" s="16" t="n"/>
      <c r="E15" s="16" t="n"/>
      <c r="F15" s="16" t="n"/>
      <c r="G15" s="16" t="n"/>
      <c r="H15" s="16" t="n"/>
      <c r="I15" s="16">
        <f>IF(ISNUMBER(E15),IF(E15&gt;=Settings!$B$5,"Y","N"),"")</f>
        <v/>
      </c>
      <c r="J15" s="16">
        <f>IF(I15="Y","RECENT OFFERING/SPLIT/RIGHTS","")</f>
        <v/>
      </c>
    </row>
    <row r="16">
      <c r="A16" s="16">
        <f>'Rest Universe'!A17</f>
        <v/>
      </c>
      <c r="B16" s="22">
        <f>IFERROR(_xll.BDP(A16,"NAME"),"")</f>
        <v/>
      </c>
      <c r="C16" s="22">
        <f t="array" ref="C16">_xll.BDS(A16, "EQUITY_OFFERINGS", "sortdesc=3", "endrow=1")</f>
        <v/>
      </c>
      <c r="D16" s="16" t="n"/>
      <c r="E16" s="16" t="n"/>
      <c r="F16" s="16" t="n"/>
      <c r="G16" s="16" t="n"/>
      <c r="H16" s="16" t="n"/>
      <c r="I16" s="16">
        <f>IF(ISNUMBER(E16),IF(E16&gt;=Settings!$B$5,"Y","N"),"")</f>
        <v/>
      </c>
      <c r="J16" s="16">
        <f>IF(I16="Y","RECENT OFFERING/SPLIT/RIGHTS","")</f>
        <v/>
      </c>
    </row>
    <row r="17">
      <c r="A17" s="16">
        <f>'Rest Universe'!A18</f>
        <v/>
      </c>
      <c r="B17" s="22">
        <f>IFERROR(_xll.BDP(A17,"NAME"),"")</f>
        <v/>
      </c>
      <c r="C17" s="22">
        <f t="array" ref="C17">_xll.BDS(A17, "EQUITY_OFFERINGS", "sortdesc=3", "endrow=1")</f>
        <v/>
      </c>
      <c r="D17" s="16" t="n"/>
      <c r="E17" s="16" t="n"/>
      <c r="F17" s="16" t="n"/>
      <c r="G17" s="16" t="n"/>
      <c r="H17" s="16" t="n"/>
      <c r="I17" s="16">
        <f>IF(ISNUMBER(E17),IF(E17&gt;=Settings!$B$5,"Y","N"),"")</f>
        <v/>
      </c>
      <c r="J17" s="16">
        <f>IF(I17="Y","RECENT OFFERING/SPLIT/RIGHTS","")</f>
        <v/>
      </c>
    </row>
    <row r="18">
      <c r="A18" s="16">
        <f>'Rest Universe'!A19</f>
        <v/>
      </c>
      <c r="B18" s="22">
        <f>IFERROR(_xll.BDP(A18,"NAME"),"")</f>
        <v/>
      </c>
      <c r="C18" s="22">
        <f t="array" ref="C18">_xll.BDS(A18, "EQUITY_OFFERINGS", "sortdesc=3", "endrow=1")</f>
        <v/>
      </c>
      <c r="D18" s="16" t="n"/>
      <c r="E18" s="16" t="n"/>
      <c r="F18" s="16" t="n"/>
      <c r="G18" s="16" t="n"/>
      <c r="H18" s="16" t="n"/>
      <c r="I18" s="16">
        <f>IF(ISNUMBER(E18),IF(E18&gt;=Settings!$B$5,"Y","N"),"")</f>
        <v/>
      </c>
      <c r="J18" s="16">
        <f>IF(I18="Y","RECENT OFFERING/SPLIT/RIGHTS","")</f>
        <v/>
      </c>
    </row>
    <row r="19">
      <c r="A19" s="16">
        <f>'Rest Universe'!A20</f>
        <v/>
      </c>
      <c r="B19" s="22">
        <f>IFERROR(_xll.BDP(A19,"NAME"),"")</f>
        <v/>
      </c>
      <c r="C19" s="22">
        <f t="array" ref="C19">_xll.BDS(A19, "EQUITY_OFFERINGS", "sortdesc=3", "endrow=1")</f>
        <v/>
      </c>
      <c r="D19" s="16" t="n"/>
      <c r="E19" s="16" t="n"/>
      <c r="F19" s="16" t="n"/>
      <c r="G19" s="16" t="n"/>
      <c r="H19" s="16" t="n"/>
      <c r="I19" s="16">
        <f>IF(ISNUMBER(E19),IF(E19&gt;=Settings!$B$5,"Y","N"),"")</f>
        <v/>
      </c>
      <c r="J19" s="16">
        <f>IF(I19="Y","RECENT OFFERING/SPLIT/RIGHTS","")</f>
        <v/>
      </c>
    </row>
    <row r="20">
      <c r="A20" s="16">
        <f>'Rest Universe'!A21</f>
        <v/>
      </c>
      <c r="B20" s="22">
        <f>IFERROR(_xll.BDP(A20,"NAME"),"")</f>
        <v/>
      </c>
      <c r="C20" s="22">
        <f t="array" ref="C20">_xll.BDS(A20, "EQUITY_OFFERINGS", "sortdesc=3", "endrow=1")</f>
        <v/>
      </c>
      <c r="D20" s="16" t="n"/>
      <c r="E20" s="16" t="n"/>
      <c r="F20" s="16" t="n"/>
      <c r="G20" s="16" t="n"/>
      <c r="H20" s="16" t="n"/>
      <c r="I20" s="16">
        <f>IF(ISNUMBER(E20),IF(E20&gt;=Settings!$B$5,"Y","N"),"")</f>
        <v/>
      </c>
      <c r="J20" s="16">
        <f>IF(I20="Y","RECENT OFFERING/SPLIT/RIGHTS","")</f>
        <v/>
      </c>
    </row>
    <row r="21">
      <c r="A21" s="16">
        <f>'Rest Universe'!A22</f>
        <v/>
      </c>
      <c r="B21" s="22">
        <f>IFERROR(_xll.BDP(A21,"NAME"),"")</f>
        <v/>
      </c>
      <c r="C21" s="22">
        <f t="array" ref="C21">_xll.BDS(A21, "EQUITY_OFFERINGS", "sortdesc=3", "endrow=1")</f>
        <v/>
      </c>
      <c r="D21" s="16" t="n"/>
      <c r="E21" s="16" t="n"/>
      <c r="F21" s="16" t="n"/>
      <c r="G21" s="16" t="n"/>
      <c r="H21" s="16" t="n"/>
      <c r="I21" s="16">
        <f>IF(ISNUMBER(E21),IF(E21&gt;=Settings!$B$5,"Y","N"),"")</f>
        <v/>
      </c>
      <c r="J21" s="16">
        <f>IF(I21="Y","RECENT OFFERING/SPLIT/RIGHTS","")</f>
        <v/>
      </c>
    </row>
    <row r="22">
      <c r="A22" s="16">
        <f>'Rest Universe'!A23</f>
        <v/>
      </c>
      <c r="B22" s="22">
        <f>IFERROR(_xll.BDP(A22,"NAME"),"")</f>
        <v/>
      </c>
      <c r="C22" s="22">
        <f t="array" ref="C22">_xll.BDS(A22, "EQUITY_OFFERINGS", "sortdesc=3", "endrow=1")</f>
        <v/>
      </c>
      <c r="D22" s="16" t="n"/>
      <c r="E22" s="16" t="n"/>
      <c r="F22" s="16" t="n"/>
      <c r="G22" s="16" t="n"/>
      <c r="H22" s="16" t="n"/>
      <c r="I22" s="16">
        <f>IF(ISNUMBER(E22),IF(E22&gt;=Settings!$B$5,"Y","N"),"")</f>
        <v/>
      </c>
      <c r="J22" s="16">
        <f>IF(I22="Y","RECENT OFFERING/SPLIT/RIGHTS","")</f>
        <v/>
      </c>
    </row>
    <row r="23">
      <c r="A23" s="16">
        <f>'Rest Universe'!A24</f>
        <v/>
      </c>
      <c r="B23" s="22">
        <f>IFERROR(_xll.BDP(A23,"NAME"),"")</f>
        <v/>
      </c>
      <c r="C23" s="22">
        <f t="array" ref="C23">_xll.BDS(A23, "EQUITY_OFFERINGS", "sortdesc=3", "endrow=1")</f>
        <v/>
      </c>
      <c r="D23" s="16" t="n"/>
      <c r="E23" s="16" t="n"/>
      <c r="F23" s="16" t="n"/>
      <c r="G23" s="16" t="n"/>
      <c r="H23" s="16" t="n"/>
      <c r="I23" s="16">
        <f>IF(ISNUMBER(E23),IF(E23&gt;=Settings!$B$5,"Y","N"),"")</f>
        <v/>
      </c>
      <c r="J23" s="16">
        <f>IF(I23="Y","RECENT OFFERING/SPLIT/RIGHTS","")</f>
        <v/>
      </c>
    </row>
    <row r="24">
      <c r="A24" s="16">
        <f>'Rest Universe'!A25</f>
        <v/>
      </c>
      <c r="B24" s="22">
        <f>IFERROR(_xll.BDP(A24,"NAME"),"")</f>
        <v/>
      </c>
      <c r="C24" s="22">
        <f t="array" ref="C24">_xll.BDS(A24, "EQUITY_OFFERINGS", "sortdesc=3", "endrow=1")</f>
        <v/>
      </c>
      <c r="D24" s="16" t="n"/>
      <c r="E24" s="16" t="n"/>
      <c r="F24" s="16" t="n"/>
      <c r="G24" s="16" t="n"/>
      <c r="H24" s="16" t="n"/>
      <c r="I24" s="16">
        <f>IF(ISNUMBER(E24),IF(E24&gt;=Settings!$B$5,"Y","N"),"")</f>
        <v/>
      </c>
      <c r="J24" s="16">
        <f>IF(I24="Y","RECENT OFFERING/SPLIT/RIGHTS","")</f>
        <v/>
      </c>
    </row>
    <row r="25">
      <c r="A25" s="16">
        <f>'Rest Universe'!A26</f>
        <v/>
      </c>
      <c r="B25" s="22">
        <f>IFERROR(_xll.BDP(A25,"NAME"),"")</f>
        <v/>
      </c>
      <c r="C25" s="22">
        <f t="array" ref="C25">_xll.BDS(A25, "EQUITY_OFFERINGS", "sortdesc=3", "endrow=1")</f>
        <v/>
      </c>
      <c r="D25" s="16" t="n"/>
      <c r="E25" s="16" t="n"/>
      <c r="F25" s="16" t="n"/>
      <c r="G25" s="16" t="n"/>
      <c r="H25" s="16" t="n"/>
      <c r="I25" s="16">
        <f>IF(ISNUMBER(E25),IF(E25&gt;=Settings!$B$5,"Y","N"),"")</f>
        <v/>
      </c>
      <c r="J25" s="16">
        <f>IF(I25="Y","RECENT OFFERING/SPLIT/RIGHTS","")</f>
        <v/>
      </c>
    </row>
    <row r="26">
      <c r="A26" s="16">
        <f>'Rest Universe'!A27</f>
        <v/>
      </c>
      <c r="B26" s="22">
        <f>IFERROR(_xll.BDP(A26,"NAME"),"")</f>
        <v/>
      </c>
      <c r="C26" s="22">
        <f t="array" ref="C26">_xll.BDS(A26, "EQUITY_OFFERINGS", "sortdesc=3", "endrow=1")</f>
        <v/>
      </c>
      <c r="D26" s="16" t="n"/>
      <c r="E26" s="16" t="n"/>
      <c r="F26" s="16" t="n"/>
      <c r="G26" s="16" t="n"/>
      <c r="H26" s="16" t="n"/>
      <c r="I26" s="16">
        <f>IF(ISNUMBER(E26),IF(E26&gt;=Settings!$B$5,"Y","N"),"")</f>
        <v/>
      </c>
      <c r="J26" s="16">
        <f>IF(I26="Y","RECENT OFFERING/SPLIT/RIGHTS","")</f>
        <v/>
      </c>
    </row>
    <row r="27">
      <c r="A27" s="16">
        <f>'Rest Universe'!A28</f>
        <v/>
      </c>
      <c r="B27" s="22">
        <f>IFERROR(_xll.BDP(A27,"NAME"),"")</f>
        <v/>
      </c>
      <c r="C27" s="22">
        <f t="array" ref="C27">_xll.BDS(A27, "EQUITY_OFFERINGS", "sortdesc=3", "endrow=1")</f>
        <v/>
      </c>
      <c r="D27" s="16" t="n"/>
      <c r="E27" s="16" t="n"/>
      <c r="F27" s="16" t="n"/>
      <c r="G27" s="16" t="n"/>
      <c r="H27" s="16" t="n"/>
      <c r="I27" s="16">
        <f>IF(ISNUMBER(E27),IF(E27&gt;=Settings!$B$5,"Y","N"),"")</f>
        <v/>
      </c>
      <c r="J27" s="16">
        <f>IF(I27="Y","RECENT OFFERING/SPLIT/RIGHTS","")</f>
        <v/>
      </c>
    </row>
    <row r="28">
      <c r="A28" s="16">
        <f>'Rest Universe'!A29</f>
        <v/>
      </c>
      <c r="B28" s="22">
        <f>IFERROR(_xll.BDP(A28,"NAME"),"")</f>
        <v/>
      </c>
      <c r="C28" s="22">
        <f t="array" ref="C28">_xll.BDS(A28, "EQUITY_OFFERINGS", "sortdesc=3", "endrow=1")</f>
        <v/>
      </c>
      <c r="D28" s="16" t="n"/>
      <c r="E28" s="16" t="n"/>
      <c r="F28" s="16" t="n"/>
      <c r="G28" s="16" t="n"/>
      <c r="H28" s="16" t="n"/>
      <c r="I28" s="16">
        <f>IF(ISNUMBER(E28),IF(E28&gt;=Settings!$B$5,"Y","N"),"")</f>
        <v/>
      </c>
      <c r="J28" s="16">
        <f>IF(I28="Y","RECENT OFFERING/SPLIT/RIGHTS","")</f>
        <v/>
      </c>
    </row>
    <row r="29">
      <c r="A29" s="16">
        <f>'Rest Universe'!A30</f>
        <v/>
      </c>
      <c r="B29" s="22">
        <f>IFERROR(_xll.BDP(A29,"NAME"),"")</f>
        <v/>
      </c>
      <c r="C29" s="22">
        <f t="array" ref="C29">_xll.BDS(A29, "EQUITY_OFFERINGS", "sortdesc=3", "endrow=1")</f>
        <v/>
      </c>
      <c r="D29" s="16" t="n"/>
      <c r="E29" s="16" t="n"/>
      <c r="F29" s="16" t="n"/>
      <c r="G29" s="16" t="n"/>
      <c r="H29" s="16" t="n"/>
      <c r="I29" s="16">
        <f>IF(ISNUMBER(E29),IF(E29&gt;=Settings!$B$5,"Y","N"),"")</f>
        <v/>
      </c>
      <c r="J29" s="16">
        <f>IF(I29="Y","RECENT OFFERING/SPLIT/RIGHTS","")</f>
        <v/>
      </c>
    </row>
    <row r="30">
      <c r="A30" s="16">
        <f>'Rest Universe'!A31</f>
        <v/>
      </c>
      <c r="B30" s="22">
        <f>IFERROR(_xll.BDP(A30,"NAME"),"")</f>
        <v/>
      </c>
      <c r="C30" s="22">
        <f t="array" ref="C30">_xll.BDS(A30, "EQUITY_OFFERINGS", "sortdesc=3", "endrow=1")</f>
        <v/>
      </c>
      <c r="D30" s="16" t="n"/>
      <c r="E30" s="16" t="n"/>
      <c r="F30" s="16" t="n"/>
      <c r="G30" s="16" t="n"/>
      <c r="H30" s="16" t="n"/>
      <c r="I30" s="16">
        <f>IF(ISNUMBER(E30),IF(E30&gt;=Settings!$B$5,"Y","N"),"")</f>
        <v/>
      </c>
      <c r="J30" s="16">
        <f>IF(I30="Y","RECENT OFFERING/SPLIT/RIGHTS","")</f>
        <v/>
      </c>
    </row>
    <row r="31">
      <c r="A31" s="16">
        <f>'Rest Universe'!A32</f>
        <v/>
      </c>
      <c r="B31" s="22">
        <f>IFERROR(_xll.BDP(A31,"NAME"),"")</f>
        <v/>
      </c>
      <c r="C31" s="22">
        <f t="array" ref="C31">_xll.BDS(A31, "EQUITY_OFFERINGS", "sortdesc=3", "endrow=1")</f>
        <v/>
      </c>
      <c r="D31" s="16" t="n"/>
      <c r="E31" s="16" t="n"/>
      <c r="F31" s="16" t="n"/>
      <c r="G31" s="16" t="n"/>
      <c r="H31" s="16" t="n"/>
      <c r="I31" s="16">
        <f>IF(ISNUMBER(E31),IF(E31&gt;=Settings!$B$5,"Y","N"),"")</f>
        <v/>
      </c>
      <c r="J31" s="16">
        <f>IF(I31="Y","RECENT OFFERING/SPLIT/RIGHTS","")</f>
        <v/>
      </c>
    </row>
    <row r="32">
      <c r="A32" s="16">
        <f>'Rest Universe'!A33</f>
        <v/>
      </c>
      <c r="B32" s="22">
        <f>IFERROR(_xll.BDP(A32,"NAME"),"")</f>
        <v/>
      </c>
      <c r="C32" s="22">
        <f t="array" ref="C32">_xll.BDS(A32, "EQUITY_OFFERINGS", "sortdesc=3", "endrow=1")</f>
        <v/>
      </c>
      <c r="D32" s="16" t="n"/>
      <c r="E32" s="16" t="n"/>
      <c r="F32" s="16" t="n"/>
      <c r="G32" s="16" t="n"/>
      <c r="H32" s="16" t="n"/>
      <c r="I32" s="16">
        <f>IF(ISNUMBER(E32),IF(E32&gt;=Settings!$B$5,"Y","N"),"")</f>
        <v/>
      </c>
      <c r="J32" s="16">
        <f>IF(I32="Y","RECENT OFFERING/SPLIT/RIGHTS","")</f>
        <v/>
      </c>
    </row>
    <row r="33">
      <c r="A33" s="16">
        <f>'Rest Universe'!A34</f>
        <v/>
      </c>
      <c r="B33" s="22">
        <f>IFERROR(_xll.BDP(A33,"NAME"),"")</f>
        <v/>
      </c>
      <c r="C33" s="22">
        <f t="array" ref="C33">_xll.BDS(A33, "EQUITY_OFFERINGS", "sortdesc=3", "endrow=1")</f>
        <v/>
      </c>
      <c r="D33" s="16" t="n"/>
      <c r="E33" s="16" t="n"/>
      <c r="F33" s="16" t="n"/>
      <c r="G33" s="16" t="n"/>
      <c r="H33" s="16" t="n"/>
      <c r="I33" s="16">
        <f>IF(ISNUMBER(E33),IF(E33&gt;=Settings!$B$5,"Y","N"),"")</f>
        <v/>
      </c>
      <c r="J33" s="16">
        <f>IF(I33="Y","RECENT OFFERING/SPLIT/RIGHTS","")</f>
        <v/>
      </c>
    </row>
    <row r="34">
      <c r="A34" s="16">
        <f>'Rest Universe'!A35</f>
        <v/>
      </c>
      <c r="B34" s="22">
        <f>IFERROR(_xll.BDP(A34,"NAME"),"")</f>
        <v/>
      </c>
      <c r="C34" s="22">
        <f t="array" ref="C34">_xll.BDS(A34, "EQUITY_OFFERINGS", "sortdesc=3", "endrow=1")</f>
        <v/>
      </c>
      <c r="D34" s="16" t="n"/>
      <c r="E34" s="16" t="n"/>
      <c r="F34" s="16" t="n"/>
      <c r="G34" s="16" t="n"/>
      <c r="H34" s="16" t="n"/>
      <c r="I34" s="16">
        <f>IF(ISNUMBER(E34),IF(E34&gt;=Settings!$B$5,"Y","N"),"")</f>
        <v/>
      </c>
      <c r="J34" s="16">
        <f>IF(I34="Y","RECENT OFFERING/SPLIT/RIGHTS","")</f>
        <v/>
      </c>
    </row>
    <row r="35">
      <c r="A35" s="16">
        <f>'Rest Universe'!A36</f>
        <v/>
      </c>
      <c r="B35" s="22">
        <f>IFERROR(_xll.BDP(A35,"NAME"),"")</f>
        <v/>
      </c>
      <c r="C35" s="22">
        <f t="array" ref="C35">_xll.BDS(A35, "EQUITY_OFFERINGS", "sortdesc=3", "endrow=1")</f>
        <v/>
      </c>
      <c r="D35" s="16" t="n"/>
      <c r="E35" s="16" t="n"/>
      <c r="F35" s="16" t="n"/>
      <c r="G35" s="16" t="n"/>
      <c r="H35" s="16" t="n"/>
      <c r="I35" s="16">
        <f>IF(ISNUMBER(E35),IF(E35&gt;=Settings!$B$5,"Y","N"),"")</f>
        <v/>
      </c>
      <c r="J35" s="16">
        <f>IF(I35="Y","RECENT OFFERING/SPLIT/RIGHTS","")</f>
        <v/>
      </c>
    </row>
    <row r="36">
      <c r="A36" s="16">
        <f>'Rest Universe'!A37</f>
        <v/>
      </c>
      <c r="B36" s="22">
        <f>IFERROR(_xll.BDP(A36,"NAME"),"")</f>
        <v/>
      </c>
      <c r="C36" s="22">
        <f t="array" ref="C36">_xll.BDS(A36, "EQUITY_OFFERINGS", "sortdesc=3", "endrow=1")</f>
        <v/>
      </c>
      <c r="D36" s="16" t="n"/>
      <c r="E36" s="16" t="n"/>
      <c r="F36" s="16" t="n"/>
      <c r="G36" s="16" t="n"/>
      <c r="H36" s="16" t="n"/>
      <c r="I36" s="16">
        <f>IF(ISNUMBER(E36),IF(E36&gt;=Settings!$B$5,"Y","N"),"")</f>
        <v/>
      </c>
      <c r="J36" s="16">
        <f>IF(I36="Y","RECENT OFFERING/SPLIT/RIGHTS","")</f>
        <v/>
      </c>
    </row>
    <row r="37">
      <c r="A37" s="16">
        <f>'Rest Universe'!A38</f>
        <v/>
      </c>
      <c r="B37" s="22">
        <f>IFERROR(_xll.BDP(A37,"NAME"),"")</f>
        <v/>
      </c>
      <c r="C37" s="22">
        <f t="array" ref="C37">_xll.BDS(A37, "EQUITY_OFFERINGS", "sortdesc=3", "endrow=1")</f>
        <v/>
      </c>
      <c r="D37" s="16" t="n"/>
      <c r="E37" s="16" t="n"/>
      <c r="F37" s="16" t="n"/>
      <c r="G37" s="16" t="n"/>
      <c r="H37" s="16" t="n"/>
      <c r="I37" s="16">
        <f>IF(ISNUMBER(E37),IF(E37&gt;=Settings!$B$5,"Y","N"),"")</f>
        <v/>
      </c>
      <c r="J37" s="16">
        <f>IF(I37="Y","RECENT OFFERING/SPLIT/RIGHTS","")</f>
        <v/>
      </c>
    </row>
    <row r="38">
      <c r="A38" s="16">
        <f>'Rest Universe'!A39</f>
        <v/>
      </c>
      <c r="B38" s="22">
        <f>IFERROR(_xll.BDP(A38,"NAME"),"")</f>
        <v/>
      </c>
      <c r="C38" s="22">
        <f t="array" ref="C38">_xll.BDS(A38, "EQUITY_OFFERINGS", "sortdesc=3", "endrow=1")</f>
        <v/>
      </c>
      <c r="D38" s="16" t="n"/>
      <c r="E38" s="16" t="n"/>
      <c r="F38" s="16" t="n"/>
      <c r="G38" s="16" t="n"/>
      <c r="H38" s="16" t="n"/>
      <c r="I38" s="16">
        <f>IF(ISNUMBER(E38),IF(E38&gt;=Settings!$B$5,"Y","N"),"")</f>
        <v/>
      </c>
      <c r="J38" s="16">
        <f>IF(I38="Y","RECENT OFFERING/SPLIT/RIGHTS","")</f>
        <v/>
      </c>
    </row>
    <row r="39">
      <c r="A39" s="16">
        <f>'Rest Universe'!A40</f>
        <v/>
      </c>
      <c r="B39" s="22">
        <f>IFERROR(_xll.BDP(A39,"NAME"),"")</f>
        <v/>
      </c>
      <c r="C39" s="22">
        <f t="array" ref="C39">_xll.BDS(A39, "EQUITY_OFFERINGS", "sortdesc=3", "endrow=1")</f>
        <v/>
      </c>
      <c r="D39" s="16" t="n"/>
      <c r="E39" s="16" t="n"/>
      <c r="F39" s="16" t="n"/>
      <c r="G39" s="16" t="n"/>
      <c r="H39" s="16" t="n"/>
      <c r="I39" s="16">
        <f>IF(ISNUMBER(E39),IF(E39&gt;=Settings!$B$5,"Y","N"),"")</f>
        <v/>
      </c>
      <c r="J39" s="16">
        <f>IF(I39="Y","RECENT OFFERING/SPLIT/RIGHTS","")</f>
        <v/>
      </c>
    </row>
    <row r="40">
      <c r="A40" s="16">
        <f>'Rest Universe'!A41</f>
        <v/>
      </c>
      <c r="B40" s="22">
        <f>IFERROR(_xll.BDP(A40,"NAME"),"")</f>
        <v/>
      </c>
      <c r="C40" s="22">
        <f t="array" ref="C40">_xll.BDS(A40, "EQUITY_OFFERINGS", "sortdesc=3", "endrow=1")</f>
        <v/>
      </c>
      <c r="D40" s="16" t="n"/>
      <c r="E40" s="16" t="n"/>
      <c r="F40" s="16" t="n"/>
      <c r="G40" s="16" t="n"/>
      <c r="H40" s="16" t="n"/>
      <c r="I40" s="16">
        <f>IF(ISNUMBER(E40),IF(E40&gt;=Settings!$B$5,"Y","N"),"")</f>
        <v/>
      </c>
      <c r="J40" s="16">
        <f>IF(I40="Y","RECENT OFFERING/SPLIT/RIGHTS","")</f>
        <v/>
      </c>
    </row>
    <row r="41">
      <c r="A41" s="16">
        <f>'Rest Universe'!A42</f>
        <v/>
      </c>
      <c r="B41" s="22">
        <f>IFERROR(_xll.BDP(A41,"NAME"),"")</f>
        <v/>
      </c>
      <c r="C41" s="22">
        <f t="array" ref="C41">_xll.BDS(A41, "EQUITY_OFFERINGS", "sortdesc=3", "endrow=1")</f>
        <v/>
      </c>
      <c r="D41" s="16" t="n"/>
      <c r="E41" s="16" t="n"/>
      <c r="F41" s="16" t="n"/>
      <c r="G41" s="16" t="n"/>
      <c r="H41" s="16" t="n"/>
      <c r="I41" s="16">
        <f>IF(ISNUMBER(E41),IF(E41&gt;=Settings!$B$5,"Y","N"),"")</f>
        <v/>
      </c>
      <c r="J41" s="16">
        <f>IF(I41="Y","RECENT OFFERING/SPLIT/RIGHTS","")</f>
        <v/>
      </c>
    </row>
    <row r="42">
      <c r="A42" s="16">
        <f>'Rest Universe'!A43</f>
        <v/>
      </c>
      <c r="B42" s="22">
        <f>IFERROR(_xll.BDP(A42,"NAME"),"")</f>
        <v/>
      </c>
      <c r="C42" s="22">
        <f t="array" ref="C42">_xll.BDS(A42, "EQUITY_OFFERINGS", "sortdesc=3", "endrow=1")</f>
        <v/>
      </c>
      <c r="D42" s="16" t="n"/>
      <c r="E42" s="16" t="n"/>
      <c r="F42" s="16" t="n"/>
      <c r="G42" s="16" t="n"/>
      <c r="H42" s="16" t="n"/>
      <c r="I42" s="16">
        <f>IF(ISNUMBER(E42),IF(E42&gt;=Settings!$B$5,"Y","N"),"")</f>
        <v/>
      </c>
      <c r="J42" s="16">
        <f>IF(I42="Y","RECENT OFFERING/SPLIT/RIGHTS","")</f>
        <v/>
      </c>
    </row>
    <row r="43">
      <c r="A43" s="16">
        <f>'Rest Universe'!A44</f>
        <v/>
      </c>
      <c r="B43" s="22">
        <f>IFERROR(_xll.BDP(A43,"NAME"),"")</f>
        <v/>
      </c>
      <c r="C43" s="22">
        <f t="array" ref="C43">_xll.BDS(A43, "EQUITY_OFFERINGS", "sortdesc=3", "endrow=1")</f>
        <v/>
      </c>
      <c r="D43" s="16" t="n"/>
      <c r="E43" s="16" t="n"/>
      <c r="F43" s="16" t="n"/>
      <c r="G43" s="16" t="n"/>
      <c r="H43" s="16" t="n"/>
      <c r="I43" s="16">
        <f>IF(ISNUMBER(E43),IF(E43&gt;=Settings!$B$5,"Y","N"),"")</f>
        <v/>
      </c>
      <c r="J43" s="16">
        <f>IF(I43="Y","RECENT OFFERING/SPLIT/RIGHTS","")</f>
        <v/>
      </c>
    </row>
    <row r="44">
      <c r="A44" s="16">
        <f>'Rest Universe'!A45</f>
        <v/>
      </c>
      <c r="B44" s="22">
        <f>IFERROR(_xll.BDP(A44,"NAME"),"")</f>
        <v/>
      </c>
      <c r="C44" s="22">
        <f t="array" ref="C44">_xll.BDS(A44, "EQUITY_OFFERINGS", "sortdesc=3", "endrow=1")</f>
        <v/>
      </c>
      <c r="D44" s="16" t="n"/>
      <c r="E44" s="16" t="n"/>
      <c r="F44" s="16" t="n"/>
      <c r="G44" s="16" t="n"/>
      <c r="H44" s="16" t="n"/>
      <c r="I44" s="16">
        <f>IF(ISNUMBER(E44),IF(E44&gt;=Settings!$B$5,"Y","N"),"")</f>
        <v/>
      </c>
      <c r="J44" s="16">
        <f>IF(I44="Y","RECENT OFFERING/SPLIT/RIGHTS","")</f>
        <v/>
      </c>
    </row>
    <row r="45">
      <c r="A45" s="16">
        <f>'Rest Universe'!A46</f>
        <v/>
      </c>
      <c r="B45" s="22">
        <f>IFERROR(_xll.BDP(A45,"NAME"),"")</f>
        <v/>
      </c>
      <c r="C45" s="22">
        <f t="array" ref="C45">_xll.BDS(A45, "EQUITY_OFFERINGS", "sortdesc=3", "endrow=1")</f>
        <v/>
      </c>
      <c r="D45" s="16" t="n"/>
      <c r="E45" s="16" t="n"/>
      <c r="F45" s="16" t="n"/>
      <c r="G45" s="16" t="n"/>
      <c r="H45" s="16" t="n"/>
      <c r="I45" s="16">
        <f>IF(ISNUMBER(E45),IF(E45&gt;=Settings!$B$5,"Y","N"),"")</f>
        <v/>
      </c>
      <c r="J45" s="16">
        <f>IF(I45="Y","RECENT OFFERING/SPLIT/RIGHTS","")</f>
        <v/>
      </c>
    </row>
    <row r="46">
      <c r="A46" s="16">
        <f>'Rest Universe'!A47</f>
        <v/>
      </c>
      <c r="B46" s="22">
        <f>IFERROR(_xll.BDP(A46,"NAME"),"")</f>
        <v/>
      </c>
      <c r="C46" s="22">
        <f t="array" ref="C46">_xll.BDS(A46, "EQUITY_OFFERINGS", "sortdesc=3", "endrow=1")</f>
        <v/>
      </c>
      <c r="D46" s="16" t="n"/>
      <c r="E46" s="16" t="n"/>
      <c r="F46" s="16" t="n"/>
      <c r="G46" s="16" t="n"/>
      <c r="H46" s="16" t="n"/>
      <c r="I46" s="16">
        <f>IF(ISNUMBER(E46),IF(E46&gt;=Settings!$B$5,"Y","N"),"")</f>
        <v/>
      </c>
      <c r="J46" s="16">
        <f>IF(I46="Y","RECENT OFFERING/SPLIT/RIGHTS","")</f>
        <v/>
      </c>
    </row>
    <row r="47">
      <c r="A47" s="16">
        <f>'Rest Universe'!A48</f>
        <v/>
      </c>
      <c r="B47" s="22">
        <f>IFERROR(_xll.BDP(A47,"NAME"),"")</f>
        <v/>
      </c>
      <c r="C47" s="22">
        <f t="array" ref="C47">_xll.BDS(A47, "EQUITY_OFFERINGS", "sortdesc=3", "endrow=1")</f>
        <v/>
      </c>
      <c r="D47" s="16" t="n"/>
      <c r="E47" s="16" t="n"/>
      <c r="F47" s="16" t="n"/>
      <c r="G47" s="16" t="n"/>
      <c r="H47" s="16" t="n"/>
      <c r="I47" s="16">
        <f>IF(ISNUMBER(E47),IF(E47&gt;=Settings!$B$5,"Y","N"),"")</f>
        <v/>
      </c>
      <c r="J47" s="16">
        <f>IF(I47="Y","RECENT OFFERING/SPLIT/RIGHTS","")</f>
        <v/>
      </c>
    </row>
    <row r="48">
      <c r="A48" s="16">
        <f>'Rest Universe'!A49</f>
        <v/>
      </c>
      <c r="B48" s="22">
        <f>IFERROR(_xll.BDP(A48,"NAME"),"")</f>
        <v/>
      </c>
      <c r="C48" s="22">
        <f t="array" ref="C48">_xll.BDS(A48, "EQUITY_OFFERINGS", "sortdesc=3", "endrow=1")</f>
        <v/>
      </c>
      <c r="D48" s="16" t="n"/>
      <c r="E48" s="16" t="n"/>
      <c r="F48" s="16" t="n"/>
      <c r="G48" s="16" t="n"/>
      <c r="H48" s="16" t="n"/>
      <c r="I48" s="16">
        <f>IF(ISNUMBER(E48),IF(E48&gt;=Settings!$B$5,"Y","N"),"")</f>
        <v/>
      </c>
      <c r="J48" s="16">
        <f>IF(I48="Y","RECENT OFFERING/SPLIT/RIGHTS","")</f>
        <v/>
      </c>
    </row>
    <row r="49">
      <c r="A49" s="16">
        <f>'Rest Universe'!A50</f>
        <v/>
      </c>
      <c r="B49" s="22">
        <f>IFERROR(_xll.BDP(A49,"NAME"),"")</f>
        <v/>
      </c>
      <c r="C49" s="22">
        <f t="array" ref="C49">_xll.BDS(A49, "EQUITY_OFFERINGS", "sortdesc=3", "endrow=1")</f>
        <v/>
      </c>
      <c r="D49" s="16" t="n"/>
      <c r="E49" s="16" t="n"/>
      <c r="F49" s="16" t="n"/>
      <c r="G49" s="16" t="n"/>
      <c r="H49" s="16" t="n"/>
      <c r="I49" s="16">
        <f>IF(ISNUMBER(E49),IF(E49&gt;=Settings!$B$5,"Y","N"),"")</f>
        <v/>
      </c>
      <c r="J49" s="16">
        <f>IF(I49="Y","RECENT OFFERING/SPLIT/RIGHTS","")</f>
        <v/>
      </c>
    </row>
    <row r="50">
      <c r="A50" s="16">
        <f>'Rest Universe'!A51</f>
        <v/>
      </c>
      <c r="B50" s="22">
        <f>IFERROR(_xll.BDP(A50,"NAME"),"")</f>
        <v/>
      </c>
      <c r="C50" s="22">
        <f t="array" ref="C50">_xll.BDS(A50, "EQUITY_OFFERINGS", "sortdesc=3", "endrow=1")</f>
        <v/>
      </c>
      <c r="D50" s="16" t="n"/>
      <c r="E50" s="16" t="n"/>
      <c r="F50" s="16" t="n"/>
      <c r="G50" s="16" t="n"/>
      <c r="H50" s="16" t="n"/>
      <c r="I50" s="16">
        <f>IF(ISNUMBER(E50),IF(E50&gt;=Settings!$B$5,"Y","N"),"")</f>
        <v/>
      </c>
      <c r="J50" s="16">
        <f>IF(I50="Y","RECENT OFFERING/SPLIT/RIGHTS","")</f>
        <v/>
      </c>
    </row>
    <row r="51">
      <c r="A51" s="16">
        <f>'Rest Universe'!A52</f>
        <v/>
      </c>
      <c r="B51" s="22">
        <f>IFERROR(_xll.BDP(A51,"NAME"),"")</f>
        <v/>
      </c>
      <c r="C51" s="22">
        <f t="array" ref="C51">_xll.BDS(A51, "EQUITY_OFFERINGS", "sortdesc=3", "endrow=1")</f>
        <v/>
      </c>
      <c r="D51" s="16" t="n"/>
      <c r="E51" s="16" t="n"/>
      <c r="F51" s="16" t="n"/>
      <c r="G51" s="16" t="n"/>
      <c r="H51" s="16" t="n"/>
      <c r="I51" s="16">
        <f>IF(ISNUMBER(E51),IF(E51&gt;=Settings!$B$5,"Y","N"),"")</f>
        <v/>
      </c>
      <c r="J51" s="16">
        <f>IF(I51="Y","RECENT OFFERING/SPLIT/RIGHTS","")</f>
        <v/>
      </c>
    </row>
    <row r="52">
      <c r="A52" s="16">
        <f>'Rest Universe'!A53</f>
        <v/>
      </c>
      <c r="B52" s="22">
        <f>IFERROR(_xll.BDP(A52,"NAME"),"")</f>
        <v/>
      </c>
      <c r="C52" s="22">
        <f t="array" ref="C52">_xll.BDS(A52, "EQUITY_OFFERINGS", "sortdesc=3", "endrow=1")</f>
        <v/>
      </c>
      <c r="D52" s="16" t="n"/>
      <c r="E52" s="16" t="n"/>
      <c r="F52" s="16" t="n"/>
      <c r="G52" s="16" t="n"/>
      <c r="H52" s="16" t="n"/>
      <c r="I52" s="16">
        <f>IF(ISNUMBER(E52),IF(E52&gt;=Settings!$B$5,"Y","N"),"")</f>
        <v/>
      </c>
      <c r="J52" s="16">
        <f>IF(I52="Y","RECENT OFFERING/SPLIT/RIGHTS","")</f>
        <v/>
      </c>
    </row>
    <row r="53">
      <c r="A53" s="16">
        <f>'Rest Universe'!A54</f>
        <v/>
      </c>
      <c r="B53" s="22">
        <f>IFERROR(_xll.BDP(A53,"NAME"),"")</f>
        <v/>
      </c>
      <c r="C53" s="22">
        <f t="array" ref="C53">_xll.BDS(A53, "EQUITY_OFFERINGS", "sortdesc=3", "endrow=1")</f>
        <v/>
      </c>
      <c r="D53" s="16" t="n"/>
      <c r="E53" s="16" t="n"/>
      <c r="F53" s="16" t="n"/>
      <c r="G53" s="16" t="n"/>
      <c r="H53" s="16" t="n"/>
      <c r="I53" s="16">
        <f>IF(ISNUMBER(E53),IF(E53&gt;=Settings!$B$5,"Y","N"),"")</f>
        <v/>
      </c>
      <c r="J53" s="16">
        <f>IF(I53="Y","RECENT OFFERING/SPLIT/RIGHTS","")</f>
        <v/>
      </c>
    </row>
    <row r="54">
      <c r="A54" s="16">
        <f>'Rest Universe'!A55</f>
        <v/>
      </c>
      <c r="B54" s="22">
        <f>IFERROR(_xll.BDP(A54,"NAME"),"")</f>
        <v/>
      </c>
      <c r="C54" s="22">
        <f t="array" ref="C54">_xll.BDS(A54, "EQUITY_OFFERINGS", "sortdesc=3", "endrow=1")</f>
        <v/>
      </c>
      <c r="D54" s="16" t="n"/>
      <c r="E54" s="16" t="n"/>
      <c r="F54" s="16" t="n"/>
      <c r="G54" s="16" t="n"/>
      <c r="H54" s="16" t="n"/>
      <c r="I54" s="16">
        <f>IF(ISNUMBER(E54),IF(E54&gt;=Settings!$B$5,"Y","N"),"")</f>
        <v/>
      </c>
      <c r="J54" s="16">
        <f>IF(I54="Y","RECENT OFFERING/SPLIT/RIGHTS","")</f>
        <v/>
      </c>
    </row>
    <row r="55">
      <c r="A55" s="16">
        <f>'Rest Universe'!A56</f>
        <v/>
      </c>
      <c r="B55" s="22">
        <f>IFERROR(_xll.BDP(A55,"NAME"),"")</f>
        <v/>
      </c>
      <c r="C55" s="22">
        <f t="array" ref="C55">_xll.BDS(A55, "EQUITY_OFFERINGS", "sortdesc=3", "endrow=1")</f>
        <v/>
      </c>
      <c r="D55" s="16" t="n"/>
      <c r="E55" s="16" t="n"/>
      <c r="F55" s="16" t="n"/>
      <c r="G55" s="16" t="n"/>
      <c r="H55" s="16" t="n"/>
      <c r="I55" s="16">
        <f>IF(ISNUMBER(E55),IF(E55&gt;=Settings!$B$5,"Y","N"),"")</f>
        <v/>
      </c>
      <c r="J55" s="16">
        <f>IF(I55="Y","RECENT OFFERING/SPLIT/RIGHTS","")</f>
        <v/>
      </c>
    </row>
    <row r="56">
      <c r="A56" s="16">
        <f>'Rest Universe'!A57</f>
        <v/>
      </c>
      <c r="B56" s="22">
        <f>IFERROR(_xll.BDP(A56,"NAME"),"")</f>
        <v/>
      </c>
      <c r="C56" s="22">
        <f t="array" ref="C56">_xll.BDS(A56, "EQUITY_OFFERINGS", "sortdesc=3", "endrow=1")</f>
        <v/>
      </c>
      <c r="D56" s="16" t="n"/>
      <c r="E56" s="16" t="n"/>
      <c r="F56" s="16" t="n"/>
      <c r="G56" s="16" t="n"/>
      <c r="H56" s="16" t="n"/>
      <c r="I56" s="16">
        <f>IF(ISNUMBER(E56),IF(E56&gt;=Settings!$B$5,"Y","N"),"")</f>
        <v/>
      </c>
      <c r="J56" s="16">
        <f>IF(I56="Y","RECENT OFFERING/SPLIT/RIGHTS","")</f>
        <v/>
      </c>
    </row>
    <row r="57">
      <c r="A57" s="16">
        <f>'Rest Universe'!A58</f>
        <v/>
      </c>
      <c r="B57" s="22">
        <f>IFERROR(_xll.BDP(A57,"NAME"),"")</f>
        <v/>
      </c>
      <c r="C57" s="22">
        <f t="array" ref="C57">_xll.BDS(A57, "EQUITY_OFFERINGS", "sortdesc=3", "endrow=1")</f>
        <v/>
      </c>
      <c r="D57" s="16" t="n"/>
      <c r="E57" s="16" t="n"/>
      <c r="F57" s="16" t="n"/>
      <c r="G57" s="16" t="n"/>
      <c r="H57" s="16" t="n"/>
      <c r="I57" s="16">
        <f>IF(ISNUMBER(E57),IF(E57&gt;=Settings!$B$5,"Y","N"),"")</f>
        <v/>
      </c>
      <c r="J57" s="16">
        <f>IF(I57="Y","RECENT OFFERING/SPLIT/RIGHTS","")</f>
        <v/>
      </c>
    </row>
    <row r="58">
      <c r="A58" s="16">
        <f>'Rest Universe'!A59</f>
        <v/>
      </c>
      <c r="B58" s="22">
        <f>IFERROR(_xll.BDP(A58,"NAME"),"")</f>
        <v/>
      </c>
      <c r="C58" s="22">
        <f t="array" ref="C58">_xll.BDS(A58, "EQUITY_OFFERINGS", "sortdesc=3", "endrow=1")</f>
        <v/>
      </c>
      <c r="D58" s="16" t="n"/>
      <c r="E58" s="16" t="n"/>
      <c r="F58" s="16" t="n"/>
      <c r="G58" s="16" t="n"/>
      <c r="H58" s="16" t="n"/>
      <c r="I58" s="16">
        <f>IF(ISNUMBER(E58),IF(E58&gt;=Settings!$B$5,"Y","N"),"")</f>
        <v/>
      </c>
      <c r="J58" s="16">
        <f>IF(I58="Y","RECENT OFFERING/SPLIT/RIGHTS","")</f>
        <v/>
      </c>
    </row>
    <row r="59">
      <c r="A59" s="16">
        <f>'Rest Universe'!A60</f>
        <v/>
      </c>
      <c r="B59" s="22">
        <f>IFERROR(_xll.BDP(A59,"NAME"),"")</f>
        <v/>
      </c>
      <c r="C59" s="22">
        <f t="array" ref="C59">_xll.BDS(A59, "EQUITY_OFFERINGS", "sortdesc=3", "endrow=1")</f>
        <v/>
      </c>
      <c r="D59" s="16" t="n"/>
      <c r="E59" s="16" t="n"/>
      <c r="F59" s="16" t="n"/>
      <c r="G59" s="16" t="n"/>
      <c r="H59" s="16" t="n"/>
      <c r="I59" s="16">
        <f>IF(ISNUMBER(E59),IF(E59&gt;=Settings!$B$5,"Y","N"),"")</f>
        <v/>
      </c>
      <c r="J59" s="16">
        <f>IF(I59="Y","RECENT OFFERING/SPLIT/RIGHTS","")</f>
        <v/>
      </c>
    </row>
    <row r="60">
      <c r="A60" s="16">
        <f>'Rest Universe'!A61</f>
        <v/>
      </c>
      <c r="B60" s="22">
        <f>IFERROR(_xll.BDP(A60,"NAME"),"")</f>
        <v/>
      </c>
      <c r="C60" s="22">
        <f t="array" ref="C60">_xll.BDS(A60, "EQUITY_OFFERINGS", "sortdesc=3", "endrow=1")</f>
        <v/>
      </c>
      <c r="D60" s="16" t="n"/>
      <c r="E60" s="16" t="n"/>
      <c r="F60" s="16" t="n"/>
      <c r="G60" s="16" t="n"/>
      <c r="H60" s="16" t="n"/>
      <c r="I60" s="16">
        <f>IF(ISNUMBER(E60),IF(E60&gt;=Settings!$B$5,"Y","N"),"")</f>
        <v/>
      </c>
      <c r="J60" s="16">
        <f>IF(I60="Y","RECENT OFFERING/SPLIT/RIGHTS","")</f>
        <v/>
      </c>
    </row>
    <row r="61">
      <c r="A61" s="16">
        <f>'Rest Universe'!A62</f>
        <v/>
      </c>
      <c r="B61" s="22">
        <f>IFERROR(_xll.BDP(A61,"NAME"),"")</f>
        <v/>
      </c>
      <c r="C61" s="22">
        <f t="array" ref="C61">_xll.BDS(A61, "EQUITY_OFFERINGS", "sortdesc=3", "endrow=1")</f>
        <v/>
      </c>
      <c r="D61" s="16" t="n"/>
      <c r="E61" s="16" t="n"/>
      <c r="F61" s="16" t="n"/>
      <c r="G61" s="16" t="n"/>
      <c r="H61" s="16" t="n"/>
      <c r="I61" s="16">
        <f>IF(ISNUMBER(E61),IF(E61&gt;=Settings!$B$5,"Y","N"),"")</f>
        <v/>
      </c>
      <c r="J61" s="16">
        <f>IF(I61="Y","RECENT OFFERING/SPLIT/RIGHTS","")</f>
        <v/>
      </c>
    </row>
    <row r="62">
      <c r="A62" s="16">
        <f>'Rest Universe'!A63</f>
        <v/>
      </c>
      <c r="B62" s="22">
        <f>IFERROR(_xll.BDP(A62,"NAME"),"")</f>
        <v/>
      </c>
      <c r="C62" s="22">
        <f t="array" ref="C62">_xll.BDS(A62, "EQUITY_OFFERINGS", "sortdesc=3", "endrow=1")</f>
        <v/>
      </c>
      <c r="D62" s="16" t="n"/>
      <c r="E62" s="16" t="n"/>
      <c r="F62" s="16" t="n"/>
      <c r="G62" s="16" t="n"/>
      <c r="H62" s="16" t="n"/>
      <c r="I62" s="16">
        <f>IF(ISNUMBER(E62),IF(E62&gt;=Settings!$B$5,"Y","N"),"")</f>
        <v/>
      </c>
      <c r="J62" s="16">
        <f>IF(I62="Y","RECENT OFFERING/SPLIT/RIGHTS","")</f>
        <v/>
      </c>
    </row>
    <row r="63">
      <c r="A63" s="16">
        <f>'Rest Universe'!A64</f>
        <v/>
      </c>
      <c r="B63" s="22">
        <f>IFERROR(_xll.BDP(A63,"NAME"),"")</f>
        <v/>
      </c>
      <c r="C63" s="22">
        <f t="array" ref="C63">_xll.BDS(A63, "EQUITY_OFFERINGS", "sortdesc=3", "endrow=1")</f>
        <v/>
      </c>
      <c r="D63" s="16" t="n"/>
      <c r="E63" s="16" t="n"/>
      <c r="F63" s="16" t="n"/>
      <c r="G63" s="16" t="n"/>
      <c r="H63" s="16" t="n"/>
      <c r="I63" s="16">
        <f>IF(ISNUMBER(E63),IF(E63&gt;=Settings!$B$5,"Y","N"),"")</f>
        <v/>
      </c>
      <c r="J63" s="16">
        <f>IF(I63="Y","RECENT OFFERING/SPLIT/RIGHTS","")</f>
        <v/>
      </c>
    </row>
    <row r="64">
      <c r="A64" s="16">
        <f>'Rest Universe'!A65</f>
        <v/>
      </c>
      <c r="B64" s="22">
        <f>IFERROR(_xll.BDP(A64,"NAME"),"")</f>
        <v/>
      </c>
      <c r="C64" s="22">
        <f t="array" ref="C64">_xll.BDS(A64, "EQUITY_OFFERINGS", "sortdesc=3", "endrow=1")</f>
        <v/>
      </c>
      <c r="D64" s="16" t="n"/>
      <c r="E64" s="16" t="n"/>
      <c r="F64" s="16" t="n"/>
      <c r="G64" s="16" t="n"/>
      <c r="H64" s="16" t="n"/>
      <c r="I64" s="16">
        <f>IF(ISNUMBER(E64),IF(E64&gt;=Settings!$B$5,"Y","N"),"")</f>
        <v/>
      </c>
      <c r="J64" s="16">
        <f>IF(I64="Y","RECENT OFFERING/SPLIT/RIGHTS","")</f>
        <v/>
      </c>
    </row>
    <row r="65">
      <c r="A65" s="16">
        <f>'Rest Universe'!A66</f>
        <v/>
      </c>
      <c r="B65" s="22">
        <f>IFERROR(_xll.BDP(A65,"NAME"),"")</f>
        <v/>
      </c>
      <c r="C65" s="22">
        <f t="array" ref="C65">_xll.BDS(A65, "EQUITY_OFFERINGS", "sortdesc=3", "endrow=1")</f>
        <v/>
      </c>
      <c r="D65" s="16" t="n"/>
      <c r="E65" s="16" t="n"/>
      <c r="F65" s="16" t="n"/>
      <c r="G65" s="16" t="n"/>
      <c r="H65" s="16" t="n"/>
      <c r="I65" s="16">
        <f>IF(ISNUMBER(E65),IF(E65&gt;=Settings!$B$5,"Y","N"),"")</f>
        <v/>
      </c>
      <c r="J65" s="16">
        <f>IF(I65="Y","RECENT OFFERING/SPLIT/RIGHTS","")</f>
        <v/>
      </c>
    </row>
    <row r="66">
      <c r="A66" s="16">
        <f>'Rest Universe'!A67</f>
        <v/>
      </c>
      <c r="B66" s="22">
        <f>IFERROR(_xll.BDP(A66,"NAME"),"")</f>
        <v/>
      </c>
      <c r="C66" s="22">
        <f t="array" ref="C66">_xll.BDS(A66, "EQUITY_OFFERINGS", "sortdesc=3", "endrow=1")</f>
        <v/>
      </c>
      <c r="D66" s="16" t="n"/>
      <c r="E66" s="16" t="n"/>
      <c r="F66" s="16" t="n"/>
      <c r="G66" s="16" t="n"/>
      <c r="H66" s="16" t="n"/>
      <c r="I66" s="16">
        <f>IF(ISNUMBER(E66),IF(E66&gt;=Settings!$B$5,"Y","N"),"")</f>
        <v/>
      </c>
      <c r="J66" s="16">
        <f>IF(I66="Y","RECENT OFFERING/SPLIT/RIGHTS","")</f>
        <v/>
      </c>
    </row>
    <row r="67">
      <c r="A67" s="16">
        <f>'Rest Universe'!A68</f>
        <v/>
      </c>
      <c r="B67" s="22">
        <f>IFERROR(_xll.BDP(A67,"NAME"),"")</f>
        <v/>
      </c>
      <c r="C67" s="22">
        <f t="array" ref="C67">_xll.BDS(A67, "EQUITY_OFFERINGS", "sortdesc=3", "endrow=1")</f>
        <v/>
      </c>
      <c r="D67" s="16" t="n"/>
      <c r="E67" s="16" t="n"/>
      <c r="F67" s="16" t="n"/>
      <c r="G67" s="16" t="n"/>
      <c r="H67" s="16" t="n"/>
      <c r="I67" s="16">
        <f>IF(ISNUMBER(E67),IF(E67&gt;=Settings!$B$5,"Y","N"),"")</f>
        <v/>
      </c>
      <c r="J67" s="16">
        <f>IF(I67="Y","RECENT OFFERING/SPLIT/RIGHTS","")</f>
        <v/>
      </c>
    </row>
    <row r="68">
      <c r="A68" s="16">
        <f>'Rest Universe'!A69</f>
        <v/>
      </c>
      <c r="B68" s="22">
        <f>IFERROR(_xll.BDP(A68,"NAME"),"")</f>
        <v/>
      </c>
      <c r="C68" s="22">
        <f t="array" ref="C68">_xll.BDS(A68, "EQUITY_OFFERINGS", "sortdesc=3", "endrow=1")</f>
        <v/>
      </c>
      <c r="D68" s="16" t="n"/>
      <c r="E68" s="16" t="n"/>
      <c r="F68" s="16" t="n"/>
      <c r="G68" s="16" t="n"/>
      <c r="H68" s="16" t="n"/>
      <c r="I68" s="16">
        <f>IF(ISNUMBER(E68),IF(E68&gt;=Settings!$B$5,"Y","N"),"")</f>
        <v/>
      </c>
      <c r="J68" s="16">
        <f>IF(I68="Y","RECENT OFFERING/SPLIT/RIGHTS","")</f>
        <v/>
      </c>
    </row>
    <row r="69">
      <c r="A69" s="16">
        <f>'Rest Universe'!A70</f>
        <v/>
      </c>
      <c r="B69" s="22">
        <f>IFERROR(_xll.BDP(A69,"NAME"),"")</f>
        <v/>
      </c>
      <c r="C69" s="22">
        <f t="array" ref="C69">_xll.BDS(A69, "EQUITY_OFFERINGS", "sortdesc=3", "endrow=1")</f>
        <v/>
      </c>
      <c r="D69" s="16" t="n"/>
      <c r="E69" s="16" t="n"/>
      <c r="F69" s="16" t="n"/>
      <c r="G69" s="16" t="n"/>
      <c r="H69" s="16" t="n"/>
      <c r="I69" s="16">
        <f>IF(ISNUMBER(E69),IF(E69&gt;=Settings!$B$5,"Y","N"),"")</f>
        <v/>
      </c>
      <c r="J69" s="16">
        <f>IF(I69="Y","RECENT OFFERING/SPLIT/RIGHTS","")</f>
        <v/>
      </c>
    </row>
    <row r="70">
      <c r="A70" s="16">
        <f>'Rest Universe'!A71</f>
        <v/>
      </c>
      <c r="B70" s="22">
        <f>IFERROR(_xll.BDP(A70,"NAME"),"")</f>
        <v/>
      </c>
      <c r="C70" s="22">
        <f t="array" ref="C70">_xll.BDS(A70, "EQUITY_OFFERINGS", "sortdesc=3", "endrow=1")</f>
        <v/>
      </c>
      <c r="D70" s="16" t="n"/>
      <c r="E70" s="16" t="n"/>
      <c r="F70" s="16" t="n"/>
      <c r="G70" s="16" t="n"/>
      <c r="H70" s="16" t="n"/>
      <c r="I70" s="16">
        <f>IF(ISNUMBER(E70),IF(E70&gt;=Settings!$B$5,"Y","N"),"")</f>
        <v/>
      </c>
      <c r="J70" s="16">
        <f>IF(I70="Y","RECENT OFFERING/SPLIT/RIGHTS","")</f>
        <v/>
      </c>
    </row>
    <row r="71">
      <c r="A71" s="16">
        <f>'Rest Universe'!A72</f>
        <v/>
      </c>
      <c r="B71" s="22">
        <f>IFERROR(_xll.BDP(A71,"NAME"),"")</f>
        <v/>
      </c>
      <c r="C71" s="22">
        <f t="array" ref="C71">_xll.BDS(A71, "EQUITY_OFFERINGS", "sortdesc=3", "endrow=1")</f>
        <v/>
      </c>
      <c r="D71" s="16" t="n"/>
      <c r="E71" s="16" t="n"/>
      <c r="F71" s="16" t="n"/>
      <c r="G71" s="16" t="n"/>
      <c r="H71" s="16" t="n"/>
      <c r="I71" s="16">
        <f>IF(ISNUMBER(E71),IF(E71&gt;=Settings!$B$5,"Y","N"),"")</f>
        <v/>
      </c>
      <c r="J71" s="16">
        <f>IF(I71="Y","RECENT OFFERING/SPLIT/RIGHTS","")</f>
        <v/>
      </c>
    </row>
    <row r="72">
      <c r="A72" s="16">
        <f>'Rest Universe'!A73</f>
        <v/>
      </c>
      <c r="B72" s="22">
        <f>IFERROR(_xll.BDP(A72,"NAME"),"")</f>
        <v/>
      </c>
      <c r="C72" s="22">
        <f t="array" ref="C72">_xll.BDS(A72, "EQUITY_OFFERINGS", "sortdesc=3", "endrow=1")</f>
        <v/>
      </c>
      <c r="D72" s="16" t="n"/>
      <c r="E72" s="16" t="n"/>
      <c r="F72" s="16" t="n"/>
      <c r="G72" s="16" t="n"/>
      <c r="H72" s="16" t="n"/>
      <c r="I72" s="16">
        <f>IF(ISNUMBER(E72),IF(E72&gt;=Settings!$B$5,"Y","N"),"")</f>
        <v/>
      </c>
      <c r="J72" s="16">
        <f>IF(I72="Y","RECENT OFFERING/SPLIT/RIGHTS","")</f>
        <v/>
      </c>
    </row>
    <row r="73">
      <c r="A73" s="16">
        <f>'Rest Universe'!A74</f>
        <v/>
      </c>
      <c r="B73" s="22">
        <f>IFERROR(_xll.BDP(A73,"NAME"),"")</f>
        <v/>
      </c>
      <c r="C73" s="22">
        <f t="array" ref="C73">_xll.BDS(A73, "EQUITY_OFFERINGS", "sortdesc=3", "endrow=1")</f>
        <v/>
      </c>
      <c r="D73" s="16" t="n"/>
      <c r="E73" s="16" t="n"/>
      <c r="F73" s="16" t="n"/>
      <c r="G73" s="16" t="n"/>
      <c r="H73" s="16" t="n"/>
      <c r="I73" s="16">
        <f>IF(ISNUMBER(E73),IF(E73&gt;=Settings!$B$5,"Y","N"),"")</f>
        <v/>
      </c>
      <c r="J73" s="16">
        <f>IF(I73="Y","RECENT OFFERING/SPLIT/RIGHTS","")</f>
        <v/>
      </c>
    </row>
    <row r="74">
      <c r="A74" s="16">
        <f>'Rest Universe'!A75</f>
        <v/>
      </c>
      <c r="B74" s="22">
        <f>IFERROR(_xll.BDP(A74,"NAME"),"")</f>
        <v/>
      </c>
      <c r="C74" s="22">
        <f t="array" ref="C74">_xll.BDS(A74, "EQUITY_OFFERINGS", "sortdesc=3", "endrow=1")</f>
        <v/>
      </c>
      <c r="D74" s="16" t="n"/>
      <c r="E74" s="16" t="n"/>
      <c r="F74" s="16" t="n"/>
      <c r="G74" s="16" t="n"/>
      <c r="H74" s="16" t="n"/>
      <c r="I74" s="16">
        <f>IF(ISNUMBER(E74),IF(E74&gt;=Settings!$B$5,"Y","N"),"")</f>
        <v/>
      </c>
      <c r="J74" s="16">
        <f>IF(I74="Y","RECENT OFFERING/SPLIT/RIGHTS","")</f>
        <v/>
      </c>
    </row>
    <row r="75">
      <c r="A75" s="16">
        <f>'Rest Universe'!A76</f>
        <v/>
      </c>
      <c r="B75" s="22">
        <f>IFERROR(_xll.BDP(A75,"NAME"),"")</f>
        <v/>
      </c>
      <c r="C75" s="22">
        <f t="array" ref="C75">_xll.BDS(A75, "EQUITY_OFFERINGS", "sortdesc=3", "endrow=1")</f>
        <v/>
      </c>
      <c r="D75" s="16" t="n"/>
      <c r="E75" s="16" t="n"/>
      <c r="F75" s="16" t="n"/>
      <c r="G75" s="16" t="n"/>
      <c r="H75" s="16" t="n"/>
      <c r="I75" s="16">
        <f>IF(ISNUMBER(E75),IF(E75&gt;=Settings!$B$5,"Y","N"),"")</f>
        <v/>
      </c>
      <c r="J75" s="16">
        <f>IF(I75="Y","RECENT OFFERING/SPLIT/RIGHTS","")</f>
        <v/>
      </c>
    </row>
    <row r="76">
      <c r="A76" s="16">
        <f>'Rest Universe'!A77</f>
        <v/>
      </c>
      <c r="B76" s="22">
        <f>IFERROR(_xll.BDP(A76,"NAME"),"")</f>
        <v/>
      </c>
      <c r="C76" s="22">
        <f t="array" ref="C76">_xll.BDS(A76, "EQUITY_OFFERINGS", "sortdesc=3", "endrow=1")</f>
        <v/>
      </c>
      <c r="D76" s="16" t="n"/>
      <c r="E76" s="16" t="n"/>
      <c r="F76" s="16" t="n"/>
      <c r="G76" s="16" t="n"/>
      <c r="H76" s="16" t="n"/>
      <c r="I76" s="16">
        <f>IF(ISNUMBER(E76),IF(E76&gt;=Settings!$B$5,"Y","N"),"")</f>
        <v/>
      </c>
      <c r="J76" s="16">
        <f>IF(I76="Y","RECENT OFFERING/SPLIT/RIGHTS","")</f>
        <v/>
      </c>
    </row>
    <row r="77">
      <c r="A77" s="16">
        <f>'Rest Universe'!A78</f>
        <v/>
      </c>
      <c r="B77" s="22">
        <f>IFERROR(_xll.BDP(A77,"NAME"),"")</f>
        <v/>
      </c>
      <c r="C77" s="22">
        <f t="array" ref="C77">_xll.BDS(A77, "EQUITY_OFFERINGS", "sortdesc=3", "endrow=1")</f>
        <v/>
      </c>
      <c r="D77" s="16" t="n"/>
      <c r="E77" s="16" t="n"/>
      <c r="F77" s="16" t="n"/>
      <c r="G77" s="16" t="n"/>
      <c r="H77" s="16" t="n"/>
      <c r="I77" s="16">
        <f>IF(ISNUMBER(E77),IF(E77&gt;=Settings!$B$5,"Y","N"),"")</f>
        <v/>
      </c>
      <c r="J77" s="16">
        <f>IF(I77="Y","RECENT OFFERING/SPLIT/RIGHTS","")</f>
        <v/>
      </c>
    </row>
    <row r="78">
      <c r="A78" s="16">
        <f>'Rest Universe'!A79</f>
        <v/>
      </c>
      <c r="B78" s="22">
        <f>IFERROR(_xll.BDP(A78,"NAME"),"")</f>
        <v/>
      </c>
      <c r="C78" s="22">
        <f t="array" ref="C78">_xll.BDS(A78, "EQUITY_OFFERINGS", "sortdesc=3", "endrow=1")</f>
        <v/>
      </c>
      <c r="D78" s="16" t="n"/>
      <c r="E78" s="16" t="n"/>
      <c r="F78" s="16" t="n"/>
      <c r="G78" s="16" t="n"/>
      <c r="H78" s="16" t="n"/>
      <c r="I78" s="16">
        <f>IF(ISNUMBER(E78),IF(E78&gt;=Settings!$B$5,"Y","N"),"")</f>
        <v/>
      </c>
      <c r="J78" s="16">
        <f>IF(I78="Y","RECENT OFFERING/SPLIT/RIGHTS","")</f>
        <v/>
      </c>
    </row>
    <row r="79">
      <c r="A79" s="16">
        <f>'Rest Universe'!A80</f>
        <v/>
      </c>
      <c r="B79" s="22">
        <f>IFERROR(_xll.BDP(A79,"NAME"),"")</f>
        <v/>
      </c>
      <c r="C79" s="22">
        <f t="array" ref="C79">_xll.BDS(A79, "EQUITY_OFFERINGS", "sortdesc=3", "endrow=1")</f>
        <v/>
      </c>
      <c r="D79" s="16" t="n"/>
      <c r="E79" s="16" t="n"/>
      <c r="F79" s="16" t="n"/>
      <c r="G79" s="16" t="n"/>
      <c r="H79" s="16" t="n"/>
      <c r="I79" s="16">
        <f>IF(ISNUMBER(E79),IF(E79&gt;=Settings!$B$5,"Y","N"),"")</f>
        <v/>
      </c>
      <c r="J79" s="16">
        <f>IF(I79="Y","RECENT OFFERING/SPLIT/RIGHTS","")</f>
        <v/>
      </c>
    </row>
    <row r="80">
      <c r="A80" s="16">
        <f>'Rest Universe'!A81</f>
        <v/>
      </c>
      <c r="B80" s="22">
        <f>IFERROR(_xll.BDP(A80,"NAME"),"")</f>
        <v/>
      </c>
      <c r="C80" s="22">
        <f t="array" ref="C80">_xll.BDS(A80, "EQUITY_OFFERINGS", "sortdesc=3", "endrow=1")</f>
        <v/>
      </c>
      <c r="D80" s="16" t="n"/>
      <c r="E80" s="16" t="n"/>
      <c r="F80" s="16" t="n"/>
      <c r="G80" s="16" t="n"/>
      <c r="H80" s="16" t="n"/>
      <c r="I80" s="16">
        <f>IF(ISNUMBER(E80),IF(E80&gt;=Settings!$B$5,"Y","N"),"")</f>
        <v/>
      </c>
      <c r="J80" s="16">
        <f>IF(I80="Y","RECENT OFFERING/SPLIT/RIGHTS","")</f>
        <v/>
      </c>
    </row>
    <row r="81">
      <c r="A81" s="16">
        <f>'Rest Universe'!A82</f>
        <v/>
      </c>
      <c r="B81" s="22">
        <f>IFERROR(_xll.BDP(A81,"NAME"),"")</f>
        <v/>
      </c>
      <c r="C81" s="22">
        <f t="array" ref="C81">_xll.BDS(A81, "EQUITY_OFFERINGS", "sortdesc=3", "endrow=1")</f>
        <v/>
      </c>
      <c r="D81" s="16" t="n"/>
      <c r="E81" s="16" t="n"/>
      <c r="F81" s="16" t="n"/>
      <c r="G81" s="16" t="n"/>
      <c r="H81" s="16" t="n"/>
      <c r="I81" s="16">
        <f>IF(ISNUMBER(E81),IF(E81&gt;=Settings!$B$5,"Y","N"),"")</f>
        <v/>
      </c>
      <c r="J81" s="16">
        <f>IF(I81="Y","RECENT OFFERING/SPLIT/RIGHTS","")</f>
        <v/>
      </c>
    </row>
    <row r="82">
      <c r="A82" s="16">
        <f>'Rest Universe'!A83</f>
        <v/>
      </c>
      <c r="B82" s="22">
        <f>IFERROR(_xll.BDP(A82,"NAME"),"")</f>
        <v/>
      </c>
      <c r="C82" s="22">
        <f t="array" ref="C82">_xll.BDS(A82, "EQUITY_OFFERINGS", "sortdesc=3", "endrow=1")</f>
        <v/>
      </c>
      <c r="D82" s="16" t="n"/>
      <c r="E82" s="16" t="n"/>
      <c r="F82" s="16" t="n"/>
      <c r="G82" s="16" t="n"/>
      <c r="H82" s="16" t="n"/>
      <c r="I82" s="16">
        <f>IF(ISNUMBER(E82),IF(E82&gt;=Settings!$B$5,"Y","N"),"")</f>
        <v/>
      </c>
      <c r="J82" s="16">
        <f>IF(I82="Y","RECENT OFFERING/SPLIT/RIGHTS","")</f>
        <v/>
      </c>
    </row>
    <row r="83">
      <c r="A83" s="16">
        <f>'Rest Universe'!A84</f>
        <v/>
      </c>
      <c r="B83" s="22">
        <f>IFERROR(_xll.BDP(A83,"NAME"),"")</f>
        <v/>
      </c>
      <c r="C83" s="22">
        <f t="array" ref="C83">_xll.BDS(A83, "EQUITY_OFFERINGS", "sortdesc=3", "endrow=1")</f>
        <v/>
      </c>
      <c r="D83" s="16" t="n"/>
      <c r="E83" s="16" t="n"/>
      <c r="F83" s="16" t="n"/>
      <c r="G83" s="16" t="n"/>
      <c r="H83" s="16" t="n"/>
      <c r="I83" s="16">
        <f>IF(ISNUMBER(E83),IF(E83&gt;=Settings!$B$5,"Y","N"),"")</f>
        <v/>
      </c>
      <c r="J83" s="16">
        <f>IF(I83="Y","RECENT OFFERING/SPLIT/RIGHTS","")</f>
        <v/>
      </c>
    </row>
    <row r="84">
      <c r="A84" s="16">
        <f>'Rest Universe'!A85</f>
        <v/>
      </c>
      <c r="B84" s="22">
        <f>IFERROR(_xll.BDP(A84,"NAME"),"")</f>
        <v/>
      </c>
      <c r="C84" s="22">
        <f t="array" ref="C84">_xll.BDS(A84, "EQUITY_OFFERINGS", "sortdesc=3", "endrow=1")</f>
        <v/>
      </c>
      <c r="D84" s="16" t="n"/>
      <c r="E84" s="16" t="n"/>
      <c r="F84" s="16" t="n"/>
      <c r="G84" s="16" t="n"/>
      <c r="H84" s="16" t="n"/>
      <c r="I84" s="16">
        <f>IF(ISNUMBER(E84),IF(E84&gt;=Settings!$B$5,"Y","N"),"")</f>
        <v/>
      </c>
      <c r="J84" s="16">
        <f>IF(I84="Y","RECENT OFFERING/SPLIT/RIGHTS","")</f>
        <v/>
      </c>
    </row>
    <row r="85">
      <c r="A85" s="16">
        <f>'Rest Universe'!A86</f>
        <v/>
      </c>
      <c r="B85" s="22">
        <f>IFERROR(_xll.BDP(A85,"NAME"),"")</f>
        <v/>
      </c>
      <c r="C85" s="22">
        <f t="array" ref="C85">_xll.BDS(A85, "EQUITY_OFFERINGS", "sortdesc=3", "endrow=1")</f>
        <v/>
      </c>
      <c r="D85" s="16" t="n"/>
      <c r="E85" s="16" t="n"/>
      <c r="F85" s="16" t="n"/>
      <c r="G85" s="16" t="n"/>
      <c r="H85" s="16" t="n"/>
      <c r="I85" s="16">
        <f>IF(ISNUMBER(E85),IF(E85&gt;=Settings!$B$5,"Y","N"),"")</f>
        <v/>
      </c>
      <c r="J85" s="16">
        <f>IF(I85="Y","RECENT OFFERING/SPLIT/RIGHTS","")</f>
        <v/>
      </c>
    </row>
    <row r="86">
      <c r="A86" s="16">
        <f>'Rest Universe'!A87</f>
        <v/>
      </c>
      <c r="B86" s="22">
        <f>IFERROR(_xll.BDP(A86,"NAME"),"")</f>
        <v/>
      </c>
      <c r="C86" s="22">
        <f t="array" ref="C86">_xll.BDS(A86, "EQUITY_OFFERINGS", "sortdesc=3", "endrow=1")</f>
        <v/>
      </c>
      <c r="D86" s="16" t="n"/>
      <c r="E86" s="16" t="n"/>
      <c r="F86" s="16" t="n"/>
      <c r="G86" s="16" t="n"/>
      <c r="H86" s="16" t="n"/>
      <c r="I86" s="16">
        <f>IF(ISNUMBER(E86),IF(E86&gt;=Settings!$B$5,"Y","N"),"")</f>
        <v/>
      </c>
      <c r="J86" s="16">
        <f>IF(I86="Y","RECENT OFFERING/SPLIT/RIGHTS","")</f>
        <v/>
      </c>
    </row>
    <row r="87">
      <c r="A87" s="16">
        <f>'Rest Universe'!A88</f>
        <v/>
      </c>
      <c r="B87" s="22">
        <f>IFERROR(_xll.BDP(A87,"NAME"),"")</f>
        <v/>
      </c>
      <c r="C87" s="22">
        <f t="array" ref="C87">_xll.BDS(A87, "EQUITY_OFFERINGS", "sortdesc=3", "endrow=1")</f>
        <v/>
      </c>
      <c r="D87" s="16" t="n"/>
      <c r="E87" s="16" t="n"/>
      <c r="F87" s="16" t="n"/>
      <c r="G87" s="16" t="n"/>
      <c r="H87" s="16" t="n"/>
      <c r="I87" s="16">
        <f>IF(ISNUMBER(E87),IF(E87&gt;=Settings!$B$5,"Y","N"),"")</f>
        <v/>
      </c>
      <c r="J87" s="16">
        <f>IF(I87="Y","RECENT OFFERING/SPLIT/RIGHTS","")</f>
        <v/>
      </c>
    </row>
    <row r="88">
      <c r="A88" s="16">
        <f>'Rest Universe'!A89</f>
        <v/>
      </c>
      <c r="B88" s="22">
        <f>IFERROR(_xll.BDP(A88,"NAME"),"")</f>
        <v/>
      </c>
      <c r="C88" s="22">
        <f t="array" ref="C88">_xll.BDS(A88, "EQUITY_OFFERINGS", "sortdesc=3", "endrow=1")</f>
        <v/>
      </c>
      <c r="D88" s="16" t="n"/>
      <c r="E88" s="16" t="n"/>
      <c r="F88" s="16" t="n"/>
      <c r="G88" s="16" t="n"/>
      <c r="H88" s="16" t="n"/>
      <c r="I88" s="16">
        <f>IF(ISNUMBER(E88),IF(E88&gt;=Settings!$B$5,"Y","N"),"")</f>
        <v/>
      </c>
      <c r="J88" s="16">
        <f>IF(I88="Y","RECENT OFFERING/SPLIT/RIGHTS","")</f>
        <v/>
      </c>
    </row>
    <row r="89">
      <c r="A89" s="16">
        <f>'Rest Universe'!A90</f>
        <v/>
      </c>
      <c r="B89" s="22">
        <f>IFERROR(_xll.BDP(A89,"NAME"),"")</f>
        <v/>
      </c>
      <c r="C89" s="22">
        <f t="array" ref="C89">_xll.BDS(A89, "EQUITY_OFFERINGS", "sortdesc=3", "endrow=1")</f>
        <v/>
      </c>
      <c r="D89" s="16" t="n"/>
      <c r="E89" s="16" t="n"/>
      <c r="F89" s="16" t="n"/>
      <c r="G89" s="16" t="n"/>
      <c r="H89" s="16" t="n"/>
      <c r="I89" s="16">
        <f>IF(ISNUMBER(E89),IF(E89&gt;=Settings!$B$5,"Y","N"),"")</f>
        <v/>
      </c>
      <c r="J89" s="16">
        <f>IF(I89="Y","RECENT OFFERING/SPLIT/RIGHTS","")</f>
        <v/>
      </c>
    </row>
    <row r="90">
      <c r="A90" s="16">
        <f>'Rest Universe'!A91</f>
        <v/>
      </c>
      <c r="B90" s="22">
        <f>IFERROR(_xll.BDP(A90,"NAME"),"")</f>
        <v/>
      </c>
      <c r="C90" s="22">
        <f t="array" ref="C90">_xll.BDS(A90, "EQUITY_OFFERINGS", "sortdesc=3", "endrow=1")</f>
        <v/>
      </c>
      <c r="D90" s="16" t="n"/>
      <c r="E90" s="16" t="n"/>
      <c r="F90" s="16" t="n"/>
      <c r="G90" s="16" t="n"/>
      <c r="H90" s="16" t="n"/>
      <c r="I90" s="16">
        <f>IF(ISNUMBER(E90),IF(E90&gt;=Settings!$B$5,"Y","N"),"")</f>
        <v/>
      </c>
      <c r="J90" s="16">
        <f>IF(I90="Y","RECENT OFFERING/SPLIT/RIGHTS","")</f>
        <v/>
      </c>
    </row>
    <row r="91">
      <c r="A91" s="16">
        <f>'Rest Universe'!A92</f>
        <v/>
      </c>
      <c r="B91" s="22">
        <f>IFERROR(_xll.BDP(A91,"NAME"),"")</f>
        <v/>
      </c>
      <c r="C91" s="22">
        <f t="array" ref="C91">_xll.BDS(A91, "EQUITY_OFFERINGS", "sortdesc=3", "endrow=1")</f>
        <v/>
      </c>
      <c r="D91" s="16" t="n"/>
      <c r="E91" s="16" t="n"/>
      <c r="F91" s="16" t="n"/>
      <c r="G91" s="16" t="n"/>
      <c r="H91" s="16" t="n"/>
      <c r="I91" s="16">
        <f>IF(ISNUMBER(E91),IF(E91&gt;=Settings!$B$5,"Y","N"),"")</f>
        <v/>
      </c>
      <c r="J91" s="16">
        <f>IF(I91="Y","RECENT OFFERING/SPLIT/RIGHTS","")</f>
        <v/>
      </c>
    </row>
    <row r="92">
      <c r="A92" s="16">
        <f>'Rest Universe'!A93</f>
        <v/>
      </c>
      <c r="B92" s="22">
        <f>IFERROR(_xll.BDP(A92,"NAME"),"")</f>
        <v/>
      </c>
      <c r="C92" s="22">
        <f t="array" ref="C92">_xll.BDS(A92, "EQUITY_OFFERINGS", "sortdesc=3", "endrow=1")</f>
        <v/>
      </c>
      <c r="D92" s="16" t="n"/>
      <c r="E92" s="16" t="n"/>
      <c r="F92" s="16" t="n"/>
      <c r="G92" s="16" t="n"/>
      <c r="H92" s="16" t="n"/>
      <c r="I92" s="16">
        <f>IF(ISNUMBER(E92),IF(E92&gt;=Settings!$B$5,"Y","N"),"")</f>
        <v/>
      </c>
      <c r="J92" s="16">
        <f>IF(I92="Y","RECENT OFFERING/SPLIT/RIGHTS","")</f>
        <v/>
      </c>
    </row>
    <row r="93">
      <c r="A93" s="16">
        <f>'Rest Universe'!A94</f>
        <v/>
      </c>
      <c r="B93" s="22">
        <f>IFERROR(_xll.BDP(A93,"NAME"),"")</f>
        <v/>
      </c>
      <c r="C93" s="22">
        <f t="array" ref="C93">_xll.BDS(A93, "EQUITY_OFFERINGS", "sortdesc=3", "endrow=1")</f>
        <v/>
      </c>
      <c r="D93" s="16" t="n"/>
      <c r="E93" s="16" t="n"/>
      <c r="F93" s="16" t="n"/>
      <c r="G93" s="16" t="n"/>
      <c r="H93" s="16" t="n"/>
      <c r="I93" s="16">
        <f>IF(ISNUMBER(E93),IF(E93&gt;=Settings!$B$5,"Y","N"),"")</f>
        <v/>
      </c>
      <c r="J93" s="16">
        <f>IF(I93="Y","RECENT OFFERING/SPLIT/RIGHTS","")</f>
        <v/>
      </c>
    </row>
    <row r="94">
      <c r="A94" s="16">
        <f>'Rest Universe'!A95</f>
        <v/>
      </c>
      <c r="B94" s="22">
        <f>IFERROR(_xll.BDP(A94,"NAME"),"")</f>
        <v/>
      </c>
      <c r="C94" s="22">
        <f t="array" ref="C94">_xll.BDS(A94, "EQUITY_OFFERINGS", "sortdesc=3", "endrow=1")</f>
        <v/>
      </c>
      <c r="D94" s="16" t="n"/>
      <c r="E94" s="16" t="n"/>
      <c r="F94" s="16" t="n"/>
      <c r="G94" s="16" t="n"/>
      <c r="H94" s="16" t="n"/>
      <c r="I94" s="16">
        <f>IF(ISNUMBER(E94),IF(E94&gt;=Settings!$B$5,"Y","N"),"")</f>
        <v/>
      </c>
      <c r="J94" s="16">
        <f>IF(I94="Y","RECENT OFFERING/SPLIT/RIGHTS","")</f>
        <v/>
      </c>
    </row>
    <row r="95">
      <c r="A95" s="16">
        <f>'Rest Universe'!A96</f>
        <v/>
      </c>
      <c r="B95" s="22">
        <f>IFERROR(_xll.BDP(A95,"NAME"),"")</f>
        <v/>
      </c>
      <c r="C95" s="22">
        <f t="array" ref="C95">_xll.BDS(A95, "EQUITY_OFFERINGS", "sortdesc=3", "endrow=1")</f>
        <v/>
      </c>
      <c r="D95" s="16" t="n"/>
      <c r="E95" s="16" t="n"/>
      <c r="F95" s="16" t="n"/>
      <c r="G95" s="16" t="n"/>
      <c r="H95" s="16" t="n"/>
      <c r="I95" s="16">
        <f>IF(ISNUMBER(E95),IF(E95&gt;=Settings!$B$5,"Y","N"),"")</f>
        <v/>
      </c>
      <c r="J95" s="16">
        <f>IF(I95="Y","RECENT OFFERING/SPLIT/RIGHTS","")</f>
        <v/>
      </c>
    </row>
    <row r="96">
      <c r="A96" s="16">
        <f>'Rest Universe'!A97</f>
        <v/>
      </c>
      <c r="B96" s="22">
        <f>IFERROR(_xll.BDP(A96,"NAME"),"")</f>
        <v/>
      </c>
      <c r="C96" s="22">
        <f t="array" ref="C96">_xll.BDS(A96, "EQUITY_OFFERINGS", "sortdesc=3", "endrow=1")</f>
        <v/>
      </c>
      <c r="D96" s="16" t="n"/>
      <c r="E96" s="16" t="n"/>
      <c r="F96" s="16" t="n"/>
      <c r="G96" s="16" t="n"/>
      <c r="H96" s="16" t="n"/>
      <c r="I96" s="16">
        <f>IF(ISNUMBER(E96),IF(E96&gt;=Settings!$B$5,"Y","N"),"")</f>
        <v/>
      </c>
      <c r="J96" s="16">
        <f>IF(I96="Y","RECENT OFFERING/SPLIT/RIGHTS","")</f>
        <v/>
      </c>
    </row>
    <row r="97">
      <c r="A97" s="16">
        <f>'Rest Universe'!A98</f>
        <v/>
      </c>
      <c r="B97" s="22">
        <f>IFERROR(_xll.BDP(A97,"NAME"),"")</f>
        <v/>
      </c>
      <c r="C97" s="22">
        <f t="array" ref="C97">_xll.BDS(A97, "EQUITY_OFFERINGS", "sortdesc=3", "endrow=1")</f>
        <v/>
      </c>
      <c r="D97" s="16" t="n"/>
      <c r="E97" s="16" t="n"/>
      <c r="F97" s="16" t="n"/>
      <c r="G97" s="16" t="n"/>
      <c r="H97" s="16" t="n"/>
      <c r="I97" s="16">
        <f>IF(ISNUMBER(E97),IF(E97&gt;=Settings!$B$5,"Y","N"),"")</f>
        <v/>
      </c>
      <c r="J97" s="16">
        <f>IF(I97="Y","RECENT OFFERING/SPLIT/RIGHTS","")</f>
        <v/>
      </c>
    </row>
    <row r="98">
      <c r="A98" s="16">
        <f>'Rest Universe'!A99</f>
        <v/>
      </c>
      <c r="B98" s="22">
        <f>IFERROR(_xll.BDP(A98,"NAME"),"")</f>
        <v/>
      </c>
      <c r="C98" s="22">
        <f t="array" ref="C98">_xll.BDS(A98, "EQUITY_OFFERINGS", "sortdesc=3", "endrow=1")</f>
        <v/>
      </c>
      <c r="D98" s="16" t="n"/>
      <c r="E98" s="16" t="n"/>
      <c r="F98" s="16" t="n"/>
      <c r="G98" s="16" t="n"/>
      <c r="H98" s="16" t="n"/>
      <c r="I98" s="16">
        <f>IF(ISNUMBER(E98),IF(E98&gt;=Settings!$B$5,"Y","N"),"")</f>
        <v/>
      </c>
      <c r="J98" s="16">
        <f>IF(I98="Y","RECENT OFFERING/SPLIT/RIGHTS","")</f>
        <v/>
      </c>
    </row>
    <row r="99">
      <c r="A99" s="16">
        <f>'Rest Universe'!A100</f>
        <v/>
      </c>
      <c r="B99" s="22">
        <f>IFERROR(_xll.BDP(A99,"NAME"),"")</f>
        <v/>
      </c>
      <c r="C99" s="22">
        <f t="array" ref="C99">_xll.BDS(A99, "EQUITY_OFFERINGS", "sortdesc=3", "endrow=1")</f>
        <v/>
      </c>
      <c r="D99" s="16" t="n"/>
      <c r="E99" s="16" t="n"/>
      <c r="F99" s="16" t="n"/>
      <c r="G99" s="16" t="n"/>
      <c r="H99" s="16" t="n"/>
      <c r="I99" s="16">
        <f>IF(ISNUMBER(E99),IF(E99&gt;=Settings!$B$5,"Y","N"),"")</f>
        <v/>
      </c>
      <c r="J99" s="16">
        <f>IF(I99="Y","RECENT OFFERING/SPLIT/RIGHTS","")</f>
        <v/>
      </c>
    </row>
    <row r="100">
      <c r="A100" s="16">
        <f>'Rest Universe'!A101</f>
        <v/>
      </c>
      <c r="B100" s="22">
        <f>IFERROR(_xll.BDP(A100,"NAME"),"")</f>
        <v/>
      </c>
      <c r="C100" s="22">
        <f t="array" ref="C100">_xll.BDS(A100, "EQUITY_OFFERINGS", "sortdesc=3", "endrow=1")</f>
        <v/>
      </c>
      <c r="D100" s="16" t="n"/>
      <c r="E100" s="16" t="n"/>
      <c r="F100" s="16" t="n"/>
      <c r="G100" s="16" t="n"/>
      <c r="H100" s="16" t="n"/>
      <c r="I100" s="16">
        <f>IF(ISNUMBER(E100),IF(E100&gt;=Settings!$B$5,"Y","N"),"")</f>
        <v/>
      </c>
      <c r="J100" s="16">
        <f>IF(I100="Y","RECENT OFFERING/SPLIT/RIGHTS","")</f>
        <v/>
      </c>
    </row>
    <row r="101">
      <c r="A101" s="16">
        <f>'Rest Universe'!A102</f>
        <v/>
      </c>
      <c r="B101" s="22">
        <f>IFERROR(_xll.BDP(A101,"NAME"),"")</f>
        <v/>
      </c>
      <c r="C101" s="22">
        <f t="array" ref="C101">_xll.BDS(A101, "EQUITY_OFFERINGS", "sortdesc=3", "endrow=1")</f>
        <v/>
      </c>
      <c r="D101" s="16" t="n"/>
      <c r="E101" s="16" t="n"/>
      <c r="F101" s="16" t="n"/>
      <c r="G101" s="16" t="n"/>
      <c r="H101" s="16" t="n"/>
      <c r="I101" s="16">
        <f>IF(ISNUMBER(E101),IF(E101&gt;=Settings!$B$5,"Y","N"),"")</f>
        <v/>
      </c>
      <c r="J101" s="16">
        <f>IF(I101="Y","RECENT OFFERING/SPLIT/RIGHTS","")</f>
        <v/>
      </c>
    </row>
    <row r="102">
      <c r="A102" s="16">
        <f>'Rest Universe'!A103</f>
        <v/>
      </c>
      <c r="B102" s="22">
        <f>IFERROR(_xll.BDP(A102,"NAME"),"")</f>
        <v/>
      </c>
      <c r="C102" s="22">
        <f t="array" ref="C102">_xll.BDS(A102, "EQUITY_OFFERINGS", "sortdesc=3", "endrow=1")</f>
        <v/>
      </c>
      <c r="D102" s="16" t="n"/>
      <c r="E102" s="16" t="n"/>
      <c r="F102" s="16" t="n"/>
      <c r="G102" s="16" t="n"/>
      <c r="H102" s="16" t="n"/>
      <c r="I102" s="16">
        <f>IF(ISNUMBER(E102),IF(E102&gt;=Settings!$B$5,"Y","N"),"")</f>
        <v/>
      </c>
      <c r="J102" s="16">
        <f>IF(I102="Y","RECENT OFFERING/SPLIT/RIGHTS","")</f>
        <v/>
      </c>
    </row>
    <row r="103">
      <c r="A103" s="16">
        <f>'Rest Universe'!A104</f>
        <v/>
      </c>
      <c r="B103" s="22">
        <f>IFERROR(_xll.BDP(A103,"NAME"),"")</f>
        <v/>
      </c>
      <c r="C103" s="22">
        <f t="array" ref="C103">_xll.BDS(A103, "EQUITY_OFFERINGS", "sortdesc=3", "endrow=1")</f>
        <v/>
      </c>
      <c r="D103" s="16" t="n"/>
      <c r="E103" s="16" t="n"/>
      <c r="F103" s="16" t="n"/>
      <c r="G103" s="16" t="n"/>
      <c r="H103" s="16" t="n"/>
      <c r="I103" s="16">
        <f>IF(ISNUMBER(E103),IF(E103&gt;=Settings!$B$5,"Y","N"),"")</f>
        <v/>
      </c>
      <c r="J103" s="16">
        <f>IF(I103="Y","RECENT OFFERING/SPLIT/RIGHTS","")</f>
        <v/>
      </c>
    </row>
    <row r="104">
      <c r="A104" s="16">
        <f>'Rest Universe'!A105</f>
        <v/>
      </c>
      <c r="B104" s="22">
        <f>IFERROR(_xll.BDP(A104,"NAME"),"")</f>
        <v/>
      </c>
      <c r="C104" s="22">
        <f t="array" ref="C104">_xll.BDS(A104, "EQUITY_OFFERINGS", "sortdesc=3", "endrow=1")</f>
        <v/>
      </c>
      <c r="D104" s="16" t="n"/>
      <c r="E104" s="16" t="n"/>
      <c r="F104" s="16" t="n"/>
      <c r="G104" s="16" t="n"/>
      <c r="H104" s="16" t="n"/>
      <c r="I104" s="16">
        <f>IF(ISNUMBER(E104),IF(E104&gt;=Settings!$B$5,"Y","N"),"")</f>
        <v/>
      </c>
      <c r="J104" s="16">
        <f>IF(I104="Y","RECENT OFFERING/SPLIT/RIGHTS","")</f>
        <v/>
      </c>
    </row>
    <row r="105">
      <c r="A105" s="16">
        <f>'Rest Universe'!A106</f>
        <v/>
      </c>
      <c r="B105" s="22">
        <f>IFERROR(_xll.BDP(A105,"NAME"),"")</f>
        <v/>
      </c>
      <c r="C105" s="22">
        <f t="array" ref="C105">_xll.BDS(A105, "EQUITY_OFFERINGS", "sortdesc=3", "endrow=1")</f>
        <v/>
      </c>
      <c r="D105" s="16" t="n"/>
      <c r="E105" s="16" t="n"/>
      <c r="F105" s="16" t="n"/>
      <c r="G105" s="16" t="n"/>
      <c r="H105" s="16" t="n"/>
      <c r="I105" s="16">
        <f>IF(ISNUMBER(E105),IF(E105&gt;=Settings!$B$5,"Y","N"),"")</f>
        <v/>
      </c>
      <c r="J105" s="16">
        <f>IF(I105="Y","RECENT OFFERING/SPLIT/RIGHTS","")</f>
        <v/>
      </c>
    </row>
    <row r="106">
      <c r="A106" s="16">
        <f>'Rest Universe'!A107</f>
        <v/>
      </c>
      <c r="B106" s="22">
        <f>IFERROR(_xll.BDP(A106,"NAME"),"")</f>
        <v/>
      </c>
      <c r="C106" s="22">
        <f t="array" ref="C106">_xll.BDS(A106, "EQUITY_OFFERINGS", "sortdesc=3", "endrow=1")</f>
        <v/>
      </c>
      <c r="D106" s="16" t="n"/>
      <c r="E106" s="16" t="n"/>
      <c r="F106" s="16" t="n"/>
      <c r="G106" s="16" t="n"/>
      <c r="H106" s="16" t="n"/>
      <c r="I106" s="16">
        <f>IF(ISNUMBER(E106),IF(E106&gt;=Settings!$B$5,"Y","N"),"")</f>
        <v/>
      </c>
      <c r="J106" s="16">
        <f>IF(I106="Y","RECENT OFFERING/SPLIT/RIGHTS","")</f>
        <v/>
      </c>
    </row>
    <row r="107">
      <c r="A107" s="16">
        <f>'Rest Universe'!A108</f>
        <v/>
      </c>
      <c r="B107" s="22">
        <f>IFERROR(_xll.BDP(A107,"NAME"),"")</f>
        <v/>
      </c>
      <c r="C107" s="22">
        <f t="array" ref="C107">_xll.BDS(A107, "EQUITY_OFFERINGS", "sortdesc=3", "endrow=1")</f>
        <v/>
      </c>
      <c r="D107" s="16" t="n"/>
      <c r="E107" s="16" t="n"/>
      <c r="F107" s="16" t="n"/>
      <c r="G107" s="16" t="n"/>
      <c r="H107" s="16" t="n"/>
      <c r="I107" s="16">
        <f>IF(ISNUMBER(E107),IF(E107&gt;=Settings!$B$5,"Y","N"),"")</f>
        <v/>
      </c>
      <c r="J107" s="16">
        <f>IF(I107="Y","RECENT OFFERING/SPLIT/RIGHTS","")</f>
        <v/>
      </c>
    </row>
    <row r="108">
      <c r="A108" s="16">
        <f>'Rest Universe'!A109</f>
        <v/>
      </c>
      <c r="B108" s="22">
        <f>IFERROR(_xll.BDP(A108,"NAME"),"")</f>
        <v/>
      </c>
      <c r="C108" s="22">
        <f t="array" ref="C108">_xll.BDS(A108, "EQUITY_OFFERINGS", "sortdesc=3", "endrow=1")</f>
        <v/>
      </c>
      <c r="D108" s="16" t="n"/>
      <c r="E108" s="16" t="n"/>
      <c r="F108" s="16" t="n"/>
      <c r="G108" s="16" t="n"/>
      <c r="H108" s="16" t="n"/>
      <c r="I108" s="16">
        <f>IF(ISNUMBER(E108),IF(E108&gt;=Settings!$B$5,"Y","N"),"")</f>
        <v/>
      </c>
      <c r="J108" s="16">
        <f>IF(I108="Y","RECENT OFFERING/SPLIT/RIGHTS","")</f>
        <v/>
      </c>
    </row>
    <row r="109">
      <c r="A109" s="16">
        <f>'Rest Universe'!A110</f>
        <v/>
      </c>
      <c r="B109" s="22">
        <f>IFERROR(_xll.BDP(A109,"NAME"),"")</f>
        <v/>
      </c>
      <c r="C109" s="22">
        <f t="array" ref="C109">_xll.BDS(A109, "EQUITY_OFFERINGS", "sortdesc=3", "endrow=1")</f>
        <v/>
      </c>
      <c r="D109" s="16" t="n"/>
      <c r="E109" s="16" t="n"/>
      <c r="F109" s="16" t="n"/>
      <c r="G109" s="16" t="n"/>
      <c r="H109" s="16" t="n"/>
      <c r="I109" s="16">
        <f>IF(ISNUMBER(E109),IF(E109&gt;=Settings!$B$5,"Y","N"),"")</f>
        <v/>
      </c>
      <c r="J109" s="16">
        <f>IF(I109="Y","RECENT OFFERING/SPLIT/RIGHTS","")</f>
        <v/>
      </c>
    </row>
    <row r="110">
      <c r="A110" s="16">
        <f>'Rest Universe'!A111</f>
        <v/>
      </c>
      <c r="B110" s="22">
        <f>IFERROR(_xll.BDP(A110,"NAME"),"")</f>
        <v/>
      </c>
      <c r="C110" s="22">
        <f t="array" ref="C110">_xll.BDS(A110, "EQUITY_OFFERINGS", "sortdesc=3", "endrow=1")</f>
        <v/>
      </c>
      <c r="D110" s="16" t="n"/>
      <c r="E110" s="16" t="n"/>
      <c r="F110" s="16" t="n"/>
      <c r="G110" s="16" t="n"/>
      <c r="H110" s="16" t="n"/>
      <c r="I110" s="16">
        <f>IF(ISNUMBER(E110),IF(E110&gt;=Settings!$B$5,"Y","N"),"")</f>
        <v/>
      </c>
      <c r="J110" s="16">
        <f>IF(I110="Y","RECENT OFFERING/SPLIT/RIGHTS","")</f>
        <v/>
      </c>
    </row>
    <row r="111">
      <c r="A111" s="16">
        <f>'Rest Universe'!A112</f>
        <v/>
      </c>
      <c r="B111" s="22">
        <f>IFERROR(_xll.BDP(A111,"NAME"),"")</f>
        <v/>
      </c>
      <c r="C111" s="22">
        <f t="array" ref="C111">_xll.BDS(A111, "EQUITY_OFFERINGS", "sortdesc=3", "endrow=1")</f>
        <v/>
      </c>
      <c r="D111" s="16" t="n"/>
      <c r="E111" s="16" t="n"/>
      <c r="F111" s="16" t="n"/>
      <c r="G111" s="16" t="n"/>
      <c r="H111" s="16" t="n"/>
      <c r="I111" s="16">
        <f>IF(ISNUMBER(E111),IF(E111&gt;=Settings!$B$5,"Y","N"),"")</f>
        <v/>
      </c>
      <c r="J111" s="16">
        <f>IF(I111="Y","RECENT OFFERING/SPLIT/RIGHTS","")</f>
        <v/>
      </c>
    </row>
    <row r="112">
      <c r="A112" s="16">
        <f>'Rest Universe'!A113</f>
        <v/>
      </c>
      <c r="B112" s="22">
        <f>IFERROR(_xll.BDP(A112,"NAME"),"")</f>
        <v/>
      </c>
      <c r="C112" s="22">
        <f t="array" ref="C112">_xll.BDS(A112, "EQUITY_OFFERINGS", "sortdesc=3", "endrow=1")</f>
        <v/>
      </c>
      <c r="D112" s="16" t="n"/>
      <c r="E112" s="16" t="n"/>
      <c r="F112" s="16" t="n"/>
      <c r="G112" s="16" t="n"/>
      <c r="H112" s="16" t="n"/>
      <c r="I112" s="16">
        <f>IF(ISNUMBER(E112),IF(E112&gt;=Settings!$B$5,"Y","N"),"")</f>
        <v/>
      </c>
      <c r="J112" s="16">
        <f>IF(I112="Y","RECENT OFFERING/SPLIT/RIGHTS","")</f>
        <v/>
      </c>
    </row>
    <row r="113">
      <c r="A113" s="16">
        <f>'Rest Universe'!A114</f>
        <v/>
      </c>
      <c r="B113" s="22">
        <f>IFERROR(_xll.BDP(A113,"NAME"),"")</f>
        <v/>
      </c>
      <c r="C113" s="22">
        <f t="array" ref="C113">_xll.BDS(A113, "EQUITY_OFFERINGS", "sortdesc=3", "endrow=1")</f>
        <v/>
      </c>
      <c r="D113" s="16" t="n"/>
      <c r="E113" s="16" t="n"/>
      <c r="F113" s="16" t="n"/>
      <c r="G113" s="16" t="n"/>
      <c r="H113" s="16" t="n"/>
      <c r="I113" s="16">
        <f>IF(ISNUMBER(E113),IF(E113&gt;=Settings!$B$5,"Y","N"),"")</f>
        <v/>
      </c>
      <c r="J113" s="16">
        <f>IF(I113="Y","RECENT OFFERING/SPLIT/RIGHTS","")</f>
        <v/>
      </c>
    </row>
    <row r="114">
      <c r="A114" s="16">
        <f>'Rest Universe'!A115</f>
        <v/>
      </c>
      <c r="B114" s="22">
        <f>IFERROR(_xll.BDP(A114,"NAME"),"")</f>
        <v/>
      </c>
      <c r="C114" s="22">
        <f t="array" ref="C114">_xll.BDS(A114, "EQUITY_OFFERINGS", "sortdesc=3", "endrow=1")</f>
        <v/>
      </c>
      <c r="D114" s="16" t="n"/>
      <c r="E114" s="16" t="n"/>
      <c r="F114" s="16" t="n"/>
      <c r="G114" s="16" t="n"/>
      <c r="H114" s="16" t="n"/>
      <c r="I114" s="16">
        <f>IF(ISNUMBER(E114),IF(E114&gt;=Settings!$B$5,"Y","N"),"")</f>
        <v/>
      </c>
      <c r="J114" s="16">
        <f>IF(I114="Y","RECENT OFFERING/SPLIT/RIGHTS","")</f>
        <v/>
      </c>
    </row>
    <row r="115">
      <c r="A115" s="16">
        <f>'Rest Universe'!A116</f>
        <v/>
      </c>
      <c r="B115" s="22">
        <f>IFERROR(_xll.BDP(A115,"NAME"),"")</f>
        <v/>
      </c>
      <c r="C115" s="22">
        <f t="array" ref="C115">_xll.BDS(A115, "EQUITY_OFFERINGS", "sortdesc=3", "endrow=1")</f>
        <v/>
      </c>
      <c r="D115" s="16" t="n"/>
      <c r="E115" s="16" t="n"/>
      <c r="F115" s="16" t="n"/>
      <c r="G115" s="16" t="n"/>
      <c r="H115" s="16" t="n"/>
      <c r="I115" s="16">
        <f>IF(ISNUMBER(E115),IF(E115&gt;=Settings!$B$5,"Y","N"),"")</f>
        <v/>
      </c>
      <c r="J115" s="16">
        <f>IF(I115="Y","RECENT OFFERING/SPLIT/RIGHTS","")</f>
        <v/>
      </c>
    </row>
    <row r="116">
      <c r="A116" s="16">
        <f>'Rest Universe'!A117</f>
        <v/>
      </c>
      <c r="B116" s="22">
        <f>IFERROR(_xll.BDP(A116,"NAME"),"")</f>
        <v/>
      </c>
      <c r="C116" s="22">
        <f t="array" ref="C116">_xll.BDS(A116, "EQUITY_OFFERINGS", "sortdesc=3", "endrow=1")</f>
        <v/>
      </c>
      <c r="D116" s="16" t="n"/>
      <c r="E116" s="16" t="n"/>
      <c r="F116" s="16" t="n"/>
      <c r="G116" s="16" t="n"/>
      <c r="H116" s="16" t="n"/>
      <c r="I116" s="16">
        <f>IF(ISNUMBER(E116),IF(E116&gt;=Settings!$B$5,"Y","N"),"")</f>
        <v/>
      </c>
      <c r="J116" s="16">
        <f>IF(I116="Y","RECENT OFFERING/SPLIT/RIGHTS","")</f>
        <v/>
      </c>
    </row>
    <row r="117">
      <c r="A117" s="16">
        <f>'Rest Universe'!A118</f>
        <v/>
      </c>
      <c r="B117" s="22">
        <f>IFERROR(_xll.BDP(A117,"NAME"),"")</f>
        <v/>
      </c>
      <c r="C117" s="22">
        <f t="array" ref="C117">_xll.BDS(A117, "EQUITY_OFFERINGS", "sortdesc=3", "endrow=1")</f>
        <v/>
      </c>
      <c r="D117" s="16" t="n"/>
      <c r="E117" s="16" t="n"/>
      <c r="F117" s="16" t="n"/>
      <c r="G117" s="16" t="n"/>
      <c r="H117" s="16" t="n"/>
      <c r="I117" s="16">
        <f>IF(ISNUMBER(E117),IF(E117&gt;=Settings!$B$5,"Y","N"),"")</f>
        <v/>
      </c>
      <c r="J117" s="16">
        <f>IF(I117="Y","RECENT OFFERING/SPLIT/RIGHTS","")</f>
        <v/>
      </c>
    </row>
    <row r="118">
      <c r="A118" s="16">
        <f>'Rest Universe'!A119</f>
        <v/>
      </c>
      <c r="B118" s="22">
        <f>IFERROR(_xll.BDP(A118,"NAME"),"")</f>
        <v/>
      </c>
      <c r="C118" s="22">
        <f t="array" ref="C118">_xll.BDS(A118, "EQUITY_OFFERINGS", "sortdesc=3", "endrow=1")</f>
        <v/>
      </c>
      <c r="D118" s="16" t="n"/>
      <c r="E118" s="16" t="n"/>
      <c r="F118" s="16" t="n"/>
      <c r="G118" s="16" t="n"/>
      <c r="H118" s="16" t="n"/>
      <c r="I118" s="16">
        <f>IF(ISNUMBER(E118),IF(E118&gt;=Settings!$B$5,"Y","N"),"")</f>
        <v/>
      </c>
      <c r="J118" s="16">
        <f>IF(I118="Y","RECENT OFFERING/SPLIT/RIGHTS","")</f>
        <v/>
      </c>
    </row>
    <row r="119">
      <c r="A119" s="16">
        <f>'Rest Universe'!A120</f>
        <v/>
      </c>
      <c r="B119" s="22">
        <f>IFERROR(_xll.BDP(A119,"NAME"),"")</f>
        <v/>
      </c>
      <c r="C119" s="22">
        <f t="array" ref="C119">_xll.BDS(A119, "EQUITY_OFFERINGS", "sortdesc=3", "endrow=1")</f>
        <v/>
      </c>
      <c r="D119" s="16" t="n"/>
      <c r="E119" s="16" t="n"/>
      <c r="F119" s="16" t="n"/>
      <c r="G119" s="16" t="n"/>
      <c r="H119" s="16" t="n"/>
      <c r="I119" s="16">
        <f>IF(ISNUMBER(E119),IF(E119&gt;=Settings!$B$5,"Y","N"),"")</f>
        <v/>
      </c>
      <c r="J119" s="16">
        <f>IF(I119="Y","RECENT OFFERING/SPLIT/RIGHTS","")</f>
        <v/>
      </c>
    </row>
    <row r="120">
      <c r="A120" s="16">
        <f>'Rest Universe'!A121</f>
        <v/>
      </c>
      <c r="B120" s="22">
        <f>IFERROR(_xll.BDP(A120,"NAME"),"")</f>
        <v/>
      </c>
      <c r="C120" s="22">
        <f t="array" ref="C120">_xll.BDS(A120, "EQUITY_OFFERINGS", "sortdesc=3", "endrow=1")</f>
        <v/>
      </c>
      <c r="D120" s="16" t="n"/>
      <c r="E120" s="16" t="n"/>
      <c r="F120" s="16" t="n"/>
      <c r="G120" s="16" t="n"/>
      <c r="H120" s="16" t="n"/>
      <c r="I120" s="16">
        <f>IF(ISNUMBER(E120),IF(E120&gt;=Settings!$B$5,"Y","N"),"")</f>
        <v/>
      </c>
      <c r="J120" s="16">
        <f>IF(I120="Y","RECENT OFFERING/SPLIT/RIGHTS","")</f>
        <v/>
      </c>
    </row>
    <row r="121">
      <c r="A121" s="16">
        <f>'Rest Universe'!A122</f>
        <v/>
      </c>
      <c r="B121" s="22">
        <f>IFERROR(_xll.BDP(A121,"NAME"),"")</f>
        <v/>
      </c>
      <c r="C121" s="22">
        <f t="array" ref="C121">_xll.BDS(A121, "EQUITY_OFFERINGS", "sortdesc=3", "endrow=1")</f>
        <v/>
      </c>
      <c r="D121" s="16" t="n"/>
      <c r="E121" s="16" t="n"/>
      <c r="F121" s="16" t="n"/>
      <c r="G121" s="16" t="n"/>
      <c r="H121" s="16" t="n"/>
      <c r="I121" s="16">
        <f>IF(ISNUMBER(E121),IF(E121&gt;=Settings!$B$5,"Y","N"),"")</f>
        <v/>
      </c>
      <c r="J121" s="16">
        <f>IF(I121="Y","RECENT OFFERING/SPLIT/RIGHTS","")</f>
        <v/>
      </c>
    </row>
    <row r="122">
      <c r="A122" s="16">
        <f>'Rest Universe'!A123</f>
        <v/>
      </c>
      <c r="B122" s="22">
        <f>IFERROR(_xll.BDP(A122,"NAME"),"")</f>
        <v/>
      </c>
      <c r="C122" s="22">
        <f t="array" ref="C122">_xll.BDS(A122, "EQUITY_OFFERINGS", "sortdesc=3", "endrow=1")</f>
        <v/>
      </c>
      <c r="D122" s="16" t="n"/>
      <c r="E122" s="16" t="n"/>
      <c r="F122" s="16" t="n"/>
      <c r="G122" s="16" t="n"/>
      <c r="H122" s="16" t="n"/>
      <c r="I122" s="16">
        <f>IF(ISNUMBER(E122),IF(E122&gt;=Settings!$B$5,"Y","N"),"")</f>
        <v/>
      </c>
      <c r="J122" s="16">
        <f>IF(I122="Y","RECENT OFFERING/SPLIT/RIGHTS","")</f>
        <v/>
      </c>
    </row>
    <row r="123">
      <c r="A123" s="16">
        <f>'Rest Universe'!A124</f>
        <v/>
      </c>
      <c r="B123" s="22">
        <f>IFERROR(_xll.BDP(A123,"NAME"),"")</f>
        <v/>
      </c>
      <c r="C123" s="22">
        <f t="array" ref="C123">_xll.BDS(A123, "EQUITY_OFFERINGS", "sortdesc=3", "endrow=1")</f>
        <v/>
      </c>
      <c r="D123" s="16" t="n"/>
      <c r="E123" s="16" t="n"/>
      <c r="F123" s="16" t="n"/>
      <c r="G123" s="16" t="n"/>
      <c r="H123" s="16" t="n"/>
      <c r="I123" s="16">
        <f>IF(ISNUMBER(E123),IF(E123&gt;=Settings!$B$5,"Y","N"),"")</f>
        <v/>
      </c>
      <c r="J123" s="16">
        <f>IF(I123="Y","RECENT OFFERING/SPLIT/RIGHTS","")</f>
        <v/>
      </c>
    </row>
    <row r="124">
      <c r="A124" s="16">
        <f>'Rest Universe'!A125</f>
        <v/>
      </c>
      <c r="B124" s="22">
        <f>IFERROR(_xll.BDP(A124,"NAME"),"")</f>
        <v/>
      </c>
      <c r="C124" s="22">
        <f t="array" ref="C124">_xll.BDS(A124, "EQUITY_OFFERINGS", "sortdesc=3", "endrow=1")</f>
        <v/>
      </c>
      <c r="D124" s="16" t="n"/>
      <c r="E124" s="16" t="n"/>
      <c r="F124" s="16" t="n"/>
      <c r="G124" s="16" t="n"/>
      <c r="H124" s="16" t="n"/>
      <c r="I124" s="16">
        <f>IF(ISNUMBER(E124),IF(E124&gt;=Settings!$B$5,"Y","N"),"")</f>
        <v/>
      </c>
      <c r="J124" s="16">
        <f>IF(I124="Y","RECENT OFFERING/SPLIT/RIGHTS","")</f>
        <v/>
      </c>
    </row>
    <row r="125">
      <c r="A125" s="16">
        <f>'Rest Universe'!A126</f>
        <v/>
      </c>
      <c r="B125" s="22">
        <f>IFERROR(_xll.BDP(A125,"NAME"),"")</f>
        <v/>
      </c>
      <c r="C125" s="22">
        <f t="array" ref="C125">_xll.BDS(A125, "EQUITY_OFFERINGS", "sortdesc=3", "endrow=1")</f>
        <v/>
      </c>
      <c r="D125" s="16" t="n"/>
      <c r="E125" s="16" t="n"/>
      <c r="F125" s="16" t="n"/>
      <c r="G125" s="16" t="n"/>
      <c r="H125" s="16" t="n"/>
      <c r="I125" s="16">
        <f>IF(ISNUMBER(E125),IF(E125&gt;=Settings!$B$5,"Y","N"),"")</f>
        <v/>
      </c>
      <c r="J125" s="16">
        <f>IF(I125="Y","RECENT OFFERING/SPLIT/RIGHTS","")</f>
        <v/>
      </c>
    </row>
    <row r="126">
      <c r="A126" s="16">
        <f>'Rest Universe'!A127</f>
        <v/>
      </c>
      <c r="B126" s="22">
        <f>IFERROR(_xll.BDP(A126,"NAME"),"")</f>
        <v/>
      </c>
      <c r="C126" s="22">
        <f t="array" ref="C126">_xll.BDS(A126, "EQUITY_OFFERINGS", "sortdesc=3", "endrow=1")</f>
        <v/>
      </c>
      <c r="D126" s="16" t="n"/>
      <c r="E126" s="16" t="n"/>
      <c r="F126" s="16" t="n"/>
      <c r="G126" s="16" t="n"/>
      <c r="H126" s="16" t="n"/>
      <c r="I126" s="16">
        <f>IF(ISNUMBER(E126),IF(E126&gt;=Settings!$B$5,"Y","N"),"")</f>
        <v/>
      </c>
      <c r="J126" s="16">
        <f>IF(I126="Y","RECENT OFFERING/SPLIT/RIGHTS","")</f>
        <v/>
      </c>
    </row>
    <row r="127">
      <c r="A127" s="16">
        <f>'Rest Universe'!A128</f>
        <v/>
      </c>
      <c r="B127" s="22">
        <f>IFERROR(_xll.BDP(A127,"NAME"),"")</f>
        <v/>
      </c>
      <c r="C127" s="22">
        <f t="array" ref="C127">_xll.BDS(A127, "EQUITY_OFFERINGS", "sortdesc=3", "endrow=1")</f>
        <v/>
      </c>
      <c r="D127" s="16" t="n"/>
      <c r="E127" s="16" t="n"/>
      <c r="F127" s="16" t="n"/>
      <c r="G127" s="16" t="n"/>
      <c r="H127" s="16" t="n"/>
      <c r="I127" s="16">
        <f>IF(ISNUMBER(E127),IF(E127&gt;=Settings!$B$5,"Y","N"),"")</f>
        <v/>
      </c>
      <c r="J127" s="16">
        <f>IF(I127="Y","RECENT OFFERING/SPLIT/RIGHTS","")</f>
        <v/>
      </c>
    </row>
    <row r="128">
      <c r="A128" s="16">
        <f>'Rest Universe'!A129</f>
        <v/>
      </c>
      <c r="B128" s="22">
        <f>IFERROR(_xll.BDP(A128,"NAME"),"")</f>
        <v/>
      </c>
      <c r="C128" s="22">
        <f t="array" ref="C128">_xll.BDS(A128, "EQUITY_OFFERINGS", "sortdesc=3", "endrow=1")</f>
        <v/>
      </c>
      <c r="D128" s="16" t="n"/>
      <c r="E128" s="16" t="n"/>
      <c r="F128" s="16" t="n"/>
      <c r="G128" s="16" t="n"/>
      <c r="H128" s="16" t="n"/>
      <c r="I128" s="16">
        <f>IF(ISNUMBER(E128),IF(E128&gt;=Settings!$B$5,"Y","N"),"")</f>
        <v/>
      </c>
      <c r="J128" s="16">
        <f>IF(I128="Y","RECENT OFFERING/SPLIT/RIGHTS","")</f>
        <v/>
      </c>
    </row>
    <row r="129">
      <c r="A129" s="16">
        <f>'Rest Universe'!A130</f>
        <v/>
      </c>
      <c r="B129" s="22">
        <f>IFERROR(_xll.BDP(A129,"NAME"),"")</f>
        <v/>
      </c>
      <c r="C129" s="22">
        <f t="array" ref="C129">_xll.BDS(A129, "EQUITY_OFFERINGS", "sortdesc=3", "endrow=1")</f>
        <v/>
      </c>
      <c r="D129" s="16" t="n"/>
      <c r="E129" s="16" t="n"/>
      <c r="F129" s="16" t="n"/>
      <c r="G129" s="16" t="n"/>
      <c r="H129" s="16" t="n"/>
      <c r="I129" s="16">
        <f>IF(ISNUMBER(E129),IF(E129&gt;=Settings!$B$5,"Y","N"),"")</f>
        <v/>
      </c>
      <c r="J129" s="16">
        <f>IF(I129="Y","RECENT OFFERING/SPLIT/RIGHTS","")</f>
        <v/>
      </c>
    </row>
    <row r="130">
      <c r="A130" s="16">
        <f>'Rest Universe'!A131</f>
        <v/>
      </c>
      <c r="B130" s="22">
        <f>IFERROR(_xll.BDP(A130,"NAME"),"")</f>
        <v/>
      </c>
      <c r="C130" s="22">
        <f t="array" ref="C130">_xll.BDS(A130, "EQUITY_OFFERINGS", "sortdesc=3", "endrow=1")</f>
        <v/>
      </c>
      <c r="D130" s="16" t="n"/>
      <c r="E130" s="16" t="n"/>
      <c r="F130" s="16" t="n"/>
      <c r="G130" s="16" t="n"/>
      <c r="H130" s="16" t="n"/>
      <c r="I130" s="16">
        <f>IF(ISNUMBER(E130),IF(E130&gt;=Settings!$B$5,"Y","N"),"")</f>
        <v/>
      </c>
      <c r="J130" s="16">
        <f>IF(I130="Y","RECENT OFFERING/SPLIT/RIGHTS","")</f>
        <v/>
      </c>
    </row>
    <row r="131">
      <c r="A131" s="16">
        <f>'Rest Universe'!A132</f>
        <v/>
      </c>
      <c r="B131" s="22">
        <f>IFERROR(_xll.BDP(A131,"NAME"),"")</f>
        <v/>
      </c>
      <c r="C131" s="22">
        <f t="array" ref="C131">_xll.BDS(A131, "EQUITY_OFFERINGS", "sortdesc=3", "endrow=1")</f>
        <v/>
      </c>
      <c r="D131" s="16" t="n"/>
      <c r="E131" s="16" t="n"/>
      <c r="F131" s="16" t="n"/>
      <c r="G131" s="16" t="n"/>
      <c r="H131" s="16" t="n"/>
      <c r="I131" s="16">
        <f>IF(ISNUMBER(E131),IF(E131&gt;=Settings!$B$5,"Y","N"),"")</f>
        <v/>
      </c>
      <c r="J131" s="16">
        <f>IF(I131="Y","RECENT OFFERING/SPLIT/RIGHTS","")</f>
        <v/>
      </c>
    </row>
    <row r="132">
      <c r="A132" s="16">
        <f>'Rest Universe'!A133</f>
        <v/>
      </c>
      <c r="B132" s="22">
        <f>IFERROR(_xll.BDP(A132,"NAME"),"")</f>
        <v/>
      </c>
      <c r="C132" s="22">
        <f t="array" ref="C132">_xll.BDS(A132, "EQUITY_OFFERINGS", "sortdesc=3", "endrow=1")</f>
        <v/>
      </c>
      <c r="D132" s="16" t="n"/>
      <c r="E132" s="16" t="n"/>
      <c r="F132" s="16" t="n"/>
      <c r="G132" s="16" t="n"/>
      <c r="H132" s="16" t="n"/>
      <c r="I132" s="16">
        <f>IF(ISNUMBER(E132),IF(E132&gt;=Settings!$B$5,"Y","N"),"")</f>
        <v/>
      </c>
      <c r="J132" s="16">
        <f>IF(I132="Y","RECENT OFFERING/SPLIT/RIGHTS","")</f>
        <v/>
      </c>
    </row>
    <row r="133">
      <c r="A133" s="16">
        <f>'Rest Universe'!A134</f>
        <v/>
      </c>
      <c r="B133" s="22">
        <f>IFERROR(_xll.BDP(A133,"NAME"),"")</f>
        <v/>
      </c>
      <c r="C133" s="22">
        <f t="array" ref="C133">_xll.BDS(A133, "EQUITY_OFFERINGS", "sortdesc=3", "endrow=1")</f>
        <v/>
      </c>
      <c r="D133" s="16" t="n"/>
      <c r="E133" s="16" t="n"/>
      <c r="F133" s="16" t="n"/>
      <c r="G133" s="16" t="n"/>
      <c r="H133" s="16" t="n"/>
      <c r="I133" s="16">
        <f>IF(ISNUMBER(E133),IF(E133&gt;=Settings!$B$5,"Y","N"),"")</f>
        <v/>
      </c>
      <c r="J133" s="16">
        <f>IF(I133="Y","RECENT OFFERING/SPLIT/RIGHTS","")</f>
        <v/>
      </c>
    </row>
    <row r="134">
      <c r="A134" s="16">
        <f>'Rest Universe'!A135</f>
        <v/>
      </c>
      <c r="B134" s="22">
        <f>IFERROR(_xll.BDP(A134,"NAME"),"")</f>
        <v/>
      </c>
      <c r="C134" s="22">
        <f t="array" ref="C134">_xll.BDS(A134, "EQUITY_OFFERINGS", "sortdesc=3", "endrow=1")</f>
        <v/>
      </c>
      <c r="D134" s="16" t="n"/>
      <c r="E134" s="16" t="n"/>
      <c r="F134" s="16" t="n"/>
      <c r="G134" s="16" t="n"/>
      <c r="H134" s="16" t="n"/>
      <c r="I134" s="16">
        <f>IF(ISNUMBER(E134),IF(E134&gt;=Settings!$B$5,"Y","N"),"")</f>
        <v/>
      </c>
      <c r="J134" s="16">
        <f>IF(I134="Y","RECENT OFFERING/SPLIT/RIGHTS","")</f>
        <v/>
      </c>
    </row>
    <row r="135">
      <c r="A135" s="16">
        <f>'Rest Universe'!A136</f>
        <v/>
      </c>
      <c r="B135" s="22">
        <f>IFERROR(_xll.BDP(A135,"NAME"),"")</f>
        <v/>
      </c>
      <c r="C135" s="22">
        <f t="array" ref="C135">_xll.BDS(A135, "EQUITY_OFFERINGS", "sortdesc=3", "endrow=1")</f>
        <v/>
      </c>
      <c r="D135" s="16" t="n"/>
      <c r="E135" s="16" t="n"/>
      <c r="F135" s="16" t="n"/>
      <c r="G135" s="16" t="n"/>
      <c r="H135" s="16" t="n"/>
      <c r="I135" s="16">
        <f>IF(ISNUMBER(E135),IF(E135&gt;=Settings!$B$5,"Y","N"),"")</f>
        <v/>
      </c>
      <c r="J135" s="16">
        <f>IF(I135="Y","RECENT OFFERING/SPLIT/RIGHTS","")</f>
        <v/>
      </c>
    </row>
    <row r="136">
      <c r="A136" s="16">
        <f>'Rest Universe'!A137</f>
        <v/>
      </c>
      <c r="B136" s="22">
        <f>IFERROR(_xll.BDP(A136,"NAME"),"")</f>
        <v/>
      </c>
      <c r="C136" s="22">
        <f t="array" ref="C136">_xll.BDS(A136, "EQUITY_OFFERINGS", "sortdesc=3", "endrow=1")</f>
        <v/>
      </c>
      <c r="D136" s="16" t="n"/>
      <c r="E136" s="16" t="n"/>
      <c r="F136" s="16" t="n"/>
      <c r="G136" s="16" t="n"/>
      <c r="H136" s="16" t="n"/>
      <c r="I136" s="16">
        <f>IF(ISNUMBER(E136),IF(E136&gt;=Settings!$B$5,"Y","N"),"")</f>
        <v/>
      </c>
      <c r="J136" s="16">
        <f>IF(I136="Y","RECENT OFFERING/SPLIT/RIGHTS","")</f>
        <v/>
      </c>
    </row>
    <row r="137">
      <c r="A137" s="16">
        <f>'Rest Universe'!A138</f>
        <v/>
      </c>
      <c r="B137" s="22">
        <f>IFERROR(_xll.BDP(A137,"NAME"),"")</f>
        <v/>
      </c>
      <c r="C137" s="22">
        <f t="array" ref="C137">_xll.BDS(A137, "EQUITY_OFFERINGS", "sortdesc=3", "endrow=1")</f>
        <v/>
      </c>
      <c r="D137" s="16" t="n"/>
      <c r="E137" s="16" t="n"/>
      <c r="F137" s="16" t="n"/>
      <c r="G137" s="16" t="n"/>
      <c r="H137" s="16" t="n"/>
      <c r="I137" s="16">
        <f>IF(ISNUMBER(E137),IF(E137&gt;=Settings!$B$5,"Y","N"),"")</f>
        <v/>
      </c>
      <c r="J137" s="16">
        <f>IF(I137="Y","RECENT OFFERING/SPLIT/RIGHTS","")</f>
        <v/>
      </c>
    </row>
    <row r="138">
      <c r="A138" s="16">
        <f>'Rest Universe'!A139</f>
        <v/>
      </c>
      <c r="B138" s="22">
        <f>IFERROR(_xll.BDP(A138,"NAME"),"")</f>
        <v/>
      </c>
      <c r="C138" s="22">
        <f t="array" ref="C138">_xll.BDS(A138, "EQUITY_OFFERINGS", "sortdesc=3", "endrow=1")</f>
        <v/>
      </c>
      <c r="D138" s="16" t="n"/>
      <c r="E138" s="16" t="n"/>
      <c r="F138" s="16" t="n"/>
      <c r="G138" s="16" t="n"/>
      <c r="H138" s="16" t="n"/>
      <c r="I138" s="16">
        <f>IF(ISNUMBER(E138),IF(E138&gt;=Settings!$B$5,"Y","N"),"")</f>
        <v/>
      </c>
      <c r="J138" s="16">
        <f>IF(I138="Y","RECENT OFFERING/SPLIT/RIGHTS","")</f>
        <v/>
      </c>
    </row>
    <row r="139">
      <c r="A139" s="16">
        <f>'Rest Universe'!A140</f>
        <v/>
      </c>
      <c r="B139" s="22">
        <f>IFERROR(_xll.BDP(A139,"NAME"),"")</f>
        <v/>
      </c>
      <c r="C139" s="22">
        <f t="array" ref="C139">_xll.BDS(A139, "EQUITY_OFFERINGS", "sortdesc=3", "endrow=1")</f>
        <v/>
      </c>
      <c r="D139" s="16" t="n"/>
      <c r="E139" s="16" t="n"/>
      <c r="F139" s="16" t="n"/>
      <c r="G139" s="16" t="n"/>
      <c r="H139" s="16" t="n"/>
      <c r="I139" s="16">
        <f>IF(ISNUMBER(E139),IF(E139&gt;=Settings!$B$5,"Y","N"),"")</f>
        <v/>
      </c>
      <c r="J139" s="16">
        <f>IF(I139="Y","RECENT OFFERING/SPLIT/RIGHTS","")</f>
        <v/>
      </c>
    </row>
    <row r="140">
      <c r="A140" s="16">
        <f>'Rest Universe'!A141</f>
        <v/>
      </c>
      <c r="B140" s="22">
        <f>IFERROR(_xll.BDP(A140,"NAME"),"")</f>
        <v/>
      </c>
      <c r="C140" s="22">
        <f t="array" ref="C140">_xll.BDS(A140, "EQUITY_OFFERINGS", "sortdesc=3", "endrow=1")</f>
        <v/>
      </c>
      <c r="D140" s="16" t="n"/>
      <c r="E140" s="16" t="n"/>
      <c r="F140" s="16" t="n"/>
      <c r="G140" s="16" t="n"/>
      <c r="H140" s="16" t="n"/>
      <c r="I140" s="16">
        <f>IF(ISNUMBER(E140),IF(E140&gt;=Settings!$B$5,"Y","N"),"")</f>
        <v/>
      </c>
      <c r="J140" s="16">
        <f>IF(I140="Y","RECENT OFFERING/SPLIT/RIGHTS","")</f>
        <v/>
      </c>
    </row>
    <row r="141">
      <c r="A141" s="16">
        <f>'Rest Universe'!A142</f>
        <v/>
      </c>
      <c r="B141" s="22">
        <f>IFERROR(_xll.BDP(A141,"NAME"),"")</f>
        <v/>
      </c>
      <c r="C141" s="22">
        <f t="array" ref="C141">_xll.BDS(A141, "EQUITY_OFFERINGS", "sortdesc=3", "endrow=1")</f>
        <v/>
      </c>
      <c r="D141" s="16" t="n"/>
      <c r="E141" s="16" t="n"/>
      <c r="F141" s="16" t="n"/>
      <c r="G141" s="16" t="n"/>
      <c r="H141" s="16" t="n"/>
      <c r="I141" s="16">
        <f>IF(ISNUMBER(E141),IF(E141&gt;=Settings!$B$5,"Y","N"),"")</f>
        <v/>
      </c>
      <c r="J141" s="16">
        <f>IF(I141="Y","RECENT OFFERING/SPLIT/RIGHTS","")</f>
        <v/>
      </c>
    </row>
    <row r="142">
      <c r="A142" s="16">
        <f>'Rest Universe'!A143</f>
        <v/>
      </c>
      <c r="B142" s="22">
        <f>IFERROR(_xll.BDP(A142,"NAME"),"")</f>
        <v/>
      </c>
      <c r="C142" s="22">
        <f t="array" ref="C142">_xll.BDS(A142, "EQUITY_OFFERINGS", "sortdesc=3", "endrow=1")</f>
        <v/>
      </c>
      <c r="D142" s="16" t="n"/>
      <c r="E142" s="16" t="n"/>
      <c r="F142" s="16" t="n"/>
      <c r="G142" s="16" t="n"/>
      <c r="H142" s="16" t="n"/>
      <c r="I142" s="16">
        <f>IF(ISNUMBER(E142),IF(E142&gt;=Settings!$B$5,"Y","N"),"")</f>
        <v/>
      </c>
      <c r="J142" s="16">
        <f>IF(I142="Y","RECENT OFFERING/SPLIT/RIGHTS","")</f>
        <v/>
      </c>
    </row>
    <row r="143">
      <c r="A143" s="16">
        <f>'Rest Universe'!A144</f>
        <v/>
      </c>
      <c r="B143" s="22">
        <f>IFERROR(_xll.BDP(A143,"NAME"),"")</f>
        <v/>
      </c>
      <c r="C143" s="22">
        <f t="array" ref="C143">_xll.BDS(A143, "EQUITY_OFFERINGS", "sortdesc=3", "endrow=1")</f>
        <v/>
      </c>
      <c r="D143" s="16" t="n"/>
      <c r="E143" s="16" t="n"/>
      <c r="F143" s="16" t="n"/>
      <c r="G143" s="16" t="n"/>
      <c r="H143" s="16" t="n"/>
      <c r="I143" s="16">
        <f>IF(ISNUMBER(E143),IF(E143&gt;=Settings!$B$5,"Y","N"),"")</f>
        <v/>
      </c>
      <c r="J143" s="16">
        <f>IF(I143="Y","RECENT OFFERING/SPLIT/RIGHTS","")</f>
        <v/>
      </c>
    </row>
    <row r="144">
      <c r="A144" s="16">
        <f>'Rest Universe'!A145</f>
        <v/>
      </c>
      <c r="B144" s="22">
        <f>IFERROR(_xll.BDP(A144,"NAME"),"")</f>
        <v/>
      </c>
      <c r="C144" s="22">
        <f t="array" ref="C144">_xll.BDS(A144, "EQUITY_OFFERINGS", "sortdesc=3", "endrow=1")</f>
        <v/>
      </c>
      <c r="D144" s="16" t="n"/>
      <c r="E144" s="16" t="n"/>
      <c r="F144" s="16" t="n"/>
      <c r="G144" s="16" t="n"/>
      <c r="H144" s="16" t="n"/>
      <c r="I144" s="16">
        <f>IF(ISNUMBER(E144),IF(E144&gt;=Settings!$B$5,"Y","N"),"")</f>
        <v/>
      </c>
      <c r="J144" s="16">
        <f>IF(I144="Y","RECENT OFFERING/SPLIT/RIGHTS","")</f>
        <v/>
      </c>
    </row>
    <row r="145">
      <c r="A145" s="16">
        <f>'Rest Universe'!A146</f>
        <v/>
      </c>
      <c r="B145" s="22">
        <f>IFERROR(_xll.BDP(A145,"NAME"),"")</f>
        <v/>
      </c>
      <c r="C145" s="22">
        <f t="array" ref="C145">_xll.BDS(A145, "EQUITY_OFFERINGS", "sortdesc=3", "endrow=1")</f>
        <v/>
      </c>
      <c r="D145" s="16" t="n"/>
      <c r="E145" s="16" t="n"/>
      <c r="F145" s="16" t="n"/>
      <c r="G145" s="16" t="n"/>
      <c r="H145" s="16" t="n"/>
      <c r="I145" s="16">
        <f>IF(ISNUMBER(E145),IF(E145&gt;=Settings!$B$5,"Y","N"),"")</f>
        <v/>
      </c>
      <c r="J145" s="16">
        <f>IF(I145="Y","RECENT OFFERING/SPLIT/RIGHTS","")</f>
        <v/>
      </c>
    </row>
    <row r="146">
      <c r="A146" s="16">
        <f>'Rest Universe'!A147</f>
        <v/>
      </c>
      <c r="B146" s="22">
        <f>IFERROR(_xll.BDP(A146,"NAME"),"")</f>
        <v/>
      </c>
      <c r="C146" s="22">
        <f t="array" ref="C146">_xll.BDS(A146, "EQUITY_OFFERINGS", "sortdesc=3", "endrow=1")</f>
        <v/>
      </c>
      <c r="D146" s="16" t="n"/>
      <c r="E146" s="16" t="n"/>
      <c r="F146" s="16" t="n"/>
      <c r="G146" s="16" t="n"/>
      <c r="H146" s="16" t="n"/>
      <c r="I146" s="16">
        <f>IF(ISNUMBER(E146),IF(E146&gt;=Settings!$B$5,"Y","N"),"")</f>
        <v/>
      </c>
      <c r="J146" s="16">
        <f>IF(I146="Y","RECENT OFFERING/SPLIT/RIGHTS","")</f>
        <v/>
      </c>
    </row>
    <row r="147">
      <c r="A147" s="16">
        <f>'Rest Universe'!A148</f>
        <v/>
      </c>
      <c r="B147" s="22">
        <f>IFERROR(_xll.BDP(A147,"NAME"),"")</f>
        <v/>
      </c>
      <c r="C147" s="22">
        <f t="array" ref="C147">_xll.BDS(A147, "EQUITY_OFFERINGS", "sortdesc=3", "endrow=1")</f>
        <v/>
      </c>
      <c r="D147" s="16" t="n"/>
      <c r="E147" s="16" t="n"/>
      <c r="F147" s="16" t="n"/>
      <c r="G147" s="16" t="n"/>
      <c r="H147" s="16" t="n"/>
      <c r="I147" s="16">
        <f>IF(ISNUMBER(E147),IF(E147&gt;=Settings!$B$5,"Y","N"),"")</f>
        <v/>
      </c>
      <c r="J147" s="16">
        <f>IF(I147="Y","RECENT OFFERING/SPLIT/RIGHTS","")</f>
        <v/>
      </c>
    </row>
    <row r="148">
      <c r="A148" s="16">
        <f>'Rest Universe'!A149</f>
        <v/>
      </c>
      <c r="B148" s="22">
        <f>IFERROR(_xll.BDP(A148,"NAME"),"")</f>
        <v/>
      </c>
      <c r="C148" s="22">
        <f t="array" ref="C148">_xll.BDS(A148, "EQUITY_OFFERINGS", "sortdesc=3", "endrow=1")</f>
        <v/>
      </c>
      <c r="D148" s="16" t="n"/>
      <c r="E148" s="16" t="n"/>
      <c r="F148" s="16" t="n"/>
      <c r="G148" s="16" t="n"/>
      <c r="H148" s="16" t="n"/>
      <c r="I148" s="16">
        <f>IF(ISNUMBER(E148),IF(E148&gt;=Settings!$B$5,"Y","N"),"")</f>
        <v/>
      </c>
      <c r="J148" s="16">
        <f>IF(I148="Y","RECENT OFFERING/SPLIT/RIGHTS","")</f>
        <v/>
      </c>
    </row>
    <row r="149">
      <c r="A149" s="16">
        <f>'Rest Universe'!A150</f>
        <v/>
      </c>
      <c r="B149" s="22">
        <f>IFERROR(_xll.BDP(A149,"NAME"),"")</f>
        <v/>
      </c>
      <c r="C149" s="22">
        <f t="array" ref="C149">_xll.BDS(A149, "EQUITY_OFFERINGS", "sortdesc=3", "endrow=1")</f>
        <v/>
      </c>
      <c r="D149" s="16" t="n"/>
      <c r="E149" s="16" t="n"/>
      <c r="F149" s="16" t="n"/>
      <c r="G149" s="16" t="n"/>
      <c r="H149" s="16" t="n"/>
      <c r="I149" s="16">
        <f>IF(ISNUMBER(E149),IF(E149&gt;=Settings!$B$5,"Y","N"),"")</f>
        <v/>
      </c>
      <c r="J149" s="16">
        <f>IF(I149="Y","RECENT OFFERING/SPLIT/RIGHTS","")</f>
        <v/>
      </c>
    </row>
    <row r="150">
      <c r="A150" s="16">
        <f>'Rest Universe'!A151</f>
        <v/>
      </c>
      <c r="B150" s="22">
        <f>IFERROR(_xll.BDP(A150,"NAME"),"")</f>
        <v/>
      </c>
      <c r="C150" s="22">
        <f t="array" ref="C150">_xll.BDS(A150, "EQUITY_OFFERINGS", "sortdesc=3", "endrow=1")</f>
        <v/>
      </c>
      <c r="D150" s="16" t="n"/>
      <c r="E150" s="16" t="n"/>
      <c r="F150" s="16" t="n"/>
      <c r="G150" s="16" t="n"/>
      <c r="H150" s="16" t="n"/>
      <c r="I150" s="16">
        <f>IF(ISNUMBER(E150),IF(E150&gt;=Settings!$B$5,"Y","N"),"")</f>
        <v/>
      </c>
      <c r="J150" s="16">
        <f>IF(I150="Y","RECENT OFFERING/SPLIT/RIGHTS","")</f>
        <v/>
      </c>
    </row>
    <row r="151">
      <c r="A151" s="16">
        <f>'Rest Universe'!A152</f>
        <v/>
      </c>
      <c r="B151" s="22">
        <f>IFERROR(_xll.BDP(A151,"NAME"),"")</f>
        <v/>
      </c>
      <c r="C151" s="22">
        <f t="array" ref="C151">_xll.BDS(A151, "EQUITY_OFFERINGS", "sortdesc=3", "endrow=1")</f>
        <v/>
      </c>
      <c r="D151" s="16" t="n"/>
      <c r="E151" s="16" t="n"/>
      <c r="F151" s="16" t="n"/>
      <c r="G151" s="16" t="n"/>
      <c r="H151" s="16" t="n"/>
      <c r="I151" s="16">
        <f>IF(ISNUMBER(E151),IF(E151&gt;=Settings!$B$5,"Y","N"),"")</f>
        <v/>
      </c>
      <c r="J151" s="16">
        <f>IF(I151="Y","RECENT OFFERING/SPLIT/RIGHTS","")</f>
        <v/>
      </c>
    </row>
    <row r="152">
      <c r="A152" s="16">
        <f>'Rest Universe'!A153</f>
        <v/>
      </c>
      <c r="B152" s="22">
        <f>IFERROR(_xll.BDP(A152,"NAME"),"")</f>
        <v/>
      </c>
      <c r="C152" s="22">
        <f t="array" ref="C152">_xll.BDS(A152, "EQUITY_OFFERINGS", "sortdesc=3", "endrow=1")</f>
        <v/>
      </c>
      <c r="D152" s="16" t="n"/>
      <c r="E152" s="16" t="n"/>
      <c r="F152" s="16" t="n"/>
      <c r="G152" s="16" t="n"/>
      <c r="H152" s="16" t="n"/>
      <c r="I152" s="16">
        <f>IF(ISNUMBER(E152),IF(E152&gt;=Settings!$B$5,"Y","N"),"")</f>
        <v/>
      </c>
      <c r="J152" s="16">
        <f>IF(I152="Y","RECENT OFFERING/SPLIT/RIGHTS","")</f>
        <v/>
      </c>
    </row>
    <row r="153">
      <c r="A153" s="16">
        <f>'Rest Universe'!A154</f>
        <v/>
      </c>
      <c r="B153" s="22">
        <f>IFERROR(_xll.BDP(A153,"NAME"),"")</f>
        <v/>
      </c>
      <c r="C153" s="22">
        <f t="array" ref="C153">_xll.BDS(A153, "EQUITY_OFFERINGS", "sortdesc=3", "endrow=1")</f>
        <v/>
      </c>
      <c r="D153" s="16" t="n"/>
      <c r="E153" s="16" t="n"/>
      <c r="F153" s="16" t="n"/>
      <c r="G153" s="16" t="n"/>
      <c r="H153" s="16" t="n"/>
      <c r="I153" s="16">
        <f>IF(ISNUMBER(E153),IF(E153&gt;=Settings!$B$5,"Y","N"),"")</f>
        <v/>
      </c>
      <c r="J153" s="16">
        <f>IF(I153="Y","RECENT OFFERING/SPLIT/RIGHTS","")</f>
        <v/>
      </c>
    </row>
    <row r="154">
      <c r="A154" s="16">
        <f>'Rest Universe'!A155</f>
        <v/>
      </c>
      <c r="B154" s="22">
        <f>IFERROR(_xll.BDP(A154,"NAME"),"")</f>
        <v/>
      </c>
      <c r="C154" s="22">
        <f t="array" ref="C154">_xll.BDS(A154, "EQUITY_OFFERINGS", "sortdesc=3", "endrow=1")</f>
        <v/>
      </c>
      <c r="D154" s="16" t="n"/>
      <c r="E154" s="16" t="n"/>
      <c r="F154" s="16" t="n"/>
      <c r="G154" s="16" t="n"/>
      <c r="H154" s="16" t="n"/>
      <c r="I154" s="16">
        <f>IF(ISNUMBER(E154),IF(E154&gt;=Settings!$B$5,"Y","N"),"")</f>
        <v/>
      </c>
      <c r="J154" s="16">
        <f>IF(I154="Y","RECENT OFFERING/SPLIT/RIGHTS","")</f>
        <v/>
      </c>
    </row>
    <row r="155">
      <c r="A155" s="16">
        <f>'Rest Universe'!A156</f>
        <v/>
      </c>
      <c r="B155" s="22">
        <f>IFERROR(_xll.BDP(A155,"NAME"),"")</f>
        <v/>
      </c>
      <c r="C155" s="22">
        <f t="array" ref="C155">_xll.BDS(A155, "EQUITY_OFFERINGS", "sortdesc=3", "endrow=1")</f>
        <v/>
      </c>
      <c r="D155" s="16" t="n"/>
      <c r="E155" s="16" t="n"/>
      <c r="F155" s="16" t="n"/>
      <c r="G155" s="16" t="n"/>
      <c r="H155" s="16" t="n"/>
      <c r="I155" s="16">
        <f>IF(ISNUMBER(E155),IF(E155&gt;=Settings!$B$5,"Y","N"),"")</f>
        <v/>
      </c>
      <c r="J155" s="16">
        <f>IF(I155="Y","RECENT OFFERING/SPLIT/RIGHTS","")</f>
        <v/>
      </c>
    </row>
    <row r="156">
      <c r="A156" s="16">
        <f>'Rest Universe'!A157</f>
        <v/>
      </c>
      <c r="B156" s="22">
        <f>IFERROR(_xll.BDP(A156,"NAME"),"")</f>
        <v/>
      </c>
      <c r="C156" s="22">
        <f t="array" ref="C156">_xll.BDS(A156, "EQUITY_OFFERINGS", "sortdesc=3", "endrow=1")</f>
        <v/>
      </c>
      <c r="D156" s="16" t="n"/>
      <c r="E156" s="16" t="n"/>
      <c r="F156" s="16" t="n"/>
      <c r="G156" s="16" t="n"/>
      <c r="H156" s="16" t="n"/>
      <c r="I156" s="16">
        <f>IF(ISNUMBER(E156),IF(E156&gt;=Settings!$B$5,"Y","N"),"")</f>
        <v/>
      </c>
      <c r="J156" s="16">
        <f>IF(I156="Y","RECENT OFFERING/SPLIT/RIGHTS","")</f>
        <v/>
      </c>
    </row>
    <row r="157">
      <c r="A157" s="16">
        <f>'Rest Universe'!A158</f>
        <v/>
      </c>
      <c r="B157" s="22">
        <f>IFERROR(_xll.BDP(A157,"NAME"),"")</f>
        <v/>
      </c>
      <c r="C157" s="22">
        <f t="array" ref="C157">_xll.BDS(A157, "EQUITY_OFFERINGS", "sortdesc=3", "endrow=1")</f>
        <v/>
      </c>
      <c r="D157" s="16" t="n"/>
      <c r="E157" s="16" t="n"/>
      <c r="F157" s="16" t="n"/>
      <c r="G157" s="16" t="n"/>
      <c r="H157" s="16" t="n"/>
      <c r="I157" s="16">
        <f>IF(ISNUMBER(E157),IF(E157&gt;=Settings!$B$5,"Y","N"),"")</f>
        <v/>
      </c>
      <c r="J157" s="16">
        <f>IF(I157="Y","RECENT OFFERING/SPLIT/RIGHTS","")</f>
        <v/>
      </c>
    </row>
    <row r="158">
      <c r="A158" s="16">
        <f>'Rest Universe'!A159</f>
        <v/>
      </c>
      <c r="B158" s="22">
        <f>IFERROR(_xll.BDP(A158,"NAME"),"")</f>
        <v/>
      </c>
      <c r="C158" s="22">
        <f t="array" ref="C158">_xll.BDS(A158, "EQUITY_OFFERINGS", "sortdesc=3", "endrow=1")</f>
        <v/>
      </c>
      <c r="D158" s="16" t="n"/>
      <c r="E158" s="16" t="n"/>
      <c r="F158" s="16" t="n"/>
      <c r="G158" s="16" t="n"/>
      <c r="H158" s="16" t="n"/>
      <c r="I158" s="16">
        <f>IF(ISNUMBER(E158),IF(E158&gt;=Settings!$B$5,"Y","N"),"")</f>
        <v/>
      </c>
      <c r="J158" s="16">
        <f>IF(I158="Y","RECENT OFFERING/SPLIT/RIGHTS","")</f>
        <v/>
      </c>
    </row>
    <row r="159">
      <c r="A159" s="16">
        <f>'Rest Universe'!A160</f>
        <v/>
      </c>
      <c r="B159" s="22">
        <f>IFERROR(_xll.BDP(A159,"NAME"),"")</f>
        <v/>
      </c>
      <c r="C159" s="22">
        <f t="array" ref="C159">_xll.BDS(A159, "EQUITY_OFFERINGS", "sortdesc=3", "endrow=1")</f>
        <v/>
      </c>
      <c r="D159" s="16" t="n"/>
      <c r="E159" s="16" t="n"/>
      <c r="F159" s="16" t="n"/>
      <c r="G159" s="16" t="n"/>
      <c r="H159" s="16" t="n"/>
      <c r="I159" s="16">
        <f>IF(ISNUMBER(E159),IF(E159&gt;=Settings!$B$5,"Y","N"),"")</f>
        <v/>
      </c>
      <c r="J159" s="16">
        <f>IF(I159="Y","RECENT OFFERING/SPLIT/RIGHTS","")</f>
        <v/>
      </c>
    </row>
    <row r="160">
      <c r="A160" s="16">
        <f>'Rest Universe'!A161</f>
        <v/>
      </c>
      <c r="B160" s="22">
        <f>IFERROR(_xll.BDP(A160,"NAME"),"")</f>
        <v/>
      </c>
      <c r="C160" s="22">
        <f t="array" ref="C160">_xll.BDS(A160, "EQUITY_OFFERINGS", "sortdesc=3", "endrow=1")</f>
        <v/>
      </c>
      <c r="D160" s="16" t="n"/>
      <c r="E160" s="16" t="n"/>
      <c r="F160" s="16" t="n"/>
      <c r="G160" s="16" t="n"/>
      <c r="H160" s="16" t="n"/>
      <c r="I160" s="16">
        <f>IF(ISNUMBER(E160),IF(E160&gt;=Settings!$B$5,"Y","N"),"")</f>
        <v/>
      </c>
      <c r="J160" s="16">
        <f>IF(I160="Y","RECENT OFFERING/SPLIT/RIGHTS","")</f>
        <v/>
      </c>
    </row>
    <row r="161">
      <c r="A161" s="16">
        <f>'Rest Universe'!A162</f>
        <v/>
      </c>
      <c r="B161" s="22">
        <f>IFERROR(_xll.BDP(A161,"NAME"),"")</f>
        <v/>
      </c>
      <c r="C161" s="22">
        <f t="array" ref="C161">_xll.BDS(A161, "EQUITY_OFFERINGS", "sortdesc=3", "endrow=1")</f>
        <v/>
      </c>
      <c r="D161" s="16" t="n"/>
      <c r="E161" s="16" t="n"/>
      <c r="F161" s="16" t="n"/>
      <c r="G161" s="16" t="n"/>
      <c r="H161" s="16" t="n"/>
      <c r="I161" s="16">
        <f>IF(ISNUMBER(E161),IF(E161&gt;=Settings!$B$5,"Y","N"),"")</f>
        <v/>
      </c>
      <c r="J161" s="16">
        <f>IF(I161="Y","RECENT OFFERING/SPLIT/RIGHTS","")</f>
        <v/>
      </c>
    </row>
    <row r="162">
      <c r="A162" s="16">
        <f>'Rest Universe'!A163</f>
        <v/>
      </c>
      <c r="B162" s="22">
        <f>IFERROR(_xll.BDP(A162,"NAME"),"")</f>
        <v/>
      </c>
      <c r="C162" s="22">
        <f t="array" ref="C162">_xll.BDS(A162, "EQUITY_OFFERINGS", "sortdesc=3", "endrow=1")</f>
        <v/>
      </c>
      <c r="D162" s="16" t="n"/>
      <c r="E162" s="16" t="n"/>
      <c r="F162" s="16" t="n"/>
      <c r="G162" s="16" t="n"/>
      <c r="H162" s="16" t="n"/>
      <c r="I162" s="16">
        <f>IF(ISNUMBER(E162),IF(E162&gt;=Settings!$B$5,"Y","N"),"")</f>
        <v/>
      </c>
      <c r="J162" s="16">
        <f>IF(I162="Y","RECENT OFFERING/SPLIT/RIGHTS","")</f>
        <v/>
      </c>
    </row>
    <row r="163">
      <c r="A163" s="16">
        <f>'Rest Universe'!A164</f>
        <v/>
      </c>
      <c r="B163" s="22">
        <f>IFERROR(_xll.BDP(A163,"NAME"),"")</f>
        <v/>
      </c>
      <c r="C163" s="22">
        <f t="array" ref="C163">_xll.BDS(A163, "EQUITY_OFFERINGS", "sortdesc=3", "endrow=1")</f>
        <v/>
      </c>
      <c r="D163" s="16" t="n"/>
      <c r="E163" s="16" t="n"/>
      <c r="F163" s="16" t="n"/>
      <c r="G163" s="16" t="n"/>
      <c r="H163" s="16" t="n"/>
      <c r="I163" s="16">
        <f>IF(ISNUMBER(E163),IF(E163&gt;=Settings!$B$5,"Y","N"),"")</f>
        <v/>
      </c>
      <c r="J163" s="16">
        <f>IF(I163="Y","RECENT OFFERING/SPLIT/RIGHTS","")</f>
        <v/>
      </c>
    </row>
    <row r="164">
      <c r="A164" s="16">
        <f>'Rest Universe'!A165</f>
        <v/>
      </c>
      <c r="B164" s="22">
        <f>IFERROR(_xll.BDP(A164,"NAME"),"")</f>
        <v/>
      </c>
      <c r="C164" s="22">
        <f t="array" ref="C164">_xll.BDS(A164, "EQUITY_OFFERINGS", "sortdesc=3", "endrow=1")</f>
        <v/>
      </c>
      <c r="D164" s="16" t="n"/>
      <c r="E164" s="16" t="n"/>
      <c r="F164" s="16" t="n"/>
      <c r="G164" s="16" t="n"/>
      <c r="H164" s="16" t="n"/>
      <c r="I164" s="16">
        <f>IF(ISNUMBER(E164),IF(E164&gt;=Settings!$B$5,"Y","N"),"")</f>
        <v/>
      </c>
      <c r="J164" s="16">
        <f>IF(I164="Y","RECENT OFFERING/SPLIT/RIGHTS","")</f>
        <v/>
      </c>
    </row>
    <row r="165">
      <c r="A165" s="16">
        <f>'Rest Universe'!A166</f>
        <v/>
      </c>
      <c r="B165" s="22">
        <f>IFERROR(_xll.BDP(A165,"NAME"),"")</f>
        <v/>
      </c>
      <c r="C165" s="22">
        <f t="array" ref="C165">_xll.BDS(A165, "EQUITY_OFFERINGS", "sortdesc=3", "endrow=1")</f>
        <v/>
      </c>
      <c r="D165" s="16" t="n"/>
      <c r="E165" s="16" t="n"/>
      <c r="F165" s="16" t="n"/>
      <c r="G165" s="16" t="n"/>
      <c r="H165" s="16" t="n"/>
      <c r="I165" s="16">
        <f>IF(ISNUMBER(E165),IF(E165&gt;=Settings!$B$5,"Y","N"),"")</f>
        <v/>
      </c>
      <c r="J165" s="16">
        <f>IF(I165="Y","RECENT OFFERING/SPLIT/RIGHTS","")</f>
        <v/>
      </c>
    </row>
    <row r="166">
      <c r="A166" s="16">
        <f>'Rest Universe'!A167</f>
        <v/>
      </c>
      <c r="B166" s="22">
        <f>IFERROR(_xll.BDP(A166,"NAME"),"")</f>
        <v/>
      </c>
      <c r="C166" s="22">
        <f t="array" ref="C166">_xll.BDS(A166, "EQUITY_OFFERINGS", "sortdesc=3", "endrow=1")</f>
        <v/>
      </c>
      <c r="D166" s="16" t="n"/>
      <c r="E166" s="16" t="n"/>
      <c r="F166" s="16" t="n"/>
      <c r="G166" s="16" t="n"/>
      <c r="H166" s="16" t="n"/>
      <c r="I166" s="16">
        <f>IF(ISNUMBER(E166),IF(E166&gt;=Settings!$B$5,"Y","N"),"")</f>
        <v/>
      </c>
      <c r="J166" s="16">
        <f>IF(I166="Y","RECENT OFFERING/SPLIT/RIGHTS","")</f>
        <v/>
      </c>
    </row>
    <row r="167">
      <c r="A167" s="16">
        <f>'Rest Universe'!A168</f>
        <v/>
      </c>
      <c r="B167" s="22">
        <f>IFERROR(_xll.BDP(A167,"NAME"),"")</f>
        <v/>
      </c>
      <c r="C167" s="22">
        <f t="array" ref="C167">_xll.BDS(A167, "EQUITY_OFFERINGS", "sortdesc=3", "endrow=1")</f>
        <v/>
      </c>
      <c r="D167" s="16" t="n"/>
      <c r="E167" s="16" t="n"/>
      <c r="F167" s="16" t="n"/>
      <c r="G167" s="16" t="n"/>
      <c r="H167" s="16" t="n"/>
      <c r="I167" s="16">
        <f>IF(ISNUMBER(E167),IF(E167&gt;=Settings!$B$5,"Y","N"),"")</f>
        <v/>
      </c>
      <c r="J167" s="16">
        <f>IF(I167="Y","RECENT OFFERING/SPLIT/RIGHTS","")</f>
        <v/>
      </c>
    </row>
    <row r="168">
      <c r="A168" s="16">
        <f>'Rest Universe'!A169</f>
        <v/>
      </c>
      <c r="B168" s="22">
        <f>IFERROR(_xll.BDP(A168,"NAME"),"")</f>
        <v/>
      </c>
      <c r="C168" s="22">
        <f t="array" ref="C168">_xll.BDS(A168, "EQUITY_OFFERINGS", "sortdesc=3", "endrow=1")</f>
        <v/>
      </c>
      <c r="D168" s="16" t="n"/>
      <c r="E168" s="16" t="n"/>
      <c r="F168" s="16" t="n"/>
      <c r="G168" s="16" t="n"/>
      <c r="H168" s="16" t="n"/>
      <c r="I168" s="16">
        <f>IF(ISNUMBER(E168),IF(E168&gt;=Settings!$B$5,"Y","N"),"")</f>
        <v/>
      </c>
      <c r="J168" s="16">
        <f>IF(I168="Y","RECENT OFFERING/SPLIT/RIGHTS","")</f>
        <v/>
      </c>
    </row>
    <row r="169">
      <c r="A169" s="16">
        <f>'Rest Universe'!A170</f>
        <v/>
      </c>
      <c r="B169" s="22">
        <f>IFERROR(_xll.BDP(A169,"NAME"),"")</f>
        <v/>
      </c>
      <c r="C169" s="22">
        <f t="array" ref="C169">_xll.BDS(A169, "EQUITY_OFFERINGS", "sortdesc=3", "endrow=1")</f>
        <v/>
      </c>
      <c r="D169" s="16" t="n"/>
      <c r="E169" s="16" t="n"/>
      <c r="F169" s="16" t="n"/>
      <c r="G169" s="16" t="n"/>
      <c r="H169" s="16" t="n"/>
      <c r="I169" s="16">
        <f>IF(ISNUMBER(E169),IF(E169&gt;=Settings!$B$5,"Y","N"),"")</f>
        <v/>
      </c>
      <c r="J169" s="16">
        <f>IF(I169="Y","RECENT OFFERING/SPLIT/RIGHTS","")</f>
        <v/>
      </c>
    </row>
    <row r="170">
      <c r="A170" s="16">
        <f>'Rest Universe'!A171</f>
        <v/>
      </c>
      <c r="B170" s="22">
        <f>IFERROR(_xll.BDP(A170,"NAME"),"")</f>
        <v/>
      </c>
      <c r="C170" s="22">
        <f t="array" ref="C170">_xll.BDS(A170, "EQUITY_OFFERINGS", "sortdesc=3", "endrow=1")</f>
        <v/>
      </c>
      <c r="D170" s="16" t="n"/>
      <c r="E170" s="16" t="n"/>
      <c r="F170" s="16" t="n"/>
      <c r="G170" s="16" t="n"/>
      <c r="H170" s="16" t="n"/>
      <c r="I170" s="16">
        <f>IF(ISNUMBER(E170),IF(E170&gt;=Settings!$B$5,"Y","N"),"")</f>
        <v/>
      </c>
      <c r="J170" s="16">
        <f>IF(I170="Y","RECENT OFFERING/SPLIT/RIGHTS","")</f>
        <v/>
      </c>
    </row>
    <row r="171">
      <c r="A171" s="16">
        <f>'Rest Universe'!A172</f>
        <v/>
      </c>
      <c r="B171" s="22">
        <f>IFERROR(_xll.BDP(A171,"NAME"),"")</f>
        <v/>
      </c>
      <c r="C171" s="22">
        <f t="array" ref="C171">_xll.BDS(A171, "EQUITY_OFFERINGS", "sortdesc=3", "endrow=1")</f>
        <v/>
      </c>
      <c r="D171" s="16" t="n"/>
      <c r="E171" s="16" t="n"/>
      <c r="F171" s="16" t="n"/>
      <c r="G171" s="16" t="n"/>
      <c r="H171" s="16" t="n"/>
      <c r="I171" s="16">
        <f>IF(ISNUMBER(E171),IF(E171&gt;=Settings!$B$5,"Y","N"),"")</f>
        <v/>
      </c>
      <c r="J171" s="16">
        <f>IF(I171="Y","RECENT OFFERING/SPLIT/RIGHTS","")</f>
        <v/>
      </c>
    </row>
    <row r="172">
      <c r="A172" s="16">
        <f>'Rest Universe'!A173</f>
        <v/>
      </c>
      <c r="B172" s="22">
        <f>IFERROR(_xll.BDP(A172,"NAME"),"")</f>
        <v/>
      </c>
      <c r="C172" s="22">
        <f t="array" ref="C172">_xll.BDS(A172, "EQUITY_OFFERINGS", "sortdesc=3", "endrow=1")</f>
        <v/>
      </c>
      <c r="D172" s="16" t="n"/>
      <c r="E172" s="16" t="n"/>
      <c r="F172" s="16" t="n"/>
      <c r="G172" s="16" t="n"/>
      <c r="H172" s="16" t="n"/>
      <c r="I172" s="16">
        <f>IF(ISNUMBER(E172),IF(E172&gt;=Settings!$B$5,"Y","N"),"")</f>
        <v/>
      </c>
      <c r="J172" s="16">
        <f>IF(I172="Y","RECENT OFFERING/SPLIT/RIGHTS","")</f>
        <v/>
      </c>
    </row>
    <row r="173">
      <c r="A173" s="16">
        <f>'Rest Universe'!A174</f>
        <v/>
      </c>
      <c r="B173" s="22">
        <f>IFERROR(_xll.BDP(A173,"NAME"),"")</f>
        <v/>
      </c>
      <c r="C173" s="22">
        <f t="array" ref="C173">_xll.BDS(A173, "EQUITY_OFFERINGS", "sortdesc=3", "endrow=1")</f>
        <v/>
      </c>
      <c r="D173" s="16" t="n"/>
      <c r="E173" s="16" t="n"/>
      <c r="F173" s="16" t="n"/>
      <c r="G173" s="16" t="n"/>
      <c r="H173" s="16" t="n"/>
      <c r="I173" s="16">
        <f>IF(ISNUMBER(E173),IF(E173&gt;=Settings!$B$5,"Y","N"),"")</f>
        <v/>
      </c>
      <c r="J173" s="16">
        <f>IF(I173="Y","RECENT OFFERING/SPLIT/RIGHTS","")</f>
        <v/>
      </c>
    </row>
    <row r="174">
      <c r="A174" s="16">
        <f>'Rest Universe'!A175</f>
        <v/>
      </c>
      <c r="B174" s="22">
        <f>IFERROR(_xll.BDP(A174,"NAME"),"")</f>
        <v/>
      </c>
      <c r="C174" s="22">
        <f t="array" ref="C174">_xll.BDS(A174, "EQUITY_OFFERINGS", "sortdesc=3", "endrow=1")</f>
        <v/>
      </c>
      <c r="D174" s="16" t="n"/>
      <c r="E174" s="16" t="n"/>
      <c r="F174" s="16" t="n"/>
      <c r="G174" s="16" t="n"/>
      <c r="H174" s="16" t="n"/>
      <c r="I174" s="16">
        <f>IF(ISNUMBER(E174),IF(E174&gt;=Settings!$B$5,"Y","N"),"")</f>
        <v/>
      </c>
      <c r="J174" s="16">
        <f>IF(I174="Y","RECENT OFFERING/SPLIT/RIGHTS","")</f>
        <v/>
      </c>
    </row>
    <row r="175">
      <c r="A175" s="16">
        <f>'Rest Universe'!A176</f>
        <v/>
      </c>
      <c r="B175" s="22">
        <f>IFERROR(_xll.BDP(A175,"NAME"),"")</f>
        <v/>
      </c>
      <c r="C175" s="22">
        <f t="array" ref="C175">_xll.BDS(A175, "EQUITY_OFFERINGS", "sortdesc=3", "endrow=1")</f>
        <v/>
      </c>
      <c r="D175" s="16" t="n"/>
      <c r="E175" s="16" t="n"/>
      <c r="F175" s="16" t="n"/>
      <c r="G175" s="16" t="n"/>
      <c r="H175" s="16" t="n"/>
      <c r="I175" s="16">
        <f>IF(ISNUMBER(E175),IF(E175&gt;=Settings!$B$5,"Y","N"),"")</f>
        <v/>
      </c>
      <c r="J175" s="16">
        <f>IF(I175="Y","RECENT OFFERING/SPLIT/RIGHTS","")</f>
        <v/>
      </c>
    </row>
    <row r="176">
      <c r="A176" s="16">
        <f>'Rest Universe'!A177</f>
        <v/>
      </c>
      <c r="B176" s="22">
        <f>IFERROR(_xll.BDP(A176,"NAME"),"")</f>
        <v/>
      </c>
      <c r="C176" s="22">
        <f t="array" ref="C176">_xll.BDS(A176, "EQUITY_OFFERINGS", "sortdesc=3", "endrow=1")</f>
        <v/>
      </c>
      <c r="D176" s="16" t="n"/>
      <c r="E176" s="16" t="n"/>
      <c r="F176" s="16" t="n"/>
      <c r="G176" s="16" t="n"/>
      <c r="H176" s="16" t="n"/>
      <c r="I176" s="16">
        <f>IF(ISNUMBER(E176),IF(E176&gt;=Settings!$B$5,"Y","N"),"")</f>
        <v/>
      </c>
      <c r="J176" s="16">
        <f>IF(I176="Y","RECENT OFFERING/SPLIT/RIGHTS","")</f>
        <v/>
      </c>
    </row>
    <row r="177">
      <c r="A177" s="16">
        <f>'Rest Universe'!A178</f>
        <v/>
      </c>
      <c r="B177" s="22">
        <f>IFERROR(_xll.BDP(A177,"NAME"),"")</f>
        <v/>
      </c>
      <c r="C177" s="22">
        <f t="array" ref="C177">_xll.BDS(A177, "EQUITY_OFFERINGS", "sortdesc=3", "endrow=1")</f>
        <v/>
      </c>
      <c r="D177" s="16" t="n"/>
      <c r="E177" s="16" t="n"/>
      <c r="F177" s="16" t="n"/>
      <c r="G177" s="16" t="n"/>
      <c r="H177" s="16" t="n"/>
      <c r="I177" s="16">
        <f>IF(ISNUMBER(E177),IF(E177&gt;=Settings!$B$5,"Y","N"),"")</f>
        <v/>
      </c>
      <c r="J177" s="16">
        <f>IF(I177="Y","RECENT OFFERING/SPLIT/RIGHTS","")</f>
        <v/>
      </c>
    </row>
    <row r="178">
      <c r="A178" s="16">
        <f>'Rest Universe'!A179</f>
        <v/>
      </c>
      <c r="B178" s="22">
        <f>IFERROR(_xll.BDP(A178,"NAME"),"")</f>
        <v/>
      </c>
      <c r="C178" s="22">
        <f t="array" ref="C178">_xll.BDS(A178, "EQUITY_OFFERINGS", "sortdesc=3", "endrow=1")</f>
        <v/>
      </c>
      <c r="D178" s="16" t="n"/>
      <c r="E178" s="16" t="n"/>
      <c r="F178" s="16" t="n"/>
      <c r="G178" s="16" t="n"/>
      <c r="H178" s="16" t="n"/>
      <c r="I178" s="16">
        <f>IF(ISNUMBER(E178),IF(E178&gt;=Settings!$B$5,"Y","N"),"")</f>
        <v/>
      </c>
      <c r="J178" s="16">
        <f>IF(I178="Y","RECENT OFFERING/SPLIT/RIGHTS","")</f>
        <v/>
      </c>
    </row>
    <row r="179">
      <c r="A179" s="16">
        <f>'Rest Universe'!A180</f>
        <v/>
      </c>
      <c r="B179" s="22">
        <f>IFERROR(_xll.BDP(A179,"NAME"),"")</f>
        <v/>
      </c>
      <c r="C179" s="22">
        <f t="array" ref="C179">_xll.BDS(A179, "EQUITY_OFFERINGS", "sortdesc=3", "endrow=1")</f>
        <v/>
      </c>
      <c r="D179" s="16" t="n"/>
      <c r="E179" s="16" t="n"/>
      <c r="F179" s="16" t="n"/>
      <c r="G179" s="16" t="n"/>
      <c r="H179" s="16" t="n"/>
      <c r="I179" s="16">
        <f>IF(ISNUMBER(E179),IF(E179&gt;=Settings!$B$5,"Y","N"),"")</f>
        <v/>
      </c>
      <c r="J179" s="16">
        <f>IF(I179="Y","RECENT OFFERING/SPLIT/RIGHTS","")</f>
        <v/>
      </c>
    </row>
    <row r="180">
      <c r="A180" s="16">
        <f>'Rest Universe'!A181</f>
        <v/>
      </c>
      <c r="B180" s="22">
        <f>IFERROR(_xll.BDP(A180,"NAME"),"")</f>
        <v/>
      </c>
      <c r="C180" s="22">
        <f t="array" ref="C180">_xll.BDS(A180, "EQUITY_OFFERINGS", "sortdesc=3", "endrow=1")</f>
        <v/>
      </c>
      <c r="D180" s="16" t="n"/>
      <c r="E180" s="16" t="n"/>
      <c r="F180" s="16" t="n"/>
      <c r="G180" s="16" t="n"/>
      <c r="H180" s="16" t="n"/>
      <c r="I180" s="16">
        <f>IF(ISNUMBER(E180),IF(E180&gt;=Settings!$B$5,"Y","N"),"")</f>
        <v/>
      </c>
      <c r="J180" s="16">
        <f>IF(I180="Y","RECENT OFFERING/SPLIT/RIGHTS","")</f>
        <v/>
      </c>
    </row>
    <row r="181">
      <c r="A181" s="16">
        <f>'Rest Universe'!A182</f>
        <v/>
      </c>
      <c r="B181" s="22">
        <f>IFERROR(_xll.BDP(A181,"NAME"),"")</f>
        <v/>
      </c>
      <c r="C181" s="22">
        <f t="array" ref="C181">_xll.BDS(A181, "EQUITY_OFFERINGS", "sortdesc=3", "endrow=1")</f>
        <v/>
      </c>
      <c r="D181" s="16" t="n"/>
      <c r="E181" s="16" t="n"/>
      <c r="F181" s="16" t="n"/>
      <c r="G181" s="16" t="n"/>
      <c r="H181" s="16" t="n"/>
      <c r="I181" s="16">
        <f>IF(ISNUMBER(E181),IF(E181&gt;=Settings!$B$5,"Y","N"),"")</f>
        <v/>
      </c>
      <c r="J181" s="16">
        <f>IF(I181="Y","RECENT OFFERING/SPLIT/RIGHTS","")</f>
        <v/>
      </c>
    </row>
    <row r="182">
      <c r="A182" s="16">
        <f>'Rest Universe'!A183</f>
        <v/>
      </c>
      <c r="B182" s="22">
        <f>IFERROR(_xll.BDP(A182,"NAME"),"")</f>
        <v/>
      </c>
      <c r="C182" s="22">
        <f t="array" ref="C182">_xll.BDS(A182, "EQUITY_OFFERINGS", "sortdesc=3", "endrow=1")</f>
        <v/>
      </c>
      <c r="D182" s="16" t="n"/>
      <c r="E182" s="16" t="n"/>
      <c r="F182" s="16" t="n"/>
      <c r="G182" s="16" t="n"/>
      <c r="H182" s="16" t="n"/>
      <c r="I182" s="16">
        <f>IF(ISNUMBER(E182),IF(E182&gt;=Settings!$B$5,"Y","N"),"")</f>
        <v/>
      </c>
      <c r="J182" s="16">
        <f>IF(I182="Y","RECENT OFFERING/SPLIT/RIGHTS","")</f>
        <v/>
      </c>
    </row>
    <row r="183">
      <c r="A183" s="16">
        <f>'Rest Universe'!A184</f>
        <v/>
      </c>
      <c r="B183" s="22">
        <f>IFERROR(_xll.BDP(A183,"NAME"),"")</f>
        <v/>
      </c>
      <c r="C183" s="22">
        <f t="array" ref="C183">_xll.BDS(A183, "EQUITY_OFFERINGS", "sortdesc=3", "endrow=1")</f>
        <v/>
      </c>
      <c r="D183" s="16" t="n"/>
      <c r="E183" s="16" t="n"/>
      <c r="F183" s="16" t="n"/>
      <c r="G183" s="16" t="n"/>
      <c r="H183" s="16" t="n"/>
      <c r="I183" s="16">
        <f>IF(ISNUMBER(E183),IF(E183&gt;=Settings!$B$5,"Y","N"),"")</f>
        <v/>
      </c>
      <c r="J183" s="16">
        <f>IF(I183="Y","RECENT OFFERING/SPLIT/RIGHTS","")</f>
        <v/>
      </c>
    </row>
    <row r="184">
      <c r="A184" s="16">
        <f>'Rest Universe'!A185</f>
        <v/>
      </c>
      <c r="B184" s="22">
        <f>IFERROR(_xll.BDP(A184,"NAME"),"")</f>
        <v/>
      </c>
      <c r="C184" s="22">
        <f t="array" ref="C184">_xll.BDS(A184, "EQUITY_OFFERINGS", "sortdesc=3", "endrow=1")</f>
        <v/>
      </c>
      <c r="D184" s="16" t="n"/>
      <c r="E184" s="16" t="n"/>
      <c r="F184" s="16" t="n"/>
      <c r="G184" s="16" t="n"/>
      <c r="H184" s="16" t="n"/>
      <c r="I184" s="16">
        <f>IF(ISNUMBER(E184),IF(E184&gt;=Settings!$B$5,"Y","N"),"")</f>
        <v/>
      </c>
      <c r="J184" s="16">
        <f>IF(I184="Y","RECENT OFFERING/SPLIT/RIGHTS","")</f>
        <v/>
      </c>
    </row>
    <row r="185">
      <c r="A185" s="16">
        <f>'Rest Universe'!A186</f>
        <v/>
      </c>
      <c r="B185" s="22">
        <f>IFERROR(_xll.BDP(A185,"NAME"),"")</f>
        <v/>
      </c>
      <c r="C185" s="22">
        <f t="array" ref="C185">_xll.BDS(A185, "EQUITY_OFFERINGS", "sortdesc=3", "endrow=1")</f>
        <v/>
      </c>
      <c r="D185" s="16" t="n"/>
      <c r="E185" s="16" t="n"/>
      <c r="F185" s="16" t="n"/>
      <c r="G185" s="16" t="n"/>
      <c r="H185" s="16" t="n"/>
      <c r="I185" s="16">
        <f>IF(ISNUMBER(E185),IF(E185&gt;=Settings!$B$5,"Y","N"),"")</f>
        <v/>
      </c>
      <c r="J185" s="16">
        <f>IF(I185="Y","RECENT OFFERING/SPLIT/RIGHTS","")</f>
        <v/>
      </c>
    </row>
    <row r="186">
      <c r="A186" s="16">
        <f>'Rest Universe'!A187</f>
        <v/>
      </c>
      <c r="B186" s="22">
        <f>IFERROR(_xll.BDP(A186,"NAME"),"")</f>
        <v/>
      </c>
      <c r="C186" s="22">
        <f t="array" ref="C186">_xll.BDS(A186, "EQUITY_OFFERINGS", "sortdesc=3", "endrow=1")</f>
        <v/>
      </c>
      <c r="D186" s="16" t="n"/>
      <c r="E186" s="16" t="n"/>
      <c r="F186" s="16" t="n"/>
      <c r="G186" s="16" t="n"/>
      <c r="H186" s="16" t="n"/>
      <c r="I186" s="16">
        <f>IF(ISNUMBER(E186),IF(E186&gt;=Settings!$B$5,"Y","N"),"")</f>
        <v/>
      </c>
      <c r="J186" s="16">
        <f>IF(I186="Y","RECENT OFFERING/SPLIT/RIGHTS","")</f>
        <v/>
      </c>
    </row>
    <row r="187">
      <c r="A187" s="16">
        <f>'Rest Universe'!A188</f>
        <v/>
      </c>
      <c r="B187" s="22">
        <f>IFERROR(_xll.BDP(A187,"NAME"),"")</f>
        <v/>
      </c>
      <c r="C187" s="22">
        <f t="array" ref="C187">_xll.BDS(A187, "EQUITY_OFFERINGS", "sortdesc=3", "endrow=1")</f>
        <v/>
      </c>
      <c r="D187" s="16" t="n"/>
      <c r="E187" s="16" t="n"/>
      <c r="F187" s="16" t="n"/>
      <c r="G187" s="16" t="n"/>
      <c r="H187" s="16" t="n"/>
      <c r="I187" s="16">
        <f>IF(ISNUMBER(E187),IF(E187&gt;=Settings!$B$5,"Y","N"),"")</f>
        <v/>
      </c>
      <c r="J187" s="16">
        <f>IF(I187="Y","RECENT OFFERING/SPLIT/RIGHTS","")</f>
        <v/>
      </c>
    </row>
    <row r="188">
      <c r="A188" s="16">
        <f>'Rest Universe'!A189</f>
        <v/>
      </c>
      <c r="B188" s="22">
        <f>IFERROR(_xll.BDP(A188,"NAME"),"")</f>
        <v/>
      </c>
      <c r="C188" s="22">
        <f t="array" ref="C188">_xll.BDS(A188, "EQUITY_OFFERINGS", "sortdesc=3", "endrow=1")</f>
        <v/>
      </c>
      <c r="D188" s="16" t="n"/>
      <c r="E188" s="16" t="n"/>
      <c r="F188" s="16" t="n"/>
      <c r="G188" s="16" t="n"/>
      <c r="H188" s="16" t="n"/>
      <c r="I188" s="16">
        <f>IF(ISNUMBER(E188),IF(E188&gt;=Settings!$B$5,"Y","N"),"")</f>
        <v/>
      </c>
      <c r="J188" s="16">
        <f>IF(I188="Y","RECENT OFFERING/SPLIT/RIGHTS","")</f>
        <v/>
      </c>
    </row>
    <row r="189">
      <c r="A189" s="16">
        <f>'Rest Universe'!A190</f>
        <v/>
      </c>
      <c r="B189" s="22">
        <f>IFERROR(_xll.BDP(A189,"NAME"),"")</f>
        <v/>
      </c>
      <c r="C189" s="22">
        <f t="array" ref="C189">_xll.BDS(A189, "EQUITY_OFFERINGS", "sortdesc=3", "endrow=1")</f>
        <v/>
      </c>
      <c r="D189" s="16" t="n"/>
      <c r="E189" s="16" t="n"/>
      <c r="F189" s="16" t="n"/>
      <c r="G189" s="16" t="n"/>
      <c r="H189" s="16" t="n"/>
      <c r="I189" s="16">
        <f>IF(ISNUMBER(E189),IF(E189&gt;=Settings!$B$5,"Y","N"),"")</f>
        <v/>
      </c>
      <c r="J189" s="16">
        <f>IF(I189="Y","RECENT OFFERING/SPLIT/RIGHTS","")</f>
        <v/>
      </c>
    </row>
    <row r="190">
      <c r="A190" s="16">
        <f>'Rest Universe'!A191</f>
        <v/>
      </c>
      <c r="B190" s="22">
        <f>IFERROR(_xll.BDP(A190,"NAME"),"")</f>
        <v/>
      </c>
      <c r="C190" s="22">
        <f t="array" ref="C190">_xll.BDS(A190, "EQUITY_OFFERINGS", "sortdesc=3", "endrow=1")</f>
        <v/>
      </c>
      <c r="D190" s="16" t="n"/>
      <c r="E190" s="16" t="n"/>
      <c r="F190" s="16" t="n"/>
      <c r="G190" s="16" t="n"/>
      <c r="H190" s="16" t="n"/>
      <c r="I190" s="16">
        <f>IF(ISNUMBER(E190),IF(E190&gt;=Settings!$B$5,"Y","N"),"")</f>
        <v/>
      </c>
      <c r="J190" s="16">
        <f>IF(I190="Y","RECENT OFFERING/SPLIT/RIGHTS","")</f>
        <v/>
      </c>
    </row>
    <row r="191">
      <c r="A191" s="16">
        <f>'Rest Universe'!A192</f>
        <v/>
      </c>
      <c r="B191" s="22">
        <f>IFERROR(_xll.BDP(A191,"NAME"),"")</f>
        <v/>
      </c>
      <c r="C191" s="22">
        <f t="array" ref="C191">_xll.BDS(A191, "EQUITY_OFFERINGS", "sortdesc=3", "endrow=1")</f>
        <v/>
      </c>
      <c r="D191" s="16" t="n"/>
      <c r="E191" s="16" t="n"/>
      <c r="F191" s="16" t="n"/>
      <c r="G191" s="16" t="n"/>
      <c r="H191" s="16" t="n"/>
      <c r="I191" s="16">
        <f>IF(ISNUMBER(E191),IF(E191&gt;=Settings!$B$5,"Y","N"),"")</f>
        <v/>
      </c>
      <c r="J191" s="16">
        <f>IF(I191="Y","RECENT OFFERING/SPLIT/RIGHTS","")</f>
        <v/>
      </c>
    </row>
    <row r="192">
      <c r="A192" s="16">
        <f>'Rest Universe'!A193</f>
        <v/>
      </c>
      <c r="B192" s="22">
        <f>IFERROR(_xll.BDP(A192,"NAME"),"")</f>
        <v/>
      </c>
      <c r="C192" s="22">
        <f t="array" ref="C192">_xll.BDS(A192, "EQUITY_OFFERINGS", "sortdesc=3", "endrow=1")</f>
        <v/>
      </c>
      <c r="D192" s="16" t="n"/>
      <c r="E192" s="16" t="n"/>
      <c r="F192" s="16" t="n"/>
      <c r="G192" s="16" t="n"/>
      <c r="H192" s="16" t="n"/>
      <c r="I192" s="16">
        <f>IF(ISNUMBER(E192),IF(E192&gt;=Settings!$B$5,"Y","N"),"")</f>
        <v/>
      </c>
      <c r="J192" s="16">
        <f>IF(I192="Y","RECENT OFFERING/SPLIT/RIGHTS","")</f>
        <v/>
      </c>
    </row>
    <row r="193">
      <c r="A193" s="16">
        <f>'Rest Universe'!A194</f>
        <v/>
      </c>
      <c r="B193" s="22">
        <f>IFERROR(_xll.BDP(A193,"NAME"),"")</f>
        <v/>
      </c>
      <c r="C193" s="22">
        <f t="array" ref="C193">_xll.BDS(A193, "EQUITY_OFFERINGS", "sortdesc=3", "endrow=1")</f>
        <v/>
      </c>
      <c r="D193" s="16" t="n"/>
      <c r="E193" s="16" t="n"/>
      <c r="F193" s="16" t="n"/>
      <c r="G193" s="16" t="n"/>
      <c r="H193" s="16" t="n"/>
      <c r="I193" s="16">
        <f>IF(ISNUMBER(E193),IF(E193&gt;=Settings!$B$5,"Y","N"),"")</f>
        <v/>
      </c>
      <c r="J193" s="16">
        <f>IF(I193="Y","RECENT OFFERING/SPLIT/RIGHTS","")</f>
        <v/>
      </c>
    </row>
    <row r="194">
      <c r="A194" s="16">
        <f>'Rest Universe'!A195</f>
        <v/>
      </c>
      <c r="B194" s="22">
        <f>IFERROR(_xll.BDP(A194,"NAME"),"")</f>
        <v/>
      </c>
      <c r="C194" s="22">
        <f t="array" ref="C194">_xll.BDS(A194, "EQUITY_OFFERINGS", "sortdesc=3", "endrow=1")</f>
        <v/>
      </c>
      <c r="D194" s="16" t="n"/>
      <c r="E194" s="16" t="n"/>
      <c r="F194" s="16" t="n"/>
      <c r="G194" s="16" t="n"/>
      <c r="H194" s="16" t="n"/>
      <c r="I194" s="16">
        <f>IF(ISNUMBER(E194),IF(E194&gt;=Settings!$B$5,"Y","N"),"")</f>
        <v/>
      </c>
      <c r="J194" s="16">
        <f>IF(I194="Y","RECENT OFFERING/SPLIT/RIGHTS","")</f>
        <v/>
      </c>
    </row>
    <row r="195">
      <c r="A195" s="16">
        <f>'Rest Universe'!A196</f>
        <v/>
      </c>
      <c r="B195" s="22">
        <f>IFERROR(_xll.BDP(A195,"NAME"),"")</f>
        <v/>
      </c>
      <c r="C195" s="22">
        <f t="array" ref="C195">_xll.BDS(A195, "EQUITY_OFFERINGS", "sortdesc=3", "endrow=1")</f>
        <v/>
      </c>
      <c r="D195" s="16" t="n"/>
      <c r="E195" s="16" t="n"/>
      <c r="F195" s="16" t="n"/>
      <c r="G195" s="16" t="n"/>
      <c r="H195" s="16" t="n"/>
      <c r="I195" s="16">
        <f>IF(ISNUMBER(E195),IF(E195&gt;=Settings!$B$5,"Y","N"),"")</f>
        <v/>
      </c>
      <c r="J195" s="16">
        <f>IF(I195="Y","RECENT OFFERING/SPLIT/RIGHTS","")</f>
        <v/>
      </c>
    </row>
    <row r="196">
      <c r="A196" s="16">
        <f>'Rest Universe'!A197</f>
        <v/>
      </c>
      <c r="B196" s="22">
        <f>IFERROR(_xll.BDP(A196,"NAME"),"")</f>
        <v/>
      </c>
      <c r="C196" s="22">
        <f t="array" ref="C196">_xll.BDS(A196, "EQUITY_OFFERINGS", "sortdesc=3", "endrow=1")</f>
        <v/>
      </c>
      <c r="D196" s="16" t="n"/>
      <c r="E196" s="16" t="n"/>
      <c r="F196" s="16" t="n"/>
      <c r="G196" s="16" t="n"/>
      <c r="H196" s="16" t="n"/>
      <c r="I196" s="16">
        <f>IF(ISNUMBER(E196),IF(E196&gt;=Settings!$B$5,"Y","N"),"")</f>
        <v/>
      </c>
      <c r="J196" s="16">
        <f>IF(I196="Y","RECENT OFFERING/SPLIT/RIGHTS","")</f>
        <v/>
      </c>
    </row>
    <row r="197">
      <c r="A197" s="16">
        <f>'Rest Universe'!A198</f>
        <v/>
      </c>
      <c r="B197" s="22">
        <f>IFERROR(_xll.BDP(A197,"NAME"),"")</f>
        <v/>
      </c>
      <c r="C197" s="22">
        <f t="array" ref="C197">_xll.BDS(A197, "EQUITY_OFFERINGS", "sortdesc=3", "endrow=1")</f>
        <v/>
      </c>
      <c r="D197" s="16" t="n"/>
      <c r="E197" s="16" t="n"/>
      <c r="F197" s="16" t="n"/>
      <c r="G197" s="16" t="n"/>
      <c r="H197" s="16" t="n"/>
      <c r="I197" s="16">
        <f>IF(ISNUMBER(E197),IF(E197&gt;=Settings!$B$5,"Y","N"),"")</f>
        <v/>
      </c>
      <c r="J197" s="16">
        <f>IF(I197="Y","RECENT OFFERING/SPLIT/RIGHTS","")</f>
        <v/>
      </c>
    </row>
    <row r="198">
      <c r="A198" s="16">
        <f>'Rest Universe'!A199</f>
        <v/>
      </c>
      <c r="B198" s="22">
        <f>IFERROR(_xll.BDP(A198,"NAME"),"")</f>
        <v/>
      </c>
      <c r="C198" s="22">
        <f t="array" ref="C198">_xll.BDS(A198, "EQUITY_OFFERINGS", "sortdesc=3", "endrow=1")</f>
        <v/>
      </c>
      <c r="D198" s="16" t="n"/>
      <c r="E198" s="16" t="n"/>
      <c r="F198" s="16" t="n"/>
      <c r="G198" s="16" t="n"/>
      <c r="H198" s="16" t="n"/>
      <c r="I198" s="16">
        <f>IF(ISNUMBER(E198),IF(E198&gt;=Settings!$B$5,"Y","N"),"")</f>
        <v/>
      </c>
      <c r="J198" s="16">
        <f>IF(I198="Y","RECENT OFFERING/SPLIT/RIGHTS","")</f>
        <v/>
      </c>
    </row>
    <row r="199">
      <c r="A199" s="16">
        <f>'Rest Universe'!A200</f>
        <v/>
      </c>
      <c r="B199" s="22">
        <f>IFERROR(_xll.BDP(A199,"NAME"),"")</f>
        <v/>
      </c>
      <c r="C199" s="22">
        <f t="array" ref="C199">_xll.BDS(A199, "EQUITY_OFFERINGS", "sortdesc=3", "endrow=1")</f>
        <v/>
      </c>
      <c r="D199" s="16" t="n"/>
      <c r="E199" s="16" t="n"/>
      <c r="F199" s="16" t="n"/>
      <c r="G199" s="16" t="n"/>
      <c r="H199" s="16" t="n"/>
      <c r="I199" s="16">
        <f>IF(ISNUMBER(E199),IF(E199&gt;=Settings!$B$5,"Y","N"),"")</f>
        <v/>
      </c>
      <c r="J199" s="16">
        <f>IF(I199="Y","RECENT OFFERING/SPLIT/RIGHTS","")</f>
        <v/>
      </c>
    </row>
    <row r="200">
      <c r="A200" s="16">
        <f>'Rest Universe'!A201</f>
        <v/>
      </c>
      <c r="B200" s="22">
        <f>IFERROR(_xll.BDP(A200,"NAME"),"")</f>
        <v/>
      </c>
      <c r="C200" s="22">
        <f t="array" ref="C200">_xll.BDS(A200, "EQUITY_OFFERINGS", "sortdesc=3", "endrow=1")</f>
        <v/>
      </c>
      <c r="D200" s="16" t="n"/>
      <c r="E200" s="16" t="n"/>
      <c r="F200" s="16" t="n"/>
      <c r="G200" s="16" t="n"/>
      <c r="H200" s="16" t="n"/>
      <c r="I200" s="16">
        <f>IF(ISNUMBER(E200),IF(E200&gt;=Settings!$B$5,"Y","N"),"")</f>
        <v/>
      </c>
      <c r="J200" s="16">
        <f>IF(I200="Y","RECENT OFFERING/SPLIT/RIGHTS","")</f>
        <v/>
      </c>
    </row>
    <row r="201">
      <c r="A201" s="16">
        <f>'Rest Universe'!A202</f>
        <v/>
      </c>
      <c r="B201" s="22">
        <f>IFERROR(_xll.BDP(A201,"NAME"),"")</f>
        <v/>
      </c>
      <c r="C201" s="22">
        <f t="array" ref="C201">_xll.BDS(A201, "EQUITY_OFFERINGS", "sortdesc=3", "endrow=1")</f>
        <v/>
      </c>
      <c r="D201" s="16" t="n"/>
      <c r="E201" s="16" t="n"/>
      <c r="F201" s="16" t="n"/>
      <c r="G201" s="16" t="n"/>
      <c r="H201" s="16" t="n"/>
      <c r="I201" s="16">
        <f>IF(ISNUMBER(E201),IF(E201&gt;=Settings!$B$5,"Y","N"),"")</f>
        <v/>
      </c>
      <c r="J201" s="16">
        <f>IF(I201="Y","RECENT OFFERING/SPLIT/RIGHTS","")</f>
        <v/>
      </c>
    </row>
    <row r="202">
      <c r="A202" s="16">
        <f>'Rest Universe'!A203</f>
        <v/>
      </c>
      <c r="B202" s="22">
        <f>IFERROR(_xll.BDP(A202,"NAME"),"")</f>
        <v/>
      </c>
      <c r="C202" s="22">
        <f t="array" ref="C202">_xll.BDS(A202, "EQUITY_OFFERINGS", "sortdesc=3", "endrow=1")</f>
        <v/>
      </c>
      <c r="D202" s="16" t="n"/>
      <c r="E202" s="16" t="n"/>
      <c r="F202" s="16" t="n"/>
      <c r="G202" s="16" t="n"/>
      <c r="H202" s="16" t="n"/>
      <c r="I202" s="16">
        <f>IF(ISNUMBER(E202),IF(E202&gt;=Settings!$B$5,"Y","N"),"")</f>
        <v/>
      </c>
      <c r="J202" s="16">
        <f>IF(I202="Y","RECENT OFFERING/SPLIT/RIGHTS","")</f>
        <v/>
      </c>
    </row>
    <row r="203">
      <c r="A203" s="16">
        <f>'Rest Universe'!A204</f>
        <v/>
      </c>
      <c r="B203" s="22">
        <f>IFERROR(_xll.BDP(A203,"NAME"),"")</f>
        <v/>
      </c>
      <c r="C203" s="22">
        <f t="array" ref="C203">_xll.BDS(A203, "EQUITY_OFFERINGS", "sortdesc=3", "endrow=1")</f>
        <v/>
      </c>
      <c r="D203" s="16" t="n"/>
      <c r="E203" s="16" t="n"/>
      <c r="F203" s="16" t="n"/>
      <c r="G203" s="16" t="n"/>
      <c r="H203" s="16" t="n"/>
      <c r="I203" s="16">
        <f>IF(ISNUMBER(E203),IF(E203&gt;=Settings!$B$5,"Y","N"),"")</f>
        <v/>
      </c>
      <c r="J203" s="16">
        <f>IF(I203="Y","RECENT OFFERING/SPLIT/RIGHTS","")</f>
        <v/>
      </c>
    </row>
    <row r="204">
      <c r="A204" s="16">
        <f>'Rest Universe'!A205</f>
        <v/>
      </c>
      <c r="B204" s="22">
        <f>IFERROR(_xll.BDP(A204,"NAME"),"")</f>
        <v/>
      </c>
      <c r="C204" s="22">
        <f t="array" ref="C204">_xll.BDS(A204, "EQUITY_OFFERINGS", "sortdesc=3", "endrow=1")</f>
        <v/>
      </c>
      <c r="D204" s="16" t="n"/>
      <c r="E204" s="16" t="n"/>
      <c r="F204" s="16" t="n"/>
      <c r="G204" s="16" t="n"/>
      <c r="H204" s="16" t="n"/>
      <c r="I204" s="16">
        <f>IF(ISNUMBER(E204),IF(E204&gt;=Settings!$B$5,"Y","N"),"")</f>
        <v/>
      </c>
      <c r="J204" s="16">
        <f>IF(I204="Y","RECENT OFFERING/SPLIT/RIGHTS","")</f>
        <v/>
      </c>
    </row>
    <row r="205">
      <c r="A205" s="16">
        <f>'Rest Universe'!A206</f>
        <v/>
      </c>
      <c r="B205" s="22">
        <f>IFERROR(_xll.BDP(A205,"NAME"),"")</f>
        <v/>
      </c>
      <c r="C205" s="22">
        <f t="array" ref="C205">_xll.BDS(A205, "EQUITY_OFFERINGS", "sortdesc=3", "endrow=1")</f>
        <v/>
      </c>
      <c r="D205" s="16" t="n"/>
      <c r="E205" s="16" t="n"/>
      <c r="F205" s="16" t="n"/>
      <c r="G205" s="16" t="n"/>
      <c r="H205" s="16" t="n"/>
      <c r="I205" s="16">
        <f>IF(ISNUMBER(E205),IF(E205&gt;=Settings!$B$5,"Y","N"),"")</f>
        <v/>
      </c>
      <c r="J205" s="16">
        <f>IF(I205="Y","RECENT OFFERING/SPLIT/RIGHTS","")</f>
        <v/>
      </c>
    </row>
    <row r="206">
      <c r="A206" s="16">
        <f>'Rest Universe'!A207</f>
        <v/>
      </c>
      <c r="B206" s="22">
        <f>IFERROR(_xll.BDP(A206,"NAME"),"")</f>
        <v/>
      </c>
      <c r="C206" s="22">
        <f t="array" ref="C206">_xll.BDS(A206, "EQUITY_OFFERINGS", "sortdesc=3", "endrow=1")</f>
        <v/>
      </c>
      <c r="D206" s="16" t="n"/>
      <c r="E206" s="16" t="n"/>
      <c r="F206" s="16" t="n"/>
      <c r="G206" s="16" t="n"/>
      <c r="H206" s="16" t="n"/>
      <c r="I206" s="16">
        <f>IF(ISNUMBER(E206),IF(E206&gt;=Settings!$B$5,"Y","N"),"")</f>
        <v/>
      </c>
      <c r="J206" s="16">
        <f>IF(I206="Y","RECENT OFFERING/SPLIT/RIGHTS","")</f>
        <v/>
      </c>
    </row>
    <row r="207">
      <c r="A207" s="16">
        <f>'Rest Universe'!A208</f>
        <v/>
      </c>
      <c r="B207" s="22">
        <f>IFERROR(_xll.BDP(A207,"NAME"),"")</f>
        <v/>
      </c>
      <c r="C207" s="22">
        <f t="array" ref="C207">_xll.BDS(A207, "EQUITY_OFFERINGS", "sortdesc=3", "endrow=1")</f>
        <v/>
      </c>
      <c r="D207" s="16" t="n"/>
      <c r="E207" s="16" t="n"/>
      <c r="F207" s="16" t="n"/>
      <c r="G207" s="16" t="n"/>
      <c r="H207" s="16" t="n"/>
      <c r="I207" s="16">
        <f>IF(ISNUMBER(E207),IF(E207&gt;=Settings!$B$5,"Y","N"),"")</f>
        <v/>
      </c>
      <c r="J207" s="16">
        <f>IF(I207="Y","RECENT OFFERING/SPLIT/RIGHTS","")</f>
        <v/>
      </c>
    </row>
    <row r="208">
      <c r="A208" s="16">
        <f>'Rest Universe'!A209</f>
        <v/>
      </c>
      <c r="B208" s="22">
        <f>IFERROR(_xll.BDP(A208,"NAME"),"")</f>
        <v/>
      </c>
      <c r="C208" s="22">
        <f t="array" ref="C208">_xll.BDS(A208, "EQUITY_OFFERINGS", "sortdesc=3", "endrow=1")</f>
        <v/>
      </c>
      <c r="D208" s="16" t="n"/>
      <c r="E208" s="16" t="n"/>
      <c r="F208" s="16" t="n"/>
      <c r="G208" s="16" t="n"/>
      <c r="H208" s="16" t="n"/>
      <c r="I208" s="16">
        <f>IF(ISNUMBER(E208),IF(E208&gt;=Settings!$B$5,"Y","N"),"")</f>
        <v/>
      </c>
      <c r="J208" s="16">
        <f>IF(I208="Y","RECENT OFFERING/SPLIT/RIGHTS","")</f>
        <v/>
      </c>
    </row>
    <row r="209">
      <c r="A209" s="16">
        <f>'Rest Universe'!A210</f>
        <v/>
      </c>
      <c r="B209" s="22">
        <f>IFERROR(_xll.BDP(A209,"NAME"),"")</f>
        <v/>
      </c>
      <c r="C209" s="22">
        <f t="array" ref="C209">_xll.BDS(A209, "EQUITY_OFFERINGS", "sortdesc=3", "endrow=1")</f>
        <v/>
      </c>
      <c r="D209" s="16" t="n"/>
      <c r="E209" s="16" t="n"/>
      <c r="F209" s="16" t="n"/>
      <c r="G209" s="16" t="n"/>
      <c r="H209" s="16" t="n"/>
      <c r="I209" s="16">
        <f>IF(ISNUMBER(E209),IF(E209&gt;=Settings!$B$5,"Y","N"),"")</f>
        <v/>
      </c>
      <c r="J209" s="16">
        <f>IF(I209="Y","RECENT OFFERING/SPLIT/RIGHTS","")</f>
        <v/>
      </c>
    </row>
    <row r="210">
      <c r="A210" s="16">
        <f>'Rest Universe'!A211</f>
        <v/>
      </c>
      <c r="B210" s="22">
        <f>IFERROR(_xll.BDP(A210,"NAME"),"")</f>
        <v/>
      </c>
      <c r="C210" s="22">
        <f t="array" ref="C210">_xll.BDS(A210, "EQUITY_OFFERINGS", "sortdesc=3", "endrow=1")</f>
        <v/>
      </c>
      <c r="D210" s="16" t="n"/>
      <c r="E210" s="16" t="n"/>
      <c r="F210" s="16" t="n"/>
      <c r="G210" s="16" t="n"/>
      <c r="H210" s="16" t="n"/>
      <c r="I210" s="16">
        <f>IF(ISNUMBER(E210),IF(E210&gt;=Settings!$B$5,"Y","N"),"")</f>
        <v/>
      </c>
      <c r="J210" s="16">
        <f>IF(I210="Y","RECENT OFFERING/SPLIT/RIGHTS","")</f>
        <v/>
      </c>
    </row>
    <row r="211">
      <c r="A211" s="16">
        <f>'Rest Universe'!A212</f>
        <v/>
      </c>
      <c r="B211" s="22">
        <f>IFERROR(_xll.BDP(A211,"NAME"),"")</f>
        <v/>
      </c>
      <c r="C211" s="22">
        <f t="array" ref="C211">_xll.BDS(A211, "EQUITY_OFFERINGS", "sortdesc=3", "endrow=1")</f>
        <v/>
      </c>
      <c r="D211" s="16" t="n"/>
      <c r="E211" s="16" t="n"/>
      <c r="F211" s="16" t="n"/>
      <c r="G211" s="16" t="n"/>
      <c r="H211" s="16" t="n"/>
      <c r="I211" s="16">
        <f>IF(ISNUMBER(E211),IF(E211&gt;=Settings!$B$5,"Y","N"),"")</f>
        <v/>
      </c>
      <c r="J211" s="16">
        <f>IF(I211="Y","RECENT OFFERING/SPLIT/RIGHTS","")</f>
        <v/>
      </c>
    </row>
    <row r="212">
      <c r="A212" s="16">
        <f>'Rest Universe'!A213</f>
        <v/>
      </c>
      <c r="B212" s="22">
        <f>IFERROR(_xll.BDP(A212,"NAME"),"")</f>
        <v/>
      </c>
      <c r="C212" s="22">
        <f t="array" ref="C212">_xll.BDS(A212, "EQUITY_OFFERINGS", "sortdesc=3", "endrow=1")</f>
        <v/>
      </c>
      <c r="D212" s="16" t="n"/>
      <c r="E212" s="16" t="n"/>
      <c r="F212" s="16" t="n"/>
      <c r="G212" s="16" t="n"/>
      <c r="H212" s="16" t="n"/>
      <c r="I212" s="16">
        <f>IF(ISNUMBER(E212),IF(E212&gt;=Settings!$B$5,"Y","N"),"")</f>
        <v/>
      </c>
      <c r="J212" s="16">
        <f>IF(I212="Y","RECENT OFFERING/SPLIT/RIGHTS","")</f>
        <v/>
      </c>
    </row>
    <row r="213">
      <c r="A213" s="16">
        <f>'Rest Universe'!A214</f>
        <v/>
      </c>
      <c r="B213" s="22">
        <f>IFERROR(_xll.BDP(A213,"NAME"),"")</f>
        <v/>
      </c>
      <c r="C213" s="22">
        <f t="array" ref="C213">_xll.BDS(A213, "EQUITY_OFFERINGS", "sortdesc=3", "endrow=1")</f>
        <v/>
      </c>
      <c r="D213" s="16" t="n"/>
      <c r="E213" s="16" t="n"/>
      <c r="F213" s="16" t="n"/>
      <c r="G213" s="16" t="n"/>
      <c r="H213" s="16" t="n"/>
      <c r="I213" s="16">
        <f>IF(ISNUMBER(E213),IF(E213&gt;=Settings!$B$5,"Y","N"),"")</f>
        <v/>
      </c>
      <c r="J213" s="16">
        <f>IF(I213="Y","RECENT OFFERING/SPLIT/RIGHTS","")</f>
        <v/>
      </c>
    </row>
    <row r="214">
      <c r="A214" s="16">
        <f>'Rest Universe'!A215</f>
        <v/>
      </c>
      <c r="B214" s="22">
        <f>IFERROR(_xll.BDP(A214,"NAME"),"")</f>
        <v/>
      </c>
      <c r="C214" s="22">
        <f t="array" ref="C214">_xll.BDS(A214, "EQUITY_OFFERINGS", "sortdesc=3", "endrow=1")</f>
        <v/>
      </c>
      <c r="D214" s="16" t="n"/>
      <c r="E214" s="16" t="n"/>
      <c r="F214" s="16" t="n"/>
      <c r="G214" s="16" t="n"/>
      <c r="H214" s="16" t="n"/>
      <c r="I214" s="16">
        <f>IF(ISNUMBER(E214),IF(E214&gt;=Settings!$B$5,"Y","N"),"")</f>
        <v/>
      </c>
      <c r="J214" s="16">
        <f>IF(I214="Y","RECENT OFFERING/SPLIT/RIGHTS","")</f>
        <v/>
      </c>
    </row>
    <row r="215">
      <c r="A215" s="16">
        <f>'Rest Universe'!A216</f>
        <v/>
      </c>
      <c r="B215" s="22">
        <f>IFERROR(_xll.BDP(A215,"NAME"),"")</f>
        <v/>
      </c>
      <c r="C215" s="22">
        <f t="array" ref="C215">_xll.BDS(A215, "EQUITY_OFFERINGS", "sortdesc=3", "endrow=1")</f>
        <v/>
      </c>
      <c r="D215" s="16" t="n"/>
      <c r="E215" s="16" t="n"/>
      <c r="F215" s="16" t="n"/>
      <c r="G215" s="16" t="n"/>
      <c r="H215" s="16" t="n"/>
      <c r="I215" s="16">
        <f>IF(ISNUMBER(E215),IF(E215&gt;=Settings!$B$5,"Y","N"),"")</f>
        <v/>
      </c>
      <c r="J215" s="16">
        <f>IF(I215="Y","RECENT OFFERING/SPLIT/RIGHTS","")</f>
        <v/>
      </c>
    </row>
    <row r="216">
      <c r="A216" s="16">
        <f>'Rest Universe'!A217</f>
        <v/>
      </c>
      <c r="B216" s="22">
        <f>IFERROR(_xll.BDP(A216,"NAME"),"")</f>
        <v/>
      </c>
      <c r="C216" s="22">
        <f t="array" ref="C216">_xll.BDS(A216, "EQUITY_OFFERINGS", "sortdesc=3", "endrow=1")</f>
        <v/>
      </c>
      <c r="D216" s="16" t="n"/>
      <c r="E216" s="16" t="n"/>
      <c r="F216" s="16" t="n"/>
      <c r="G216" s="16" t="n"/>
      <c r="H216" s="16" t="n"/>
      <c r="I216" s="16">
        <f>IF(ISNUMBER(E216),IF(E216&gt;=Settings!$B$5,"Y","N"),"")</f>
        <v/>
      </c>
      <c r="J216" s="16">
        <f>IF(I216="Y","RECENT OFFERING/SPLIT/RIGHTS","")</f>
        <v/>
      </c>
    </row>
    <row r="217">
      <c r="A217" s="16">
        <f>'Rest Universe'!A218</f>
        <v/>
      </c>
      <c r="B217" s="22">
        <f>IFERROR(_xll.BDP(A217,"NAME"),"")</f>
        <v/>
      </c>
      <c r="C217" s="22">
        <f t="array" ref="C217">_xll.BDS(A217, "EQUITY_OFFERINGS", "sortdesc=3", "endrow=1")</f>
        <v/>
      </c>
      <c r="D217" s="16" t="n"/>
      <c r="E217" s="16" t="n"/>
      <c r="F217" s="16" t="n"/>
      <c r="G217" s="16" t="n"/>
      <c r="H217" s="16" t="n"/>
      <c r="I217" s="16">
        <f>IF(ISNUMBER(E217),IF(E217&gt;=Settings!$B$5,"Y","N"),"")</f>
        <v/>
      </c>
      <c r="J217" s="16">
        <f>IF(I217="Y","RECENT OFFERING/SPLIT/RIGHTS","")</f>
        <v/>
      </c>
    </row>
    <row r="218">
      <c r="A218" s="16">
        <f>'Rest Universe'!A219</f>
        <v/>
      </c>
      <c r="B218" s="22">
        <f>IFERROR(_xll.BDP(A218,"NAME"),"")</f>
        <v/>
      </c>
      <c r="C218" s="22">
        <f t="array" ref="C218">_xll.BDS(A218, "EQUITY_OFFERINGS", "sortdesc=3", "endrow=1")</f>
        <v/>
      </c>
      <c r="D218" s="16" t="n"/>
      <c r="E218" s="16" t="n"/>
      <c r="F218" s="16" t="n"/>
      <c r="G218" s="16" t="n"/>
      <c r="H218" s="16" t="n"/>
      <c r="I218" s="16">
        <f>IF(ISNUMBER(E218),IF(E218&gt;=Settings!$B$5,"Y","N"),"")</f>
        <v/>
      </c>
      <c r="J218" s="16">
        <f>IF(I218="Y","RECENT OFFERING/SPLIT/RIGHTS","")</f>
        <v/>
      </c>
    </row>
    <row r="219">
      <c r="A219" s="16">
        <f>'Rest Universe'!A220</f>
        <v/>
      </c>
      <c r="B219" s="22">
        <f>IFERROR(_xll.BDP(A219,"NAME"),"")</f>
        <v/>
      </c>
      <c r="C219" s="22">
        <f t="array" ref="C219">_xll.BDS(A219, "EQUITY_OFFERINGS", "sortdesc=3", "endrow=1")</f>
        <v/>
      </c>
      <c r="D219" s="16" t="n"/>
      <c r="E219" s="16" t="n"/>
      <c r="F219" s="16" t="n"/>
      <c r="G219" s="16" t="n"/>
      <c r="H219" s="16" t="n"/>
      <c r="I219" s="16">
        <f>IF(ISNUMBER(E219),IF(E219&gt;=Settings!$B$5,"Y","N"),"")</f>
        <v/>
      </c>
      <c r="J219" s="16">
        <f>IF(I219="Y","RECENT OFFERING/SPLIT/RIGHTS","")</f>
        <v/>
      </c>
    </row>
    <row r="220">
      <c r="A220" s="16">
        <f>'Rest Universe'!A221</f>
        <v/>
      </c>
      <c r="B220" s="22">
        <f>IFERROR(_xll.BDP(A220,"NAME"),"")</f>
        <v/>
      </c>
      <c r="C220" s="22">
        <f t="array" ref="C220">_xll.BDS(A220, "EQUITY_OFFERINGS", "sortdesc=3", "endrow=1")</f>
        <v/>
      </c>
      <c r="D220" s="16" t="n"/>
      <c r="E220" s="16" t="n"/>
      <c r="F220" s="16" t="n"/>
      <c r="G220" s="16" t="n"/>
      <c r="H220" s="16" t="n"/>
      <c r="I220" s="16">
        <f>IF(ISNUMBER(E220),IF(E220&gt;=Settings!$B$5,"Y","N"),"")</f>
        <v/>
      </c>
      <c r="J220" s="16">
        <f>IF(I220="Y","RECENT OFFERING/SPLIT/RIGHTS","")</f>
        <v/>
      </c>
    </row>
    <row r="221">
      <c r="A221" s="16">
        <f>'Rest Universe'!A222</f>
        <v/>
      </c>
      <c r="B221" s="22">
        <f>IFERROR(_xll.BDP(A221,"NAME"),"")</f>
        <v/>
      </c>
      <c r="C221" s="22">
        <f t="array" ref="C221">_xll.BDS(A221, "EQUITY_OFFERINGS", "sortdesc=3", "endrow=1")</f>
        <v/>
      </c>
      <c r="D221" s="16" t="n"/>
      <c r="E221" s="16" t="n"/>
      <c r="F221" s="16" t="n"/>
      <c r="G221" s="16" t="n"/>
      <c r="H221" s="16" t="n"/>
      <c r="I221" s="16">
        <f>IF(ISNUMBER(E221),IF(E221&gt;=Settings!$B$5,"Y","N"),"")</f>
        <v/>
      </c>
      <c r="J221" s="16">
        <f>IF(I221="Y","RECENT OFFERING/SPLIT/RIGHTS","")</f>
        <v/>
      </c>
    </row>
    <row r="222">
      <c r="A222" s="16">
        <f>'Rest Universe'!A223</f>
        <v/>
      </c>
      <c r="B222" s="22">
        <f>IFERROR(_xll.BDP(A222,"NAME"),"")</f>
        <v/>
      </c>
      <c r="C222" s="22">
        <f t="array" ref="C222">_xll.BDS(A222, "EQUITY_OFFERINGS", "sortdesc=3", "endrow=1")</f>
        <v/>
      </c>
      <c r="D222" s="16" t="n"/>
      <c r="E222" s="16" t="n"/>
      <c r="F222" s="16" t="n"/>
      <c r="G222" s="16" t="n"/>
      <c r="H222" s="16" t="n"/>
      <c r="I222" s="16">
        <f>IF(ISNUMBER(E222),IF(E222&gt;=Settings!$B$5,"Y","N"),"")</f>
        <v/>
      </c>
      <c r="J222" s="16">
        <f>IF(I222="Y","RECENT OFFERING/SPLIT/RIGHTS","")</f>
        <v/>
      </c>
    </row>
    <row r="223">
      <c r="A223" s="16">
        <f>'Rest Universe'!A224</f>
        <v/>
      </c>
      <c r="B223" s="22">
        <f>IFERROR(_xll.BDP(A223,"NAME"),"")</f>
        <v/>
      </c>
      <c r="C223" s="22">
        <f t="array" ref="C223">_xll.BDS(A223, "EQUITY_OFFERINGS", "sortdesc=3", "endrow=1")</f>
        <v/>
      </c>
      <c r="D223" s="16" t="n"/>
      <c r="E223" s="16" t="n"/>
      <c r="F223" s="16" t="n"/>
      <c r="G223" s="16" t="n"/>
      <c r="H223" s="16" t="n"/>
      <c r="I223" s="16">
        <f>IF(ISNUMBER(E223),IF(E223&gt;=Settings!$B$5,"Y","N"),"")</f>
        <v/>
      </c>
      <c r="J223" s="16">
        <f>IF(I223="Y","RECENT OFFERING/SPLIT/RIGHTS","")</f>
        <v/>
      </c>
    </row>
    <row r="224">
      <c r="A224" s="16">
        <f>'Rest Universe'!A225</f>
        <v/>
      </c>
      <c r="B224" s="22">
        <f>IFERROR(_xll.BDP(A224,"NAME"),"")</f>
        <v/>
      </c>
      <c r="C224" s="22">
        <f t="array" ref="C224">_xll.BDS(A224, "EQUITY_OFFERINGS", "sortdesc=3", "endrow=1")</f>
        <v/>
      </c>
      <c r="D224" s="16" t="n"/>
      <c r="E224" s="16" t="n"/>
      <c r="F224" s="16" t="n"/>
      <c r="G224" s="16" t="n"/>
      <c r="H224" s="16" t="n"/>
      <c r="I224" s="16">
        <f>IF(ISNUMBER(E224),IF(E224&gt;=Settings!$B$5,"Y","N"),"")</f>
        <v/>
      </c>
      <c r="J224" s="16">
        <f>IF(I224="Y","RECENT OFFERING/SPLIT/RIGHTS","")</f>
        <v/>
      </c>
    </row>
    <row r="225">
      <c r="A225" s="16">
        <f>'Rest Universe'!A226</f>
        <v/>
      </c>
      <c r="B225" s="22">
        <f>IFERROR(_xll.BDP(A225,"NAME"),"")</f>
        <v/>
      </c>
      <c r="C225" s="22">
        <f t="array" ref="C225">_xll.BDS(A225, "EQUITY_OFFERINGS", "sortdesc=3", "endrow=1")</f>
        <v/>
      </c>
      <c r="D225" s="16" t="n"/>
      <c r="E225" s="16" t="n"/>
      <c r="F225" s="16" t="n"/>
      <c r="G225" s="16" t="n"/>
      <c r="H225" s="16" t="n"/>
      <c r="I225" s="16">
        <f>IF(ISNUMBER(E225),IF(E225&gt;=Settings!$B$5,"Y","N"),"")</f>
        <v/>
      </c>
      <c r="J225" s="16">
        <f>IF(I225="Y","RECENT OFFERING/SPLIT/RIGHTS","")</f>
        <v/>
      </c>
    </row>
    <row r="226">
      <c r="A226" s="16">
        <f>'Rest Universe'!A227</f>
        <v/>
      </c>
      <c r="B226" s="22">
        <f>IFERROR(_xll.BDP(A226,"NAME"),"")</f>
        <v/>
      </c>
      <c r="C226" s="22">
        <f t="array" ref="C226">_xll.BDS(A226, "EQUITY_OFFERINGS", "sortdesc=3", "endrow=1")</f>
        <v/>
      </c>
      <c r="D226" s="16" t="n"/>
      <c r="E226" s="16" t="n"/>
      <c r="F226" s="16" t="n"/>
      <c r="G226" s="16" t="n"/>
      <c r="H226" s="16" t="n"/>
      <c r="I226" s="16">
        <f>IF(ISNUMBER(E226),IF(E226&gt;=Settings!$B$5,"Y","N"),"")</f>
        <v/>
      </c>
      <c r="J226" s="16">
        <f>IF(I226="Y","RECENT OFFERING/SPLIT/RIGHTS","")</f>
        <v/>
      </c>
    </row>
    <row r="227">
      <c r="A227" s="16">
        <f>'Rest Universe'!A228</f>
        <v/>
      </c>
      <c r="B227" s="22">
        <f>IFERROR(_xll.BDP(A227,"NAME"),"")</f>
        <v/>
      </c>
      <c r="C227" s="22">
        <f t="array" ref="C227">_xll.BDS(A227, "EQUITY_OFFERINGS", "sortdesc=3", "endrow=1")</f>
        <v/>
      </c>
      <c r="D227" s="16" t="n"/>
      <c r="E227" s="16" t="n"/>
      <c r="F227" s="16" t="n"/>
      <c r="G227" s="16" t="n"/>
      <c r="H227" s="16" t="n"/>
      <c r="I227" s="16">
        <f>IF(ISNUMBER(E227),IF(E227&gt;=Settings!$B$5,"Y","N"),"")</f>
        <v/>
      </c>
      <c r="J227" s="16">
        <f>IF(I227="Y","RECENT OFFERING/SPLIT/RIGHTS","")</f>
        <v/>
      </c>
    </row>
    <row r="228">
      <c r="A228" s="16">
        <f>'Rest Universe'!A229</f>
        <v/>
      </c>
      <c r="B228" s="22">
        <f>IFERROR(_xll.BDP(A228,"NAME"),"")</f>
        <v/>
      </c>
      <c r="C228" s="22">
        <f t="array" ref="C228">_xll.BDS(A228, "EQUITY_OFFERINGS", "sortdesc=3", "endrow=1")</f>
        <v/>
      </c>
      <c r="D228" s="16" t="n"/>
      <c r="E228" s="16" t="n"/>
      <c r="F228" s="16" t="n"/>
      <c r="G228" s="16" t="n"/>
      <c r="H228" s="16" t="n"/>
      <c r="I228" s="16">
        <f>IF(ISNUMBER(E228),IF(E228&gt;=Settings!$B$5,"Y","N"),"")</f>
        <v/>
      </c>
      <c r="J228" s="16">
        <f>IF(I228="Y","RECENT OFFERING/SPLIT/RIGHTS","")</f>
        <v/>
      </c>
    </row>
    <row r="229">
      <c r="A229" s="16">
        <f>'Rest Universe'!A230</f>
        <v/>
      </c>
      <c r="B229" s="22">
        <f>IFERROR(_xll.BDP(A229,"NAME"),"")</f>
        <v/>
      </c>
      <c r="C229" s="22">
        <f t="array" ref="C229">_xll.BDS(A229, "EQUITY_OFFERINGS", "sortdesc=3", "endrow=1")</f>
        <v/>
      </c>
      <c r="D229" s="16" t="n"/>
      <c r="E229" s="16" t="n"/>
      <c r="F229" s="16" t="n"/>
      <c r="G229" s="16" t="n"/>
      <c r="H229" s="16" t="n"/>
      <c r="I229" s="16">
        <f>IF(ISNUMBER(E229),IF(E229&gt;=Settings!$B$5,"Y","N"),"")</f>
        <v/>
      </c>
      <c r="J229" s="16">
        <f>IF(I229="Y","RECENT OFFERING/SPLIT/RIGHTS","")</f>
        <v/>
      </c>
    </row>
    <row r="230">
      <c r="A230" s="16">
        <f>'Rest Universe'!A231</f>
        <v/>
      </c>
      <c r="B230" s="22">
        <f>IFERROR(_xll.BDP(A230,"NAME"),"")</f>
        <v/>
      </c>
      <c r="C230" s="22">
        <f t="array" ref="C230">_xll.BDS(A230, "EQUITY_OFFERINGS", "sortdesc=3", "endrow=1")</f>
        <v/>
      </c>
      <c r="D230" s="16" t="n"/>
      <c r="E230" s="16" t="n"/>
      <c r="F230" s="16" t="n"/>
      <c r="G230" s="16" t="n"/>
      <c r="H230" s="16" t="n"/>
      <c r="I230" s="16">
        <f>IF(ISNUMBER(E230),IF(E230&gt;=Settings!$B$5,"Y","N"),"")</f>
        <v/>
      </c>
      <c r="J230" s="16">
        <f>IF(I230="Y","RECENT OFFERING/SPLIT/RIGHTS","")</f>
        <v/>
      </c>
    </row>
    <row r="231">
      <c r="A231" s="16">
        <f>'Rest Universe'!A232</f>
        <v/>
      </c>
      <c r="B231" s="22">
        <f>IFERROR(_xll.BDP(A231,"NAME"),"")</f>
        <v/>
      </c>
      <c r="C231" s="22">
        <f t="array" ref="C231">_xll.BDS(A231, "EQUITY_OFFERINGS", "sortdesc=3", "endrow=1")</f>
        <v/>
      </c>
      <c r="D231" s="16" t="n"/>
      <c r="E231" s="16" t="n"/>
      <c r="F231" s="16" t="n"/>
      <c r="G231" s="16" t="n"/>
      <c r="H231" s="16" t="n"/>
      <c r="I231" s="16">
        <f>IF(ISNUMBER(E231),IF(E231&gt;=Settings!$B$5,"Y","N"),"")</f>
        <v/>
      </c>
      <c r="J231" s="16">
        <f>IF(I231="Y","RECENT OFFERING/SPLIT/RIGHTS","")</f>
        <v/>
      </c>
    </row>
    <row r="232">
      <c r="A232" s="16">
        <f>'Rest Universe'!A233</f>
        <v/>
      </c>
      <c r="B232" s="22">
        <f>IFERROR(_xll.BDP(A232,"NAME"),"")</f>
        <v/>
      </c>
      <c r="C232" s="22">
        <f t="array" ref="C232">_xll.BDS(A232, "EQUITY_OFFERINGS", "sortdesc=3", "endrow=1")</f>
        <v/>
      </c>
      <c r="D232" s="16" t="n"/>
      <c r="E232" s="16" t="n"/>
      <c r="F232" s="16" t="n"/>
      <c r="G232" s="16" t="n"/>
      <c r="H232" s="16" t="n"/>
      <c r="I232" s="16">
        <f>IF(ISNUMBER(E232),IF(E232&gt;=Settings!$B$5,"Y","N"),"")</f>
        <v/>
      </c>
      <c r="J232" s="16">
        <f>IF(I232="Y","RECENT OFFERING/SPLIT/RIGHTS","")</f>
        <v/>
      </c>
    </row>
    <row r="233">
      <c r="A233" s="16">
        <f>'Rest Universe'!A234</f>
        <v/>
      </c>
      <c r="B233" s="22">
        <f>IFERROR(_xll.BDP(A233,"NAME"),"")</f>
        <v/>
      </c>
      <c r="C233" s="22">
        <f t="array" ref="C233">_xll.BDS(A233, "EQUITY_OFFERINGS", "sortdesc=3", "endrow=1")</f>
        <v/>
      </c>
      <c r="D233" s="16" t="n"/>
      <c r="E233" s="16" t="n"/>
      <c r="F233" s="16" t="n"/>
      <c r="G233" s="16" t="n"/>
      <c r="H233" s="16" t="n"/>
      <c r="I233" s="16">
        <f>IF(ISNUMBER(E233),IF(E233&gt;=Settings!$B$5,"Y","N"),"")</f>
        <v/>
      </c>
      <c r="J233" s="16">
        <f>IF(I233="Y","RECENT OFFERING/SPLIT/RIGHTS","")</f>
        <v/>
      </c>
    </row>
    <row r="234">
      <c r="A234" s="16">
        <f>'Rest Universe'!A235</f>
        <v/>
      </c>
      <c r="B234" s="22">
        <f>IFERROR(_xll.BDP(A234,"NAME"),"")</f>
        <v/>
      </c>
      <c r="C234" s="22">
        <f t="array" ref="C234">_xll.BDS(A234, "EQUITY_OFFERINGS", "sortdesc=3", "endrow=1")</f>
        <v/>
      </c>
      <c r="D234" s="16" t="n"/>
      <c r="E234" s="16" t="n"/>
      <c r="F234" s="16" t="n"/>
      <c r="G234" s="16" t="n"/>
      <c r="H234" s="16" t="n"/>
      <c r="I234" s="16">
        <f>IF(ISNUMBER(E234),IF(E234&gt;=Settings!$B$5,"Y","N"),"")</f>
        <v/>
      </c>
      <c r="J234" s="16">
        <f>IF(I234="Y","RECENT OFFERING/SPLIT/RIGHTS","")</f>
        <v/>
      </c>
    </row>
    <row r="235">
      <c r="A235" s="16">
        <f>'Rest Universe'!A236</f>
        <v/>
      </c>
      <c r="B235" s="22">
        <f>IFERROR(_xll.BDP(A235,"NAME"),"")</f>
        <v/>
      </c>
      <c r="C235" s="22">
        <f t="array" ref="C235">_xll.BDS(A235, "EQUITY_OFFERINGS", "sortdesc=3", "endrow=1")</f>
        <v/>
      </c>
      <c r="D235" s="16" t="n"/>
      <c r="E235" s="16" t="n"/>
      <c r="F235" s="16" t="n"/>
      <c r="G235" s="16" t="n"/>
      <c r="H235" s="16" t="n"/>
      <c r="I235" s="16">
        <f>IF(ISNUMBER(E235),IF(E235&gt;=Settings!$B$5,"Y","N"),"")</f>
        <v/>
      </c>
      <c r="J235" s="16">
        <f>IF(I235="Y","RECENT OFFERING/SPLIT/RIGHTS","")</f>
        <v/>
      </c>
    </row>
    <row r="236">
      <c r="A236" s="16">
        <f>'Rest Universe'!A237</f>
        <v/>
      </c>
      <c r="B236" s="22">
        <f>IFERROR(_xll.BDP(A236,"NAME"),"")</f>
        <v/>
      </c>
      <c r="C236" s="22">
        <f t="array" ref="C236">_xll.BDS(A236, "EQUITY_OFFERINGS", "sortdesc=3", "endrow=1")</f>
        <v/>
      </c>
      <c r="D236" s="16" t="n"/>
      <c r="E236" s="16" t="n"/>
      <c r="F236" s="16" t="n"/>
      <c r="G236" s="16" t="n"/>
      <c r="H236" s="16" t="n"/>
      <c r="I236" s="16">
        <f>IF(ISNUMBER(E236),IF(E236&gt;=Settings!$B$5,"Y","N"),"")</f>
        <v/>
      </c>
      <c r="J236" s="16">
        <f>IF(I236="Y","RECENT OFFERING/SPLIT/RIGHTS","")</f>
        <v/>
      </c>
    </row>
    <row r="237">
      <c r="A237" s="16">
        <f>'Rest Universe'!A238</f>
        <v/>
      </c>
      <c r="B237" s="22">
        <f>IFERROR(_xll.BDP(A237,"NAME"),"")</f>
        <v/>
      </c>
      <c r="C237" s="22">
        <f t="array" ref="C237">_xll.BDS(A237, "EQUITY_OFFERINGS", "sortdesc=3", "endrow=1")</f>
        <v/>
      </c>
      <c r="D237" s="16" t="n"/>
      <c r="E237" s="16" t="n"/>
      <c r="F237" s="16" t="n"/>
      <c r="G237" s="16" t="n"/>
      <c r="H237" s="16" t="n"/>
      <c r="I237" s="16">
        <f>IF(ISNUMBER(E237),IF(E237&gt;=Settings!$B$5,"Y","N"),"")</f>
        <v/>
      </c>
      <c r="J237" s="16">
        <f>IF(I237="Y","RECENT OFFERING/SPLIT/RIGHTS","")</f>
        <v/>
      </c>
    </row>
    <row r="238">
      <c r="A238" s="16">
        <f>'Rest Universe'!A239</f>
        <v/>
      </c>
      <c r="B238" s="22">
        <f>IFERROR(_xll.BDP(A238,"NAME"),"")</f>
        <v/>
      </c>
      <c r="C238" s="22">
        <f t="array" ref="C238">_xll.BDS(A238, "EQUITY_OFFERINGS", "sortdesc=3", "endrow=1")</f>
        <v/>
      </c>
      <c r="D238" s="16" t="n"/>
      <c r="E238" s="16" t="n"/>
      <c r="F238" s="16" t="n"/>
      <c r="G238" s="16" t="n"/>
      <c r="H238" s="16" t="n"/>
      <c r="I238" s="16">
        <f>IF(ISNUMBER(E238),IF(E238&gt;=Settings!$B$5,"Y","N"),"")</f>
        <v/>
      </c>
      <c r="J238" s="16">
        <f>IF(I238="Y","RECENT OFFERING/SPLIT/RIGHTS","")</f>
        <v/>
      </c>
    </row>
    <row r="239">
      <c r="A239" s="16">
        <f>'Rest Universe'!A240</f>
        <v/>
      </c>
      <c r="B239" s="22">
        <f>IFERROR(_xll.BDP(A239,"NAME"),"")</f>
        <v/>
      </c>
      <c r="C239" s="22">
        <f t="array" ref="C239">_xll.BDS(A239, "EQUITY_OFFERINGS", "sortdesc=3", "endrow=1")</f>
        <v/>
      </c>
      <c r="D239" s="16" t="n"/>
      <c r="E239" s="16" t="n"/>
      <c r="F239" s="16" t="n"/>
      <c r="G239" s="16" t="n"/>
      <c r="H239" s="16" t="n"/>
      <c r="I239" s="16">
        <f>IF(ISNUMBER(E239),IF(E239&gt;=Settings!$B$5,"Y","N"),"")</f>
        <v/>
      </c>
      <c r="J239" s="16">
        <f>IF(I239="Y","RECENT OFFERING/SPLIT/RIGHTS","")</f>
        <v/>
      </c>
    </row>
    <row r="240">
      <c r="A240" s="16">
        <f>'Rest Universe'!A241</f>
        <v/>
      </c>
      <c r="B240" s="22">
        <f>IFERROR(_xll.BDP(A240,"NAME"),"")</f>
        <v/>
      </c>
      <c r="C240" s="22">
        <f t="array" ref="C240">_xll.BDS(A240, "EQUITY_OFFERINGS", "sortdesc=3", "endrow=1")</f>
        <v/>
      </c>
      <c r="D240" s="16" t="n"/>
      <c r="E240" s="16" t="n"/>
      <c r="F240" s="16" t="n"/>
      <c r="G240" s="16" t="n"/>
      <c r="H240" s="16" t="n"/>
      <c r="I240" s="16">
        <f>IF(ISNUMBER(E240),IF(E240&gt;=Settings!$B$5,"Y","N"),"")</f>
        <v/>
      </c>
      <c r="J240" s="16">
        <f>IF(I240="Y","RECENT OFFERING/SPLIT/RIGHTS","")</f>
        <v/>
      </c>
    </row>
    <row r="241">
      <c r="A241" s="16">
        <f>'Rest Universe'!A242</f>
        <v/>
      </c>
      <c r="B241" s="22">
        <f>IFERROR(_xll.BDP(A241,"NAME"),"")</f>
        <v/>
      </c>
      <c r="C241" s="22">
        <f t="array" ref="C241">_xll.BDS(A241, "EQUITY_OFFERINGS", "sortdesc=3", "endrow=1")</f>
        <v/>
      </c>
      <c r="D241" s="16" t="n"/>
      <c r="E241" s="16" t="n"/>
      <c r="F241" s="16" t="n"/>
      <c r="G241" s="16" t="n"/>
      <c r="H241" s="16" t="n"/>
      <c r="I241" s="16">
        <f>IF(ISNUMBER(E241),IF(E241&gt;=Settings!$B$5,"Y","N"),"")</f>
        <v/>
      </c>
      <c r="J241" s="16">
        <f>IF(I241="Y","RECENT OFFERING/SPLIT/RIGHTS","")</f>
        <v/>
      </c>
    </row>
    <row r="242">
      <c r="A242" s="16">
        <f>'Rest Universe'!A243</f>
        <v/>
      </c>
      <c r="B242" s="22">
        <f>IFERROR(_xll.BDP(A242,"NAME"),"")</f>
        <v/>
      </c>
      <c r="C242" s="22">
        <f t="array" ref="C242">_xll.BDS(A242, "EQUITY_OFFERINGS", "sortdesc=3", "endrow=1")</f>
        <v/>
      </c>
      <c r="D242" s="16" t="n"/>
      <c r="E242" s="16" t="n"/>
      <c r="F242" s="16" t="n"/>
      <c r="G242" s="16" t="n"/>
      <c r="H242" s="16" t="n"/>
      <c r="I242" s="16">
        <f>IF(ISNUMBER(E242),IF(E242&gt;=Settings!$B$5,"Y","N"),"")</f>
        <v/>
      </c>
      <c r="J242" s="16">
        <f>IF(I242="Y","RECENT OFFERING/SPLIT/RIGHTS","")</f>
        <v/>
      </c>
    </row>
    <row r="243">
      <c r="A243" s="16">
        <f>'Rest Universe'!A244</f>
        <v/>
      </c>
      <c r="B243" s="22">
        <f>IFERROR(_xll.BDP(A243,"NAME"),"")</f>
        <v/>
      </c>
      <c r="C243" s="22">
        <f t="array" ref="C243">_xll.BDS(A243, "EQUITY_OFFERINGS", "sortdesc=3", "endrow=1")</f>
        <v/>
      </c>
      <c r="D243" s="16" t="n"/>
      <c r="E243" s="16" t="n"/>
      <c r="F243" s="16" t="n"/>
      <c r="G243" s="16" t="n"/>
      <c r="H243" s="16" t="n"/>
      <c r="I243" s="16">
        <f>IF(ISNUMBER(E243),IF(E243&gt;=Settings!$B$5,"Y","N"),"")</f>
        <v/>
      </c>
      <c r="J243" s="16">
        <f>IF(I243="Y","RECENT OFFERING/SPLIT/RIGHTS","")</f>
        <v/>
      </c>
    </row>
    <row r="244">
      <c r="A244" s="16">
        <f>'Rest Universe'!A245</f>
        <v/>
      </c>
      <c r="B244" s="22">
        <f>IFERROR(_xll.BDP(A244,"NAME"),"")</f>
        <v/>
      </c>
      <c r="C244" s="22">
        <f t="array" ref="C244">_xll.BDS(A244, "EQUITY_OFFERINGS", "sortdesc=3", "endrow=1")</f>
        <v/>
      </c>
      <c r="D244" s="16" t="n"/>
      <c r="E244" s="16" t="n"/>
      <c r="F244" s="16" t="n"/>
      <c r="G244" s="16" t="n"/>
      <c r="H244" s="16" t="n"/>
      <c r="I244" s="16">
        <f>IF(ISNUMBER(E244),IF(E244&gt;=Settings!$B$5,"Y","N"),"")</f>
        <v/>
      </c>
      <c r="J244" s="16">
        <f>IF(I244="Y","RECENT OFFERING/SPLIT/RIGHTS","")</f>
        <v/>
      </c>
    </row>
    <row r="245">
      <c r="A245" s="16">
        <f>'Rest Universe'!A246</f>
        <v/>
      </c>
      <c r="B245" s="22">
        <f>IFERROR(_xll.BDP(A245,"NAME"),"")</f>
        <v/>
      </c>
      <c r="C245" s="22">
        <f t="array" ref="C245">_xll.BDS(A245, "EQUITY_OFFERINGS", "sortdesc=3", "endrow=1")</f>
        <v/>
      </c>
      <c r="D245" s="16" t="n"/>
      <c r="E245" s="16" t="n"/>
      <c r="F245" s="16" t="n"/>
      <c r="G245" s="16" t="n"/>
      <c r="H245" s="16" t="n"/>
      <c r="I245" s="16">
        <f>IF(ISNUMBER(E245),IF(E245&gt;=Settings!$B$5,"Y","N"),"")</f>
        <v/>
      </c>
      <c r="J245" s="16">
        <f>IF(I245="Y","RECENT OFFERING/SPLIT/RIGHTS","")</f>
        <v/>
      </c>
    </row>
    <row r="246">
      <c r="A246" s="16">
        <f>'Rest Universe'!A247</f>
        <v/>
      </c>
      <c r="B246" s="22">
        <f>IFERROR(_xll.BDP(A246,"NAME"),"")</f>
        <v/>
      </c>
      <c r="C246" s="22">
        <f t="array" ref="C246">_xll.BDS(A246, "EQUITY_OFFERINGS", "sortdesc=3", "endrow=1")</f>
        <v/>
      </c>
      <c r="D246" s="16" t="n"/>
      <c r="E246" s="16" t="n"/>
      <c r="F246" s="16" t="n"/>
      <c r="G246" s="16" t="n"/>
      <c r="H246" s="16" t="n"/>
      <c r="I246" s="16">
        <f>IF(ISNUMBER(E246),IF(E246&gt;=Settings!$B$5,"Y","N"),"")</f>
        <v/>
      </c>
      <c r="J246" s="16">
        <f>IF(I246="Y","RECENT OFFERING/SPLIT/RIGHTS","")</f>
        <v/>
      </c>
    </row>
    <row r="247">
      <c r="A247" s="16">
        <f>'Rest Universe'!A248</f>
        <v/>
      </c>
      <c r="B247" s="22">
        <f>IFERROR(_xll.BDP(A247,"NAME"),"")</f>
        <v/>
      </c>
      <c r="C247" s="22">
        <f t="array" ref="C247">_xll.BDS(A247, "EQUITY_OFFERINGS", "sortdesc=3", "endrow=1")</f>
        <v/>
      </c>
      <c r="D247" s="16" t="n"/>
      <c r="E247" s="16" t="n"/>
      <c r="F247" s="16" t="n"/>
      <c r="G247" s="16" t="n"/>
      <c r="H247" s="16" t="n"/>
      <c r="I247" s="16">
        <f>IF(ISNUMBER(E247),IF(E247&gt;=Settings!$B$5,"Y","N"),"")</f>
        <v/>
      </c>
      <c r="J247" s="16">
        <f>IF(I247="Y","RECENT OFFERING/SPLIT/RIGHTS","")</f>
        <v/>
      </c>
    </row>
    <row r="248">
      <c r="A248" s="16">
        <f>'Rest Universe'!A249</f>
        <v/>
      </c>
      <c r="B248" s="22">
        <f>IFERROR(_xll.BDP(A248,"NAME"),"")</f>
        <v/>
      </c>
      <c r="C248" s="22">
        <f t="array" ref="C248">_xll.BDS(A248, "EQUITY_OFFERINGS", "sortdesc=3", "endrow=1")</f>
        <v/>
      </c>
      <c r="D248" s="16" t="n"/>
      <c r="E248" s="16" t="n"/>
      <c r="F248" s="16" t="n"/>
      <c r="G248" s="16" t="n"/>
      <c r="H248" s="16" t="n"/>
      <c r="I248" s="16">
        <f>IF(ISNUMBER(E248),IF(E248&gt;=Settings!$B$5,"Y","N"),"")</f>
        <v/>
      </c>
      <c r="J248" s="16">
        <f>IF(I248="Y","RECENT OFFERING/SPLIT/RIGHTS","")</f>
        <v/>
      </c>
    </row>
    <row r="249">
      <c r="A249" s="16">
        <f>'Rest Universe'!A250</f>
        <v/>
      </c>
      <c r="B249" s="22">
        <f>IFERROR(_xll.BDP(A249,"NAME"),"")</f>
        <v/>
      </c>
      <c r="C249" s="22">
        <f t="array" ref="C249">_xll.BDS(A249, "EQUITY_OFFERINGS", "sortdesc=3", "endrow=1")</f>
        <v/>
      </c>
      <c r="D249" s="16" t="n"/>
      <c r="E249" s="16" t="n"/>
      <c r="F249" s="16" t="n"/>
      <c r="G249" s="16" t="n"/>
      <c r="H249" s="16" t="n"/>
      <c r="I249" s="16">
        <f>IF(ISNUMBER(E249),IF(E249&gt;=Settings!$B$5,"Y","N"),"")</f>
        <v/>
      </c>
      <c r="J249" s="16">
        <f>IF(I249="Y","RECENT OFFERING/SPLIT/RIGHTS","")</f>
        <v/>
      </c>
    </row>
    <row r="250">
      <c r="A250" s="16">
        <f>'Rest Universe'!A251</f>
        <v/>
      </c>
      <c r="B250" s="22">
        <f>IFERROR(_xll.BDP(A250,"NAME"),"")</f>
        <v/>
      </c>
      <c r="C250" s="22">
        <f t="array" ref="C250">_xll.BDS(A250, "EQUITY_OFFERINGS", "sortdesc=3", "endrow=1")</f>
        <v/>
      </c>
      <c r="D250" s="16" t="n"/>
      <c r="E250" s="16" t="n"/>
      <c r="F250" s="16" t="n"/>
      <c r="G250" s="16" t="n"/>
      <c r="H250" s="16" t="n"/>
      <c r="I250" s="16">
        <f>IF(ISNUMBER(E250),IF(E250&gt;=Settings!$B$5,"Y","N"),"")</f>
        <v/>
      </c>
      <c r="J250" s="16">
        <f>IF(I250="Y","RECENT OFFERING/SPLIT/RIGHTS","")</f>
        <v/>
      </c>
    </row>
    <row r="251">
      <c r="A251" s="16">
        <f>'Rest Universe'!A252</f>
        <v/>
      </c>
      <c r="B251" s="22">
        <f>IFERROR(_xll.BDP(A251,"NAME"),"")</f>
        <v/>
      </c>
      <c r="C251" s="22">
        <f t="array" ref="C251">_xll.BDS(A251, "EQUITY_OFFERINGS", "sortdesc=3", "endrow=1")</f>
        <v/>
      </c>
      <c r="D251" s="16" t="n"/>
      <c r="E251" s="16" t="n"/>
      <c r="F251" s="16" t="n"/>
      <c r="G251" s="16" t="n"/>
      <c r="H251" s="16" t="n"/>
      <c r="I251" s="16">
        <f>IF(ISNUMBER(E251),IF(E251&gt;=Settings!$B$5,"Y","N"),"")</f>
        <v/>
      </c>
      <c r="J251" s="16">
        <f>IF(I251="Y","RECENT OFFERING/SPLIT/RIGHTS","")</f>
        <v/>
      </c>
    </row>
    <row r="252">
      <c r="A252" s="16">
        <f>'Rest Universe'!A253</f>
        <v/>
      </c>
      <c r="B252" s="22">
        <f>IFERROR(_xll.BDP(A252,"NAME"),"")</f>
        <v/>
      </c>
      <c r="C252" s="22">
        <f t="array" ref="C252">_xll.BDS(A252, "EQUITY_OFFERINGS", "sortdesc=3", "endrow=1")</f>
        <v/>
      </c>
      <c r="D252" s="16" t="n"/>
      <c r="E252" s="16" t="n"/>
      <c r="F252" s="16" t="n"/>
      <c r="G252" s="16" t="n"/>
      <c r="H252" s="16" t="n"/>
      <c r="I252" s="16">
        <f>IF(ISNUMBER(E252),IF(E252&gt;=Settings!$B$5,"Y","N"),"")</f>
        <v/>
      </c>
      <c r="J252" s="16">
        <f>IF(I252="Y","RECENT OFFERING/SPLIT/RIGHTS","")</f>
        <v/>
      </c>
    </row>
    <row r="253">
      <c r="A253" s="16">
        <f>'Rest Universe'!A254</f>
        <v/>
      </c>
      <c r="B253" s="22">
        <f>IFERROR(_xll.BDP(A253,"NAME"),"")</f>
        <v/>
      </c>
      <c r="C253" s="22">
        <f t="array" ref="C253">_xll.BDS(A253, "EQUITY_OFFERINGS", "sortdesc=3", "endrow=1")</f>
        <v/>
      </c>
      <c r="D253" s="16" t="n"/>
      <c r="E253" s="16" t="n"/>
      <c r="F253" s="16" t="n"/>
      <c r="G253" s="16" t="n"/>
      <c r="H253" s="16" t="n"/>
      <c r="I253" s="16">
        <f>IF(ISNUMBER(E253),IF(E253&gt;=Settings!$B$5,"Y","N"),"")</f>
        <v/>
      </c>
      <c r="J253" s="16">
        <f>IF(I253="Y","RECENT OFFERING/SPLIT/RIGHTS","")</f>
        <v/>
      </c>
    </row>
    <row r="254">
      <c r="A254" s="16">
        <f>'Rest Universe'!A255</f>
        <v/>
      </c>
      <c r="B254" s="22">
        <f>IFERROR(_xll.BDP(A254,"NAME"),"")</f>
        <v/>
      </c>
      <c r="C254" s="22">
        <f t="array" ref="C254">_xll.BDS(A254, "EQUITY_OFFERINGS", "sortdesc=3", "endrow=1")</f>
        <v/>
      </c>
      <c r="D254" s="16" t="n"/>
      <c r="E254" s="16" t="n"/>
      <c r="F254" s="16" t="n"/>
      <c r="G254" s="16" t="n"/>
      <c r="H254" s="16" t="n"/>
      <c r="I254" s="16">
        <f>IF(ISNUMBER(E254),IF(E254&gt;=Settings!$B$5,"Y","N"),"")</f>
        <v/>
      </c>
      <c r="J254" s="16">
        <f>IF(I254="Y","RECENT OFFERING/SPLIT/RIGHTS","")</f>
        <v/>
      </c>
    </row>
    <row r="255">
      <c r="A255" s="16">
        <f>'Rest Universe'!A256</f>
        <v/>
      </c>
      <c r="B255" s="22">
        <f>IFERROR(_xll.BDP(A255,"NAME"),"")</f>
        <v/>
      </c>
      <c r="C255" s="22">
        <f t="array" ref="C255">_xll.BDS(A255, "EQUITY_OFFERINGS", "sortdesc=3", "endrow=1")</f>
        <v/>
      </c>
      <c r="D255" s="16" t="n"/>
      <c r="E255" s="16" t="n"/>
      <c r="F255" s="16" t="n"/>
      <c r="G255" s="16" t="n"/>
      <c r="H255" s="16" t="n"/>
      <c r="I255" s="16">
        <f>IF(ISNUMBER(E255),IF(E255&gt;=Settings!$B$5,"Y","N"),"")</f>
        <v/>
      </c>
      <c r="J255" s="16">
        <f>IF(I255="Y","RECENT OFFERING/SPLIT/RIGHTS","")</f>
        <v/>
      </c>
    </row>
    <row r="256">
      <c r="A256" s="16">
        <f>'Rest Universe'!A257</f>
        <v/>
      </c>
      <c r="B256" s="22">
        <f>IFERROR(_xll.BDP(A256,"NAME"),"")</f>
        <v/>
      </c>
      <c r="C256" s="22">
        <f t="array" ref="C256">_xll.BDS(A256, "EQUITY_OFFERINGS", "sortdesc=3", "endrow=1")</f>
        <v/>
      </c>
      <c r="D256" s="16" t="n"/>
      <c r="E256" s="16" t="n"/>
      <c r="F256" s="16" t="n"/>
      <c r="G256" s="16" t="n"/>
      <c r="H256" s="16" t="n"/>
      <c r="I256" s="16">
        <f>IF(ISNUMBER(E256),IF(E256&gt;=Settings!$B$5,"Y","N"),"")</f>
        <v/>
      </c>
      <c r="J256" s="16">
        <f>IF(I256="Y","RECENT OFFERING/SPLIT/RIGHTS","")</f>
        <v/>
      </c>
    </row>
    <row r="257">
      <c r="A257" s="16">
        <f>'Rest Universe'!A258</f>
        <v/>
      </c>
      <c r="B257" s="22">
        <f>IFERROR(_xll.BDP(A257,"NAME"),"")</f>
        <v/>
      </c>
      <c r="C257" s="22">
        <f t="array" ref="C257">_xll.BDS(A257, "EQUITY_OFFERINGS", "sortdesc=3", "endrow=1")</f>
        <v/>
      </c>
      <c r="D257" s="16" t="n"/>
      <c r="E257" s="16" t="n"/>
      <c r="F257" s="16" t="n"/>
      <c r="G257" s="16" t="n"/>
      <c r="H257" s="16" t="n"/>
      <c r="I257" s="16">
        <f>IF(ISNUMBER(E257),IF(E257&gt;=Settings!$B$5,"Y","N"),"")</f>
        <v/>
      </c>
      <c r="J257" s="16">
        <f>IF(I257="Y","RECENT OFFERING/SPLIT/RIGHTS","")</f>
        <v/>
      </c>
    </row>
    <row r="258">
      <c r="A258" s="16">
        <f>'Rest Universe'!A259</f>
        <v/>
      </c>
      <c r="B258" s="22">
        <f>IFERROR(_xll.BDP(A258,"NAME"),"")</f>
        <v/>
      </c>
      <c r="C258" s="22">
        <f t="array" ref="C258">_xll.BDS(A258, "EQUITY_OFFERINGS", "sortdesc=3", "endrow=1")</f>
        <v/>
      </c>
      <c r="D258" s="16" t="n"/>
      <c r="E258" s="16" t="n"/>
      <c r="F258" s="16" t="n"/>
      <c r="G258" s="16" t="n"/>
      <c r="H258" s="16" t="n"/>
      <c r="I258" s="16">
        <f>IF(ISNUMBER(E258),IF(E258&gt;=Settings!$B$5,"Y","N"),"")</f>
        <v/>
      </c>
      <c r="J258" s="16">
        <f>IF(I258="Y","RECENT OFFERING/SPLIT/RIGHTS","")</f>
        <v/>
      </c>
    </row>
    <row r="259">
      <c r="A259" s="16">
        <f>'Rest Universe'!A260</f>
        <v/>
      </c>
      <c r="B259" s="22">
        <f>IFERROR(_xll.BDP(A259,"NAME"),"")</f>
        <v/>
      </c>
      <c r="C259" s="22">
        <f t="array" ref="C259">_xll.BDS(A259, "EQUITY_OFFERINGS", "sortdesc=3", "endrow=1")</f>
        <v/>
      </c>
      <c r="D259" s="16" t="n"/>
      <c r="E259" s="16" t="n"/>
      <c r="F259" s="16" t="n"/>
      <c r="G259" s="16" t="n"/>
      <c r="H259" s="16" t="n"/>
      <c r="I259" s="16">
        <f>IF(ISNUMBER(E259),IF(E259&gt;=Settings!$B$5,"Y","N"),"")</f>
        <v/>
      </c>
      <c r="J259" s="16">
        <f>IF(I259="Y","RECENT OFFERING/SPLIT/RIGHTS","")</f>
        <v/>
      </c>
    </row>
    <row r="260">
      <c r="A260" s="16">
        <f>'Rest Universe'!A261</f>
        <v/>
      </c>
      <c r="B260" s="22">
        <f>IFERROR(_xll.BDP(A260,"NAME"),"")</f>
        <v/>
      </c>
      <c r="C260" s="22">
        <f t="array" ref="C260">_xll.BDS(A260, "EQUITY_OFFERINGS", "sortdesc=3", "endrow=1")</f>
        <v/>
      </c>
      <c r="D260" s="16" t="n"/>
      <c r="E260" s="16" t="n"/>
      <c r="F260" s="16" t="n"/>
      <c r="G260" s="16" t="n"/>
      <c r="H260" s="16" t="n"/>
      <c r="I260" s="16">
        <f>IF(ISNUMBER(E260),IF(E260&gt;=Settings!$B$5,"Y","N"),"")</f>
        <v/>
      </c>
      <c r="J260" s="16">
        <f>IF(I260="Y","RECENT OFFERING/SPLIT/RIGHTS","")</f>
        <v/>
      </c>
    </row>
    <row r="261">
      <c r="A261" s="16">
        <f>'Rest Universe'!A262</f>
        <v/>
      </c>
      <c r="B261" s="22">
        <f>IFERROR(_xll.BDP(A261,"NAME"),"")</f>
        <v/>
      </c>
      <c r="C261" s="22">
        <f t="array" ref="C261">_xll.BDS(A261, "EQUITY_OFFERINGS", "sortdesc=3", "endrow=1")</f>
        <v/>
      </c>
      <c r="D261" s="16" t="n"/>
      <c r="E261" s="16" t="n"/>
      <c r="F261" s="16" t="n"/>
      <c r="G261" s="16" t="n"/>
      <c r="H261" s="16" t="n"/>
      <c r="I261" s="16">
        <f>IF(ISNUMBER(E261),IF(E261&gt;=Settings!$B$5,"Y","N"),"")</f>
        <v/>
      </c>
      <c r="J261" s="16">
        <f>IF(I261="Y","RECENT OFFERING/SPLIT/RIGHTS","")</f>
        <v/>
      </c>
    </row>
    <row r="262">
      <c r="A262" s="16">
        <f>'Rest Universe'!A263</f>
        <v/>
      </c>
      <c r="B262" s="22">
        <f>IFERROR(_xll.BDP(A262,"NAME"),"")</f>
        <v/>
      </c>
      <c r="C262" s="22">
        <f t="array" ref="C262">_xll.BDS(A262, "EQUITY_OFFERINGS", "sortdesc=3", "endrow=1")</f>
        <v/>
      </c>
      <c r="D262" s="16" t="n"/>
      <c r="E262" s="16" t="n"/>
      <c r="F262" s="16" t="n"/>
      <c r="G262" s="16" t="n"/>
      <c r="H262" s="16" t="n"/>
      <c r="I262" s="16">
        <f>IF(ISNUMBER(E262),IF(E262&gt;=Settings!$B$5,"Y","N"),"")</f>
        <v/>
      </c>
      <c r="J262" s="16">
        <f>IF(I262="Y","RECENT OFFERING/SPLIT/RIGHTS","")</f>
        <v/>
      </c>
    </row>
    <row r="263">
      <c r="A263" s="16">
        <f>'Rest Universe'!A264</f>
        <v/>
      </c>
      <c r="B263" s="22">
        <f>IFERROR(_xll.BDP(A263,"NAME"),"")</f>
        <v/>
      </c>
      <c r="C263" s="22">
        <f t="array" ref="C263">_xll.BDS(A263, "EQUITY_OFFERINGS", "sortdesc=3", "endrow=1")</f>
        <v/>
      </c>
      <c r="D263" s="16" t="n"/>
      <c r="E263" s="16" t="n"/>
      <c r="F263" s="16" t="n"/>
      <c r="G263" s="16" t="n"/>
      <c r="H263" s="16" t="n"/>
      <c r="I263" s="16">
        <f>IF(ISNUMBER(E263),IF(E263&gt;=Settings!$B$5,"Y","N"),"")</f>
        <v/>
      </c>
      <c r="J263" s="16">
        <f>IF(I263="Y","RECENT OFFERING/SPLIT/RIGHTS","")</f>
        <v/>
      </c>
    </row>
    <row r="264">
      <c r="A264" s="16">
        <f>'Rest Universe'!A265</f>
        <v/>
      </c>
      <c r="B264" s="22">
        <f>IFERROR(_xll.BDP(A264,"NAME"),"")</f>
        <v/>
      </c>
      <c r="C264" s="22">
        <f t="array" ref="C264">_xll.BDS(A264, "EQUITY_OFFERINGS", "sortdesc=3", "endrow=1")</f>
        <v/>
      </c>
      <c r="D264" s="16" t="n"/>
      <c r="E264" s="16" t="n"/>
      <c r="F264" s="16" t="n"/>
      <c r="G264" s="16" t="n"/>
      <c r="H264" s="16" t="n"/>
      <c r="I264" s="16">
        <f>IF(ISNUMBER(E264),IF(E264&gt;=Settings!$B$5,"Y","N"),"")</f>
        <v/>
      </c>
      <c r="J264" s="16">
        <f>IF(I264="Y","RECENT OFFERING/SPLIT/RIGHTS","")</f>
        <v/>
      </c>
    </row>
    <row r="265">
      <c r="A265" s="16">
        <f>'Rest Universe'!A266</f>
        <v/>
      </c>
      <c r="B265" s="22">
        <f>IFERROR(_xll.BDP(A265,"NAME"),"")</f>
        <v/>
      </c>
      <c r="C265" s="22">
        <f t="array" ref="C265">_xll.BDS(A265, "EQUITY_OFFERINGS", "sortdesc=3", "endrow=1")</f>
        <v/>
      </c>
      <c r="D265" s="16" t="n"/>
      <c r="E265" s="16" t="n"/>
      <c r="F265" s="16" t="n"/>
      <c r="G265" s="16" t="n"/>
      <c r="H265" s="16" t="n"/>
      <c r="I265" s="16">
        <f>IF(ISNUMBER(E265),IF(E265&gt;=Settings!$B$5,"Y","N"),"")</f>
        <v/>
      </c>
      <c r="J265" s="16">
        <f>IF(I265="Y","RECENT OFFERING/SPLIT/RIGHTS","")</f>
        <v/>
      </c>
    </row>
    <row r="266">
      <c r="A266" s="16">
        <f>'Rest Universe'!A267</f>
        <v/>
      </c>
      <c r="B266" s="22">
        <f>IFERROR(_xll.BDP(A266,"NAME"),"")</f>
        <v/>
      </c>
      <c r="C266" s="22">
        <f t="array" ref="C266">_xll.BDS(A266, "EQUITY_OFFERINGS", "sortdesc=3", "endrow=1")</f>
        <v/>
      </c>
      <c r="D266" s="16" t="n"/>
      <c r="E266" s="16" t="n"/>
      <c r="F266" s="16" t="n"/>
      <c r="G266" s="16" t="n"/>
      <c r="H266" s="16" t="n"/>
      <c r="I266" s="16">
        <f>IF(ISNUMBER(E266),IF(E266&gt;=Settings!$B$5,"Y","N"),"")</f>
        <v/>
      </c>
      <c r="J266" s="16">
        <f>IF(I266="Y","RECENT OFFERING/SPLIT/RIGHTS","")</f>
        <v/>
      </c>
    </row>
    <row r="267">
      <c r="A267" s="16">
        <f>'Rest Universe'!A268</f>
        <v/>
      </c>
      <c r="B267" s="22">
        <f>IFERROR(_xll.BDP(A267,"NAME"),"")</f>
        <v/>
      </c>
      <c r="C267" s="22">
        <f t="array" ref="C267">_xll.BDS(A267, "EQUITY_OFFERINGS", "sortdesc=3", "endrow=1")</f>
        <v/>
      </c>
      <c r="D267" s="16" t="n"/>
      <c r="E267" s="16" t="n"/>
      <c r="F267" s="16" t="n"/>
      <c r="G267" s="16" t="n"/>
      <c r="H267" s="16" t="n"/>
      <c r="I267" s="16">
        <f>IF(ISNUMBER(E267),IF(E267&gt;=Settings!$B$5,"Y","N"),"")</f>
        <v/>
      </c>
      <c r="J267" s="16">
        <f>IF(I267="Y","RECENT OFFERING/SPLIT/RIGHTS","")</f>
        <v/>
      </c>
    </row>
    <row r="268">
      <c r="A268" s="16">
        <f>'Rest Universe'!A269</f>
        <v/>
      </c>
      <c r="B268" s="22">
        <f>IFERROR(_xll.BDP(A268,"NAME"),"")</f>
        <v/>
      </c>
      <c r="C268" s="22">
        <f t="array" ref="C268">_xll.BDS(A268, "EQUITY_OFFERINGS", "sortdesc=3", "endrow=1")</f>
        <v/>
      </c>
      <c r="D268" s="16" t="n"/>
      <c r="E268" s="16" t="n"/>
      <c r="F268" s="16" t="n"/>
      <c r="G268" s="16" t="n"/>
      <c r="H268" s="16" t="n"/>
      <c r="I268" s="16">
        <f>IF(ISNUMBER(E268),IF(E268&gt;=Settings!$B$5,"Y","N"),"")</f>
        <v/>
      </c>
      <c r="J268" s="16">
        <f>IF(I268="Y","RECENT OFFERING/SPLIT/RIGHTS","")</f>
        <v/>
      </c>
    </row>
    <row r="269">
      <c r="A269" s="16">
        <f>'Rest Universe'!A270</f>
        <v/>
      </c>
      <c r="B269" s="22">
        <f>IFERROR(_xll.BDP(A269,"NAME"),"")</f>
        <v/>
      </c>
      <c r="C269" s="22">
        <f t="array" ref="C269">_xll.BDS(A269, "EQUITY_OFFERINGS", "sortdesc=3", "endrow=1")</f>
        <v/>
      </c>
      <c r="D269" s="16" t="n"/>
      <c r="E269" s="16" t="n"/>
      <c r="F269" s="16" t="n"/>
      <c r="G269" s="16" t="n"/>
      <c r="H269" s="16" t="n"/>
      <c r="I269" s="16">
        <f>IF(ISNUMBER(E269),IF(E269&gt;=Settings!$B$5,"Y","N"),"")</f>
        <v/>
      </c>
      <c r="J269" s="16">
        <f>IF(I269="Y","RECENT OFFERING/SPLIT/RIGHTS","")</f>
        <v/>
      </c>
    </row>
    <row r="270">
      <c r="A270" s="16">
        <f>'Rest Universe'!A271</f>
        <v/>
      </c>
      <c r="B270" s="22">
        <f>IFERROR(_xll.BDP(A270,"NAME"),"")</f>
        <v/>
      </c>
      <c r="C270" s="22">
        <f t="array" ref="C270">_xll.BDS(A270, "EQUITY_OFFERINGS", "sortdesc=3", "endrow=1")</f>
        <v/>
      </c>
      <c r="D270" s="16" t="n"/>
      <c r="E270" s="16" t="n"/>
      <c r="F270" s="16" t="n"/>
      <c r="G270" s="16" t="n"/>
      <c r="H270" s="16" t="n"/>
      <c r="I270" s="16">
        <f>IF(ISNUMBER(E270),IF(E270&gt;=Settings!$B$5,"Y","N"),"")</f>
        <v/>
      </c>
      <c r="J270" s="16">
        <f>IF(I270="Y","RECENT OFFERING/SPLIT/RIGHTS","")</f>
        <v/>
      </c>
    </row>
    <row r="271">
      <c r="A271" s="16">
        <f>'Rest Universe'!A272</f>
        <v/>
      </c>
      <c r="B271" s="22">
        <f>IFERROR(_xll.BDP(A271,"NAME"),"")</f>
        <v/>
      </c>
      <c r="C271" s="22">
        <f t="array" ref="C271">_xll.BDS(A271, "EQUITY_OFFERINGS", "sortdesc=3", "endrow=1")</f>
        <v/>
      </c>
      <c r="D271" s="16" t="n"/>
      <c r="E271" s="16" t="n"/>
      <c r="F271" s="16" t="n"/>
      <c r="G271" s="16" t="n"/>
      <c r="H271" s="16" t="n"/>
      <c r="I271" s="16">
        <f>IF(ISNUMBER(E271),IF(E271&gt;=Settings!$B$5,"Y","N"),"")</f>
        <v/>
      </c>
      <c r="J271" s="16">
        <f>IF(I271="Y","RECENT OFFERING/SPLIT/RIGHTS","")</f>
        <v/>
      </c>
    </row>
    <row r="272">
      <c r="A272" s="16">
        <f>'Rest Universe'!A273</f>
        <v/>
      </c>
      <c r="B272" s="22">
        <f>IFERROR(_xll.BDP(A272,"NAME"),"")</f>
        <v/>
      </c>
      <c r="C272" s="22">
        <f t="array" ref="C272">_xll.BDS(A272, "EQUITY_OFFERINGS", "sortdesc=3", "endrow=1")</f>
        <v/>
      </c>
      <c r="D272" s="16" t="n"/>
      <c r="E272" s="16" t="n"/>
      <c r="F272" s="16" t="n"/>
      <c r="G272" s="16" t="n"/>
      <c r="H272" s="16" t="n"/>
      <c r="I272" s="16">
        <f>IF(ISNUMBER(E272),IF(E272&gt;=Settings!$B$5,"Y","N"),"")</f>
        <v/>
      </c>
      <c r="J272" s="16">
        <f>IF(I272="Y","RECENT OFFERING/SPLIT/RIGHTS","")</f>
        <v/>
      </c>
    </row>
    <row r="273">
      <c r="A273" s="16">
        <f>'Rest Universe'!A274</f>
        <v/>
      </c>
      <c r="B273" s="22">
        <f>IFERROR(_xll.BDP(A273,"NAME"),"")</f>
        <v/>
      </c>
      <c r="C273" s="22">
        <f t="array" ref="C273">_xll.BDS(A273, "EQUITY_OFFERINGS", "sortdesc=3", "endrow=1")</f>
        <v/>
      </c>
      <c r="D273" s="16" t="n"/>
      <c r="E273" s="16" t="n"/>
      <c r="F273" s="16" t="n"/>
      <c r="G273" s="16" t="n"/>
      <c r="H273" s="16" t="n"/>
      <c r="I273" s="16">
        <f>IF(ISNUMBER(E273),IF(E273&gt;=Settings!$B$5,"Y","N"),"")</f>
        <v/>
      </c>
      <c r="J273" s="16">
        <f>IF(I273="Y","RECENT OFFERING/SPLIT/RIGHTS","")</f>
        <v/>
      </c>
    </row>
    <row r="274">
      <c r="A274" s="16">
        <f>'Rest Universe'!A275</f>
        <v/>
      </c>
      <c r="B274" s="22">
        <f>IFERROR(_xll.BDP(A274,"NAME"),"")</f>
        <v/>
      </c>
      <c r="C274" s="22">
        <f t="array" ref="C274">_xll.BDS(A274, "EQUITY_OFFERINGS", "sortdesc=3", "endrow=1")</f>
        <v/>
      </c>
      <c r="D274" s="16" t="n"/>
      <c r="E274" s="16" t="n"/>
      <c r="F274" s="16" t="n"/>
      <c r="G274" s="16" t="n"/>
      <c r="H274" s="16" t="n"/>
      <c r="I274" s="16">
        <f>IF(ISNUMBER(E274),IF(E274&gt;=Settings!$B$5,"Y","N"),"")</f>
        <v/>
      </c>
      <c r="J274" s="16">
        <f>IF(I274="Y","RECENT OFFERING/SPLIT/RIGHTS","")</f>
        <v/>
      </c>
    </row>
    <row r="275">
      <c r="A275" s="16">
        <f>'Rest Universe'!A276</f>
        <v/>
      </c>
      <c r="B275" s="22">
        <f>IFERROR(_xll.BDP(A275,"NAME"),"")</f>
        <v/>
      </c>
      <c r="C275" s="22">
        <f t="array" ref="C275">_xll.BDS(A275, "EQUITY_OFFERINGS", "sortdesc=3", "endrow=1")</f>
        <v/>
      </c>
      <c r="D275" s="16" t="n"/>
      <c r="E275" s="16" t="n"/>
      <c r="F275" s="16" t="n"/>
      <c r="G275" s="16" t="n"/>
      <c r="H275" s="16" t="n"/>
      <c r="I275" s="16">
        <f>IF(ISNUMBER(E275),IF(E275&gt;=Settings!$B$5,"Y","N"),"")</f>
        <v/>
      </c>
      <c r="J275" s="16">
        <f>IF(I275="Y","RECENT OFFERING/SPLIT/RIGHTS","")</f>
        <v/>
      </c>
    </row>
    <row r="276">
      <c r="A276" s="16">
        <f>'Rest Universe'!A277</f>
        <v/>
      </c>
      <c r="B276" s="22">
        <f>IFERROR(_xll.BDP(A276,"NAME"),"")</f>
        <v/>
      </c>
      <c r="C276" s="22">
        <f t="array" ref="C276">_xll.BDS(A276, "EQUITY_OFFERINGS", "sortdesc=3", "endrow=1")</f>
        <v/>
      </c>
      <c r="D276" s="16" t="n"/>
      <c r="E276" s="16" t="n"/>
      <c r="F276" s="16" t="n"/>
      <c r="G276" s="16" t="n"/>
      <c r="H276" s="16" t="n"/>
      <c r="I276" s="16">
        <f>IF(ISNUMBER(E276),IF(E276&gt;=Settings!$B$5,"Y","N"),"")</f>
        <v/>
      </c>
      <c r="J276" s="16">
        <f>IF(I276="Y","RECENT OFFERING/SPLIT/RIGHTS","")</f>
        <v/>
      </c>
    </row>
    <row r="277">
      <c r="A277" s="16">
        <f>'Rest Universe'!A278</f>
        <v/>
      </c>
      <c r="B277" s="22">
        <f>IFERROR(_xll.BDP(A277,"NAME"),"")</f>
        <v/>
      </c>
      <c r="C277" s="22">
        <f t="array" ref="C277">_xll.BDS(A277, "EQUITY_OFFERINGS", "sortdesc=3", "endrow=1")</f>
        <v/>
      </c>
      <c r="D277" s="16" t="n"/>
      <c r="E277" s="16" t="n"/>
      <c r="F277" s="16" t="n"/>
      <c r="G277" s="16" t="n"/>
      <c r="H277" s="16" t="n"/>
      <c r="I277" s="16">
        <f>IF(ISNUMBER(E277),IF(E277&gt;=Settings!$B$5,"Y","N"),"")</f>
        <v/>
      </c>
      <c r="J277" s="16">
        <f>IF(I277="Y","RECENT OFFERING/SPLIT/RIGHTS","")</f>
        <v/>
      </c>
    </row>
    <row r="278">
      <c r="A278" s="16">
        <f>'Rest Universe'!A279</f>
        <v/>
      </c>
      <c r="B278" s="22">
        <f>IFERROR(_xll.BDP(A278,"NAME"),"")</f>
        <v/>
      </c>
      <c r="C278" s="22">
        <f t="array" ref="C278">_xll.BDS(A278, "EQUITY_OFFERINGS", "sortdesc=3", "endrow=1")</f>
        <v/>
      </c>
      <c r="D278" s="16" t="n"/>
      <c r="E278" s="16" t="n"/>
      <c r="F278" s="16" t="n"/>
      <c r="G278" s="16" t="n"/>
      <c r="H278" s="16" t="n"/>
      <c r="I278" s="16">
        <f>IF(ISNUMBER(E278),IF(E278&gt;=Settings!$B$5,"Y","N"),"")</f>
        <v/>
      </c>
      <c r="J278" s="16">
        <f>IF(I278="Y","RECENT OFFERING/SPLIT/RIGHTS","")</f>
        <v/>
      </c>
    </row>
    <row r="279">
      <c r="A279" s="16">
        <f>'Rest Universe'!A280</f>
        <v/>
      </c>
      <c r="B279" s="22">
        <f>IFERROR(_xll.BDP(A279,"NAME"),"")</f>
        <v/>
      </c>
      <c r="C279" s="22">
        <f t="array" ref="C279">_xll.BDS(A279, "EQUITY_OFFERINGS", "sortdesc=3", "endrow=1")</f>
        <v/>
      </c>
      <c r="D279" s="16" t="n"/>
      <c r="E279" s="16" t="n"/>
      <c r="F279" s="16" t="n"/>
      <c r="G279" s="16" t="n"/>
      <c r="H279" s="16" t="n"/>
      <c r="I279" s="16">
        <f>IF(ISNUMBER(E279),IF(E279&gt;=Settings!$B$5,"Y","N"),"")</f>
        <v/>
      </c>
      <c r="J279" s="16">
        <f>IF(I279="Y","RECENT OFFERING/SPLIT/RIGHTS","")</f>
        <v/>
      </c>
    </row>
    <row r="280">
      <c r="A280" s="16">
        <f>'Rest Universe'!A281</f>
        <v/>
      </c>
      <c r="B280" s="22">
        <f>IFERROR(_xll.BDP(A280,"NAME"),"")</f>
        <v/>
      </c>
      <c r="C280" s="22">
        <f t="array" ref="C280">_xll.BDS(A280, "EQUITY_OFFERINGS", "sortdesc=3", "endrow=1")</f>
        <v/>
      </c>
      <c r="D280" s="16" t="n"/>
      <c r="E280" s="16" t="n"/>
      <c r="F280" s="16" t="n"/>
      <c r="G280" s="16" t="n"/>
      <c r="H280" s="16" t="n"/>
      <c r="I280" s="16">
        <f>IF(ISNUMBER(E280),IF(E280&gt;=Settings!$B$5,"Y","N"),"")</f>
        <v/>
      </c>
      <c r="J280" s="16">
        <f>IF(I280="Y","RECENT OFFERING/SPLIT/RIGHTS","")</f>
        <v/>
      </c>
    </row>
    <row r="281">
      <c r="A281" s="16">
        <f>'Rest Universe'!A282</f>
        <v/>
      </c>
      <c r="B281" s="22">
        <f>IFERROR(_xll.BDP(A281,"NAME"),"")</f>
        <v/>
      </c>
      <c r="C281" s="22">
        <f t="array" ref="C281">_xll.BDS(A281, "EQUITY_OFFERINGS", "sortdesc=3", "endrow=1")</f>
        <v/>
      </c>
      <c r="D281" s="16" t="n"/>
      <c r="E281" s="16" t="n"/>
      <c r="F281" s="16" t="n"/>
      <c r="G281" s="16" t="n"/>
      <c r="H281" s="16" t="n"/>
      <c r="I281" s="16">
        <f>IF(ISNUMBER(E281),IF(E281&gt;=Settings!$B$5,"Y","N"),"")</f>
        <v/>
      </c>
      <c r="J281" s="16">
        <f>IF(I281="Y","RECENT OFFERING/SPLIT/RIGHTS","")</f>
        <v/>
      </c>
    </row>
    <row r="282">
      <c r="A282" s="16">
        <f>'Rest Universe'!A283</f>
        <v/>
      </c>
      <c r="B282" s="22">
        <f>IFERROR(_xll.BDP(A282,"NAME"),"")</f>
        <v/>
      </c>
      <c r="C282" s="22">
        <f t="array" ref="C282">_xll.BDS(A282, "EQUITY_OFFERINGS", "sortdesc=3", "endrow=1")</f>
        <v/>
      </c>
      <c r="D282" s="16" t="n"/>
      <c r="E282" s="16" t="n"/>
      <c r="F282" s="16" t="n"/>
      <c r="G282" s="16" t="n"/>
      <c r="H282" s="16" t="n"/>
      <c r="I282" s="16">
        <f>IF(ISNUMBER(E282),IF(E282&gt;=Settings!$B$5,"Y","N"),"")</f>
        <v/>
      </c>
      <c r="J282" s="16">
        <f>IF(I282="Y","RECENT OFFERING/SPLIT/RIGHTS","")</f>
        <v/>
      </c>
    </row>
    <row r="283">
      <c r="A283" s="16">
        <f>'Rest Universe'!A284</f>
        <v/>
      </c>
      <c r="B283" s="22">
        <f>IFERROR(_xll.BDP(A283,"NAME"),"")</f>
        <v/>
      </c>
      <c r="C283" s="22">
        <f t="array" ref="C283">_xll.BDS(A283, "EQUITY_OFFERINGS", "sortdesc=3", "endrow=1")</f>
        <v/>
      </c>
      <c r="D283" s="16" t="n"/>
      <c r="E283" s="16" t="n"/>
      <c r="F283" s="16" t="n"/>
      <c r="G283" s="16" t="n"/>
      <c r="H283" s="16" t="n"/>
      <c r="I283" s="16">
        <f>IF(ISNUMBER(E283),IF(E283&gt;=Settings!$B$5,"Y","N"),"")</f>
        <v/>
      </c>
      <c r="J283" s="16">
        <f>IF(I283="Y","RECENT OFFERING/SPLIT/RIGHTS","")</f>
        <v/>
      </c>
    </row>
    <row r="284">
      <c r="A284" s="16">
        <f>'Rest Universe'!A285</f>
        <v/>
      </c>
      <c r="B284" s="22">
        <f>IFERROR(_xll.BDP(A284,"NAME"),"")</f>
        <v/>
      </c>
      <c r="C284" s="22">
        <f t="array" ref="C284">_xll.BDS(A284, "EQUITY_OFFERINGS", "sortdesc=3", "endrow=1")</f>
        <v/>
      </c>
      <c r="D284" s="16" t="n"/>
      <c r="E284" s="16" t="n"/>
      <c r="F284" s="16" t="n"/>
      <c r="G284" s="16" t="n"/>
      <c r="H284" s="16" t="n"/>
      <c r="I284" s="16">
        <f>IF(ISNUMBER(E284),IF(E284&gt;=Settings!$B$5,"Y","N"),"")</f>
        <v/>
      </c>
      <c r="J284" s="16">
        <f>IF(I284="Y","RECENT OFFERING/SPLIT/RIGHTS","")</f>
        <v/>
      </c>
    </row>
    <row r="285">
      <c r="A285" s="16">
        <f>'Rest Universe'!A286</f>
        <v/>
      </c>
      <c r="B285" s="22">
        <f>IFERROR(_xll.BDP(A285,"NAME"),"")</f>
        <v/>
      </c>
      <c r="C285" s="22">
        <f t="array" ref="C285">_xll.BDS(A285, "EQUITY_OFFERINGS", "sortdesc=3", "endrow=1")</f>
        <v/>
      </c>
      <c r="D285" s="16" t="n"/>
      <c r="E285" s="16" t="n"/>
      <c r="F285" s="16" t="n"/>
      <c r="G285" s="16" t="n"/>
      <c r="H285" s="16" t="n"/>
      <c r="I285" s="16">
        <f>IF(ISNUMBER(E285),IF(E285&gt;=Settings!$B$5,"Y","N"),"")</f>
        <v/>
      </c>
      <c r="J285" s="16">
        <f>IF(I285="Y","RECENT OFFERING/SPLIT/RIGHTS","")</f>
        <v/>
      </c>
    </row>
    <row r="286">
      <c r="A286" s="16">
        <f>'Rest Universe'!A287</f>
        <v/>
      </c>
      <c r="B286" s="22">
        <f>IFERROR(_xll.BDP(A286,"NAME"),"")</f>
        <v/>
      </c>
      <c r="C286" s="22">
        <f t="array" ref="C286">_xll.BDS(A286, "EQUITY_OFFERINGS", "sortdesc=3", "endrow=1")</f>
        <v/>
      </c>
      <c r="D286" s="16" t="n"/>
      <c r="E286" s="16" t="n"/>
      <c r="F286" s="16" t="n"/>
      <c r="G286" s="16" t="n"/>
      <c r="H286" s="16" t="n"/>
      <c r="I286" s="16">
        <f>IF(ISNUMBER(E286),IF(E286&gt;=Settings!$B$5,"Y","N"),"")</f>
        <v/>
      </c>
      <c r="J286" s="16">
        <f>IF(I286="Y","RECENT OFFERING/SPLIT/RIGHTS","")</f>
        <v/>
      </c>
    </row>
    <row r="287">
      <c r="A287" s="16">
        <f>'Rest Universe'!A288</f>
        <v/>
      </c>
      <c r="B287" s="22">
        <f>IFERROR(_xll.BDP(A287,"NAME"),"")</f>
        <v/>
      </c>
      <c r="C287" s="22">
        <f t="array" ref="C287">_xll.BDS(A287, "EQUITY_OFFERINGS", "sortdesc=3", "endrow=1")</f>
        <v/>
      </c>
      <c r="D287" s="16" t="n"/>
      <c r="E287" s="16" t="n"/>
      <c r="F287" s="16" t="n"/>
      <c r="G287" s="16" t="n"/>
      <c r="H287" s="16" t="n"/>
      <c r="I287" s="16">
        <f>IF(ISNUMBER(E287),IF(E287&gt;=Settings!$B$5,"Y","N"),"")</f>
        <v/>
      </c>
      <c r="J287" s="16">
        <f>IF(I287="Y","RECENT OFFERING/SPLIT/RIGHTS","")</f>
        <v/>
      </c>
    </row>
    <row r="288">
      <c r="A288" s="16">
        <f>'Rest Universe'!A289</f>
        <v/>
      </c>
      <c r="B288" s="22">
        <f>IFERROR(_xll.BDP(A288,"NAME"),"")</f>
        <v/>
      </c>
      <c r="C288" s="22">
        <f t="array" ref="C288">_xll.BDS(A288, "EQUITY_OFFERINGS", "sortdesc=3", "endrow=1")</f>
        <v/>
      </c>
      <c r="D288" s="16" t="n"/>
      <c r="E288" s="16" t="n"/>
      <c r="F288" s="16" t="n"/>
      <c r="G288" s="16" t="n"/>
      <c r="H288" s="16" t="n"/>
      <c r="I288" s="16">
        <f>IF(ISNUMBER(E288),IF(E288&gt;=Settings!$B$5,"Y","N"),"")</f>
        <v/>
      </c>
      <c r="J288" s="16">
        <f>IF(I288="Y","RECENT OFFERING/SPLIT/RIGHTS","")</f>
        <v/>
      </c>
    </row>
    <row r="289">
      <c r="A289" s="16">
        <f>'Rest Universe'!A290</f>
        <v/>
      </c>
      <c r="B289" s="22">
        <f>IFERROR(_xll.BDP(A289,"NAME"),"")</f>
        <v/>
      </c>
      <c r="C289" s="22">
        <f t="array" ref="C289">_xll.BDS(A289, "EQUITY_OFFERINGS", "sortdesc=3", "endrow=1")</f>
        <v/>
      </c>
      <c r="D289" s="16" t="n"/>
      <c r="E289" s="16" t="n"/>
      <c r="F289" s="16" t="n"/>
      <c r="G289" s="16" t="n"/>
      <c r="H289" s="16" t="n"/>
      <c r="I289" s="16">
        <f>IF(ISNUMBER(E289),IF(E289&gt;=Settings!$B$5,"Y","N"),"")</f>
        <v/>
      </c>
      <c r="J289" s="16">
        <f>IF(I289="Y","RECENT OFFERING/SPLIT/RIGHTS","")</f>
        <v/>
      </c>
    </row>
    <row r="290">
      <c r="A290" s="16">
        <f>'Rest Universe'!A291</f>
        <v/>
      </c>
      <c r="B290" s="22">
        <f>IFERROR(_xll.BDP(A290,"NAME"),"")</f>
        <v/>
      </c>
      <c r="C290" s="22">
        <f t="array" ref="C290">_xll.BDS(A290, "EQUITY_OFFERINGS", "sortdesc=3", "endrow=1")</f>
        <v/>
      </c>
      <c r="D290" s="16" t="n"/>
      <c r="E290" s="16" t="n"/>
      <c r="F290" s="16" t="n"/>
      <c r="G290" s="16" t="n"/>
      <c r="H290" s="16" t="n"/>
      <c r="I290" s="16">
        <f>IF(ISNUMBER(E290),IF(E290&gt;=Settings!$B$5,"Y","N"),"")</f>
        <v/>
      </c>
      <c r="J290" s="16">
        <f>IF(I290="Y","RECENT OFFERING/SPLIT/RIGHTS","")</f>
        <v/>
      </c>
    </row>
    <row r="291">
      <c r="A291" s="16">
        <f>'Rest Universe'!A292</f>
        <v/>
      </c>
      <c r="B291" s="22">
        <f>IFERROR(_xll.BDP(A291,"NAME"),"")</f>
        <v/>
      </c>
      <c r="C291" s="22">
        <f t="array" ref="C291">_xll.BDS(A291, "EQUITY_OFFERINGS", "sortdesc=3", "endrow=1")</f>
        <v/>
      </c>
      <c r="D291" s="16" t="n"/>
      <c r="E291" s="16" t="n"/>
      <c r="F291" s="16" t="n"/>
      <c r="G291" s="16" t="n"/>
      <c r="H291" s="16" t="n"/>
      <c r="I291" s="16">
        <f>IF(ISNUMBER(E291),IF(E291&gt;=Settings!$B$5,"Y","N"),"")</f>
        <v/>
      </c>
      <c r="J291" s="16">
        <f>IF(I291="Y","RECENT OFFERING/SPLIT/RIGHTS","")</f>
        <v/>
      </c>
    </row>
    <row r="292">
      <c r="A292" s="16">
        <f>'Rest Universe'!A293</f>
        <v/>
      </c>
      <c r="B292" s="22">
        <f>IFERROR(_xll.BDP(A292,"NAME"),"")</f>
        <v/>
      </c>
      <c r="C292" s="22">
        <f t="array" ref="C292">_xll.BDS(A292, "EQUITY_OFFERINGS", "sortdesc=3", "endrow=1")</f>
        <v/>
      </c>
      <c r="D292" s="16" t="n"/>
      <c r="E292" s="16" t="n"/>
      <c r="F292" s="16" t="n"/>
      <c r="G292" s="16" t="n"/>
      <c r="H292" s="16" t="n"/>
      <c r="I292" s="16">
        <f>IF(ISNUMBER(E292),IF(E292&gt;=Settings!$B$5,"Y","N"),"")</f>
        <v/>
      </c>
      <c r="J292" s="16">
        <f>IF(I292="Y","RECENT OFFERING/SPLIT/RIGHTS","")</f>
        <v/>
      </c>
    </row>
    <row r="293">
      <c r="A293" s="16">
        <f>'Rest Universe'!A294</f>
        <v/>
      </c>
      <c r="B293" s="22">
        <f>IFERROR(_xll.BDP(A293,"NAME"),"")</f>
        <v/>
      </c>
      <c r="C293" s="22">
        <f t="array" ref="C293">_xll.BDS(A293, "EQUITY_OFFERINGS", "sortdesc=3", "endrow=1")</f>
        <v/>
      </c>
      <c r="D293" s="16" t="n"/>
      <c r="E293" s="16" t="n"/>
      <c r="F293" s="16" t="n"/>
      <c r="G293" s="16" t="n"/>
      <c r="H293" s="16" t="n"/>
      <c r="I293" s="16">
        <f>IF(ISNUMBER(E293),IF(E293&gt;=Settings!$B$5,"Y","N"),"")</f>
        <v/>
      </c>
      <c r="J293" s="16">
        <f>IF(I293="Y","RECENT OFFERING/SPLIT/RIGHTS","")</f>
        <v/>
      </c>
    </row>
    <row r="294">
      <c r="A294" s="16">
        <f>'Rest Universe'!A295</f>
        <v/>
      </c>
      <c r="B294" s="22">
        <f>IFERROR(_xll.BDP(A294,"NAME"),"")</f>
        <v/>
      </c>
      <c r="C294" s="22">
        <f t="array" ref="C294">_xll.BDS(A294, "EQUITY_OFFERINGS", "sortdesc=3", "endrow=1")</f>
        <v/>
      </c>
      <c r="D294" s="16" t="n"/>
      <c r="E294" s="16" t="n"/>
      <c r="F294" s="16" t="n"/>
      <c r="G294" s="16" t="n"/>
      <c r="H294" s="16" t="n"/>
      <c r="I294" s="16">
        <f>IF(ISNUMBER(E294),IF(E294&gt;=Settings!$B$5,"Y","N"),"")</f>
        <v/>
      </c>
      <c r="J294" s="16">
        <f>IF(I294="Y","RECENT OFFERING/SPLIT/RIGHTS","")</f>
        <v/>
      </c>
    </row>
    <row r="295">
      <c r="A295" s="16">
        <f>'Rest Universe'!A296</f>
        <v/>
      </c>
      <c r="B295" s="22">
        <f>IFERROR(_xll.BDP(A295,"NAME"),"")</f>
        <v/>
      </c>
      <c r="C295" s="22">
        <f t="array" ref="C295">_xll.BDS(A295, "EQUITY_OFFERINGS", "sortdesc=3", "endrow=1")</f>
        <v/>
      </c>
      <c r="D295" s="16" t="n"/>
      <c r="E295" s="16" t="n"/>
      <c r="F295" s="16" t="n"/>
      <c r="G295" s="16" t="n"/>
      <c r="H295" s="16" t="n"/>
      <c r="I295" s="16">
        <f>IF(ISNUMBER(E295),IF(E295&gt;=Settings!$B$5,"Y","N"),"")</f>
        <v/>
      </c>
      <c r="J295" s="16">
        <f>IF(I295="Y","RECENT OFFERING/SPLIT/RIGHTS","")</f>
        <v/>
      </c>
    </row>
    <row r="296">
      <c r="A296" s="16">
        <f>'Rest Universe'!A297</f>
        <v/>
      </c>
      <c r="B296" s="22">
        <f>IFERROR(_xll.BDP(A296,"NAME"),"")</f>
        <v/>
      </c>
      <c r="C296" s="22">
        <f t="array" ref="C296">_xll.BDS(A296, "EQUITY_OFFERINGS", "sortdesc=3", "endrow=1")</f>
        <v/>
      </c>
      <c r="D296" s="16" t="n"/>
      <c r="E296" s="16" t="n"/>
      <c r="F296" s="16" t="n"/>
      <c r="G296" s="16" t="n"/>
      <c r="H296" s="16" t="n"/>
      <c r="I296" s="16">
        <f>IF(ISNUMBER(E296),IF(E296&gt;=Settings!$B$5,"Y","N"),"")</f>
        <v/>
      </c>
      <c r="J296" s="16">
        <f>IF(I296="Y","RECENT OFFERING/SPLIT/RIGHTS","")</f>
        <v/>
      </c>
    </row>
    <row r="297">
      <c r="A297" s="16">
        <f>'Rest Universe'!A298</f>
        <v/>
      </c>
      <c r="B297" s="22">
        <f>IFERROR(_xll.BDP(A297,"NAME"),"")</f>
        <v/>
      </c>
      <c r="C297" s="22">
        <f t="array" ref="C297">_xll.BDS(A297, "EQUITY_OFFERINGS", "sortdesc=3", "endrow=1")</f>
        <v/>
      </c>
      <c r="D297" s="16" t="n"/>
      <c r="E297" s="16" t="n"/>
      <c r="F297" s="16" t="n"/>
      <c r="G297" s="16" t="n"/>
      <c r="H297" s="16" t="n"/>
      <c r="I297" s="16">
        <f>IF(ISNUMBER(E297),IF(E297&gt;=Settings!$B$5,"Y","N"),"")</f>
        <v/>
      </c>
      <c r="J297" s="16">
        <f>IF(I297="Y","RECENT OFFERING/SPLIT/RIGHTS","")</f>
        <v/>
      </c>
    </row>
    <row r="298">
      <c r="A298" s="16">
        <f>'Rest Universe'!A299</f>
        <v/>
      </c>
      <c r="B298" s="22">
        <f>IFERROR(_xll.BDP(A298,"NAME"),"")</f>
        <v/>
      </c>
      <c r="C298" s="22">
        <f t="array" ref="C298">_xll.BDS(A298, "EQUITY_OFFERINGS", "sortdesc=3", "endrow=1")</f>
        <v/>
      </c>
      <c r="D298" s="16" t="n"/>
      <c r="E298" s="16" t="n"/>
      <c r="F298" s="16" t="n"/>
      <c r="G298" s="16" t="n"/>
      <c r="H298" s="16" t="n"/>
      <c r="I298" s="16">
        <f>IF(ISNUMBER(E298),IF(E298&gt;=Settings!$B$5,"Y","N"),"")</f>
        <v/>
      </c>
      <c r="J298" s="16">
        <f>IF(I298="Y","RECENT OFFERING/SPLIT/RIGHTS","")</f>
        <v/>
      </c>
    </row>
    <row r="299">
      <c r="A299" s="16">
        <f>'Rest Universe'!A300</f>
        <v/>
      </c>
      <c r="B299" s="22">
        <f>IFERROR(_xll.BDP(A299,"NAME"),"")</f>
        <v/>
      </c>
      <c r="C299" s="22">
        <f t="array" ref="C299">_xll.BDS(A299, "EQUITY_OFFERINGS", "sortdesc=3", "endrow=1")</f>
        <v/>
      </c>
      <c r="D299" s="16" t="n"/>
      <c r="E299" s="16" t="n"/>
      <c r="F299" s="16" t="n"/>
      <c r="G299" s="16" t="n"/>
      <c r="H299" s="16" t="n"/>
      <c r="I299" s="16">
        <f>IF(ISNUMBER(E299),IF(E299&gt;=Settings!$B$5,"Y","N"),"")</f>
        <v/>
      </c>
      <c r="J299" s="16">
        <f>IF(I299="Y","RECENT OFFERING/SPLIT/RIGHTS","")</f>
        <v/>
      </c>
    </row>
    <row r="300">
      <c r="A300" s="16">
        <f>'Rest Universe'!A301</f>
        <v/>
      </c>
      <c r="B300" s="22">
        <f>IFERROR(_xll.BDP(A300,"NAME"),"")</f>
        <v/>
      </c>
      <c r="C300" s="22">
        <f t="array" ref="C300">_xll.BDS(A300, "EQUITY_OFFERINGS", "sortdesc=3", "endrow=1")</f>
        <v/>
      </c>
      <c r="D300" s="16" t="n"/>
      <c r="E300" s="16" t="n"/>
      <c r="F300" s="16" t="n"/>
      <c r="G300" s="16" t="n"/>
      <c r="H300" s="16" t="n"/>
      <c r="I300" s="16">
        <f>IF(ISNUMBER(E300),IF(E300&gt;=Settings!$B$5,"Y","N"),"")</f>
        <v/>
      </c>
      <c r="J300" s="16">
        <f>IF(I300="Y","RECENT OFFERING/SPLIT/RIGHTS","")</f>
        <v/>
      </c>
    </row>
    <row r="301">
      <c r="A301" s="16">
        <f>'Rest Universe'!A302</f>
        <v/>
      </c>
      <c r="B301" s="22">
        <f>IFERROR(_xll.BDP(A301,"NAME"),"")</f>
        <v/>
      </c>
      <c r="C301" s="22">
        <f t="array" ref="C301">_xll.BDS(A301, "EQUITY_OFFERINGS", "sortdesc=3", "endrow=1")</f>
        <v/>
      </c>
      <c r="D301" s="16" t="n"/>
      <c r="E301" s="16" t="n"/>
      <c r="F301" s="16" t="n"/>
      <c r="G301" s="16" t="n"/>
      <c r="H301" s="16" t="n"/>
      <c r="I301" s="16">
        <f>IF(ISNUMBER(E301),IF(E301&gt;=Settings!$B$5,"Y","N"),"")</f>
        <v/>
      </c>
      <c r="J301" s="16">
        <f>IF(I301="Y","RECENT OFFERING/SPLIT/RIGHTS","")</f>
        <v/>
      </c>
    </row>
    <row r="302">
      <c r="A302" s="16">
        <f>'Rest Universe'!A303</f>
        <v/>
      </c>
      <c r="B302" s="22">
        <f>IFERROR(_xll.BDP(A302,"NAME"),"")</f>
        <v/>
      </c>
      <c r="C302" s="22">
        <f t="array" ref="C302">_xll.BDS(A302, "EQUITY_OFFERINGS", "sortdesc=3", "endrow=1")</f>
        <v/>
      </c>
      <c r="D302" s="16" t="n"/>
      <c r="E302" s="16" t="n"/>
      <c r="F302" s="16" t="n"/>
      <c r="G302" s="16" t="n"/>
      <c r="H302" s="16" t="n"/>
      <c r="I302" s="16">
        <f>IF(ISNUMBER(E302),IF(E302&gt;=Settings!$B$5,"Y","N"),"")</f>
        <v/>
      </c>
      <c r="J302" s="16">
        <f>IF(I302="Y","RECENT OFFERING/SPLIT/RIGHTS","")</f>
        <v/>
      </c>
    </row>
    <row r="303">
      <c r="A303" s="16">
        <f>'Rest Universe'!A304</f>
        <v/>
      </c>
      <c r="B303" s="22">
        <f>IFERROR(_xll.BDP(A303,"NAME"),"")</f>
        <v/>
      </c>
      <c r="C303" s="22">
        <f t="array" ref="C303">_xll.BDS(A303, "EQUITY_OFFERINGS", "sortdesc=3", "endrow=1")</f>
        <v/>
      </c>
      <c r="D303" s="16" t="n"/>
      <c r="E303" s="16" t="n"/>
      <c r="F303" s="16" t="n"/>
      <c r="G303" s="16" t="n"/>
      <c r="H303" s="16" t="n"/>
      <c r="I303" s="16">
        <f>IF(ISNUMBER(E303),IF(E303&gt;=Settings!$B$5,"Y","N"),"")</f>
        <v/>
      </c>
      <c r="J303" s="16">
        <f>IF(I303="Y","RECENT OFFERING/SPLIT/RIGHTS","")</f>
        <v/>
      </c>
    </row>
    <row r="304">
      <c r="A304" s="16">
        <f>'Rest Universe'!A305</f>
        <v/>
      </c>
      <c r="B304" s="22">
        <f>IFERROR(_xll.BDP(A304,"NAME"),"")</f>
        <v/>
      </c>
      <c r="C304" s="22">
        <f t="array" ref="C304">_xll.BDS(A304, "EQUITY_OFFERINGS", "sortdesc=3", "endrow=1")</f>
        <v/>
      </c>
      <c r="D304" s="16" t="n"/>
      <c r="E304" s="16" t="n"/>
      <c r="F304" s="16" t="n"/>
      <c r="G304" s="16" t="n"/>
      <c r="H304" s="16" t="n"/>
      <c r="I304" s="16">
        <f>IF(ISNUMBER(E304),IF(E304&gt;=Settings!$B$5,"Y","N"),"")</f>
        <v/>
      </c>
      <c r="J304" s="16">
        <f>IF(I304="Y","RECENT OFFERING/SPLIT/RIGHTS","")</f>
        <v/>
      </c>
    </row>
    <row r="305">
      <c r="A305" s="16">
        <f>'Rest Universe'!A306</f>
        <v/>
      </c>
      <c r="B305" s="22">
        <f>IFERROR(_xll.BDP(A305,"NAME"),"")</f>
        <v/>
      </c>
      <c r="C305" s="22">
        <f t="array" ref="C305">_xll.BDS(A305, "EQUITY_OFFERINGS", "sortdesc=3", "endrow=1")</f>
        <v/>
      </c>
      <c r="D305" s="16" t="n"/>
      <c r="E305" s="16" t="n"/>
      <c r="F305" s="16" t="n"/>
      <c r="G305" s="16" t="n"/>
      <c r="H305" s="16" t="n"/>
      <c r="I305" s="16">
        <f>IF(ISNUMBER(E305),IF(E305&gt;=Settings!$B$5,"Y","N"),"")</f>
        <v/>
      </c>
      <c r="J305" s="16">
        <f>IF(I305="Y","RECENT OFFERING/SPLIT/RIGHTS","")</f>
        <v/>
      </c>
    </row>
    <row r="306">
      <c r="A306" s="16">
        <f>'Rest Universe'!A307</f>
        <v/>
      </c>
      <c r="B306" s="22">
        <f>IFERROR(_xll.BDP(A306,"NAME"),"")</f>
        <v/>
      </c>
      <c r="C306" s="22">
        <f t="array" ref="C306">_xll.BDS(A306, "EQUITY_OFFERINGS", "sortdesc=3", "endrow=1")</f>
        <v/>
      </c>
      <c r="D306" s="16" t="n"/>
      <c r="E306" s="16" t="n"/>
      <c r="F306" s="16" t="n"/>
      <c r="G306" s="16" t="n"/>
      <c r="H306" s="16" t="n"/>
      <c r="I306" s="16">
        <f>IF(ISNUMBER(E306),IF(E306&gt;=Settings!$B$5,"Y","N"),"")</f>
        <v/>
      </c>
      <c r="J306" s="16">
        <f>IF(I306="Y","RECENT OFFERING/SPLIT/RIGHTS","")</f>
        <v/>
      </c>
    </row>
    <row r="307">
      <c r="A307" s="16">
        <f>'Rest Universe'!A308</f>
        <v/>
      </c>
      <c r="B307" s="22">
        <f>IFERROR(_xll.BDP(A307,"NAME"),"")</f>
        <v/>
      </c>
      <c r="C307" s="22">
        <f t="array" ref="C307">_xll.BDS(A307, "EQUITY_OFFERINGS", "sortdesc=3", "endrow=1")</f>
        <v/>
      </c>
      <c r="D307" s="16" t="n"/>
      <c r="E307" s="16" t="n"/>
      <c r="F307" s="16" t="n"/>
      <c r="G307" s="16" t="n"/>
      <c r="H307" s="16" t="n"/>
      <c r="I307" s="16">
        <f>IF(ISNUMBER(E307),IF(E307&gt;=Settings!$B$5,"Y","N"),"")</f>
        <v/>
      </c>
      <c r="J307" s="16">
        <f>IF(I307="Y","RECENT OFFERING/SPLIT/RIGHTS","")</f>
        <v/>
      </c>
    </row>
    <row r="308">
      <c r="A308" s="16">
        <f>'Rest Universe'!A309</f>
        <v/>
      </c>
      <c r="B308" s="22">
        <f>IFERROR(_xll.BDP(A308,"NAME"),"")</f>
        <v/>
      </c>
      <c r="C308" s="22">
        <f t="array" ref="C308">_xll.BDS(A308, "EQUITY_OFFERINGS", "sortdesc=3", "endrow=1")</f>
        <v/>
      </c>
      <c r="D308" s="16" t="n"/>
      <c r="E308" s="16" t="n"/>
      <c r="F308" s="16" t="n"/>
      <c r="G308" s="16" t="n"/>
      <c r="H308" s="16" t="n"/>
      <c r="I308" s="16">
        <f>IF(ISNUMBER(E308),IF(E308&gt;=Settings!$B$5,"Y","N"),"")</f>
        <v/>
      </c>
      <c r="J308" s="16">
        <f>IF(I308="Y","RECENT OFFERING/SPLIT/RIGHTS","")</f>
        <v/>
      </c>
    </row>
    <row r="309">
      <c r="A309" s="16">
        <f>'Rest Universe'!A310</f>
        <v/>
      </c>
      <c r="B309" s="22">
        <f>IFERROR(_xll.BDP(A309,"NAME"),"")</f>
        <v/>
      </c>
      <c r="C309" s="22">
        <f t="array" ref="C309">_xll.BDS(A309, "EQUITY_OFFERINGS", "sortdesc=3", "endrow=1")</f>
        <v/>
      </c>
      <c r="D309" s="16" t="n"/>
      <c r="E309" s="16" t="n"/>
      <c r="F309" s="16" t="n"/>
      <c r="G309" s="16" t="n"/>
      <c r="H309" s="16" t="n"/>
      <c r="I309" s="16">
        <f>IF(ISNUMBER(E309),IF(E309&gt;=Settings!$B$5,"Y","N"),"")</f>
        <v/>
      </c>
      <c r="J309" s="16">
        <f>IF(I309="Y","RECENT OFFERING/SPLIT/RIGHTS","")</f>
        <v/>
      </c>
    </row>
    <row r="310">
      <c r="A310" s="16">
        <f>'Rest Universe'!A311</f>
        <v/>
      </c>
      <c r="B310" s="22">
        <f>IFERROR(_xll.BDP(A310,"NAME"),"")</f>
        <v/>
      </c>
      <c r="C310" s="22">
        <f t="array" ref="C310">_xll.BDS(A310, "EQUITY_OFFERINGS", "sortdesc=3", "endrow=1")</f>
        <v/>
      </c>
      <c r="D310" s="16" t="n"/>
      <c r="E310" s="16" t="n"/>
      <c r="F310" s="16" t="n"/>
      <c r="G310" s="16" t="n"/>
      <c r="H310" s="16" t="n"/>
      <c r="I310" s="16">
        <f>IF(ISNUMBER(E310),IF(E310&gt;=Settings!$B$5,"Y","N"),"")</f>
        <v/>
      </c>
      <c r="J310" s="16">
        <f>IF(I310="Y","RECENT OFFERING/SPLIT/RIGHTS","")</f>
        <v/>
      </c>
    </row>
    <row r="311">
      <c r="A311" s="16">
        <f>'Rest Universe'!A312</f>
        <v/>
      </c>
      <c r="B311" s="22">
        <f>IFERROR(_xll.BDP(A311,"NAME"),"")</f>
        <v/>
      </c>
      <c r="C311" s="22">
        <f t="array" ref="C311">_xll.BDS(A311, "EQUITY_OFFERINGS", "sortdesc=3", "endrow=1")</f>
        <v/>
      </c>
      <c r="D311" s="16" t="n"/>
      <c r="E311" s="16" t="n"/>
      <c r="F311" s="16" t="n"/>
      <c r="G311" s="16" t="n"/>
      <c r="H311" s="16" t="n"/>
      <c r="I311" s="16">
        <f>IF(ISNUMBER(E311),IF(E311&gt;=Settings!$B$5,"Y","N"),"")</f>
        <v/>
      </c>
      <c r="J311" s="16">
        <f>IF(I311="Y","RECENT OFFERING/SPLIT/RIGHTS","")</f>
        <v/>
      </c>
    </row>
    <row r="312">
      <c r="A312" s="16">
        <f>'Rest Universe'!A313</f>
        <v/>
      </c>
      <c r="B312" s="22">
        <f>IFERROR(_xll.BDP(A312,"NAME"),"")</f>
        <v/>
      </c>
      <c r="C312" s="22">
        <f t="array" ref="C312">_xll.BDS(A312, "EQUITY_OFFERINGS", "sortdesc=3", "endrow=1")</f>
        <v/>
      </c>
      <c r="D312" s="16" t="n"/>
      <c r="E312" s="16" t="n"/>
      <c r="F312" s="16" t="n"/>
      <c r="G312" s="16" t="n"/>
      <c r="H312" s="16" t="n"/>
      <c r="I312" s="16">
        <f>IF(ISNUMBER(E312),IF(E312&gt;=Settings!$B$5,"Y","N"),"")</f>
        <v/>
      </c>
      <c r="J312" s="16">
        <f>IF(I312="Y","RECENT OFFERING/SPLIT/RIGHTS","")</f>
        <v/>
      </c>
    </row>
    <row r="313">
      <c r="A313" s="16">
        <f>'Rest Universe'!A314</f>
        <v/>
      </c>
      <c r="B313" s="22">
        <f>IFERROR(_xll.BDP(A313,"NAME"),"")</f>
        <v/>
      </c>
      <c r="C313" s="22">
        <f t="array" ref="C313">_xll.BDS(A313, "EQUITY_OFFERINGS", "sortdesc=3", "endrow=1")</f>
        <v/>
      </c>
      <c r="D313" s="16" t="n"/>
      <c r="E313" s="16" t="n"/>
      <c r="F313" s="16" t="n"/>
      <c r="G313" s="16" t="n"/>
      <c r="H313" s="16" t="n"/>
      <c r="I313" s="16">
        <f>IF(ISNUMBER(E313),IF(E313&gt;=Settings!$B$5,"Y","N"),"")</f>
        <v/>
      </c>
      <c r="J313" s="16">
        <f>IF(I313="Y","RECENT OFFERING/SPLIT/RIGHTS","")</f>
        <v/>
      </c>
    </row>
    <row r="314">
      <c r="A314" s="16">
        <f>'Rest Universe'!A315</f>
        <v/>
      </c>
      <c r="B314" s="22">
        <f>IFERROR(_xll.BDP(A314,"NAME"),"")</f>
        <v/>
      </c>
      <c r="C314" s="22">
        <f t="array" ref="C314">_xll.BDS(A314, "EQUITY_OFFERINGS", "sortdesc=3", "endrow=1")</f>
        <v/>
      </c>
      <c r="D314" s="16" t="n"/>
      <c r="E314" s="16" t="n"/>
      <c r="F314" s="16" t="n"/>
      <c r="G314" s="16" t="n"/>
      <c r="H314" s="16" t="n"/>
      <c r="I314" s="16">
        <f>IF(ISNUMBER(E314),IF(E314&gt;=Settings!$B$5,"Y","N"),"")</f>
        <v/>
      </c>
      <c r="J314" s="16">
        <f>IF(I314="Y","RECENT OFFERING/SPLIT/RIGHTS","")</f>
        <v/>
      </c>
    </row>
    <row r="315">
      <c r="A315" s="16">
        <f>'Rest Universe'!A316</f>
        <v/>
      </c>
      <c r="B315" s="22">
        <f>IFERROR(_xll.BDP(A315,"NAME"),"")</f>
        <v/>
      </c>
      <c r="C315" s="22">
        <f t="array" ref="C315">_xll.BDS(A315, "EQUITY_OFFERINGS", "sortdesc=3", "endrow=1")</f>
        <v/>
      </c>
      <c r="D315" s="16" t="n"/>
      <c r="E315" s="16" t="n"/>
      <c r="F315" s="16" t="n"/>
      <c r="G315" s="16" t="n"/>
      <c r="H315" s="16" t="n"/>
      <c r="I315" s="16">
        <f>IF(ISNUMBER(E315),IF(E315&gt;=Settings!$B$5,"Y","N"),"")</f>
        <v/>
      </c>
      <c r="J315" s="16">
        <f>IF(I315="Y","RECENT OFFERING/SPLIT/RIGHTS","")</f>
        <v/>
      </c>
    </row>
    <row r="316">
      <c r="A316" s="16">
        <f>'Rest Universe'!A317</f>
        <v/>
      </c>
      <c r="B316" s="22">
        <f>IFERROR(_xll.BDP(A316,"NAME"),"")</f>
        <v/>
      </c>
      <c r="C316" s="22">
        <f t="array" ref="C316">_xll.BDS(A316, "EQUITY_OFFERINGS", "sortdesc=3", "endrow=1")</f>
        <v/>
      </c>
      <c r="D316" s="16" t="n"/>
      <c r="E316" s="16" t="n"/>
      <c r="F316" s="16" t="n"/>
      <c r="G316" s="16" t="n"/>
      <c r="H316" s="16" t="n"/>
      <c r="I316" s="16">
        <f>IF(ISNUMBER(E316),IF(E316&gt;=Settings!$B$5,"Y","N"),"")</f>
        <v/>
      </c>
      <c r="J316" s="16">
        <f>IF(I316="Y","RECENT OFFERING/SPLIT/RIGHTS","")</f>
        <v/>
      </c>
    </row>
    <row r="317">
      <c r="A317" s="16">
        <f>'Rest Universe'!A318</f>
        <v/>
      </c>
      <c r="B317" s="22">
        <f>IFERROR(_xll.BDP(A317,"NAME"),"")</f>
        <v/>
      </c>
      <c r="C317" s="22">
        <f t="array" ref="C317">_xll.BDS(A317, "EQUITY_OFFERINGS", "sortdesc=3", "endrow=1")</f>
        <v/>
      </c>
      <c r="D317" s="16" t="n"/>
      <c r="E317" s="16" t="n"/>
      <c r="F317" s="16" t="n"/>
      <c r="G317" s="16" t="n"/>
      <c r="H317" s="16" t="n"/>
      <c r="I317" s="16">
        <f>IF(ISNUMBER(E317),IF(E317&gt;=Settings!$B$5,"Y","N"),"")</f>
        <v/>
      </c>
      <c r="J317" s="16">
        <f>IF(I317="Y","RECENT OFFERING/SPLIT/RIGHTS","")</f>
        <v/>
      </c>
    </row>
    <row r="318">
      <c r="A318" s="16">
        <f>'Rest Universe'!A319</f>
        <v/>
      </c>
      <c r="B318" s="22">
        <f>IFERROR(_xll.BDP(A318,"NAME"),"")</f>
        <v/>
      </c>
      <c r="C318" s="22">
        <f t="array" ref="C318">_xll.BDS(A318, "EQUITY_OFFERINGS", "sortdesc=3", "endrow=1")</f>
        <v/>
      </c>
      <c r="D318" s="16" t="n"/>
      <c r="E318" s="16" t="n"/>
      <c r="F318" s="16" t="n"/>
      <c r="G318" s="16" t="n"/>
      <c r="H318" s="16" t="n"/>
      <c r="I318" s="16">
        <f>IF(ISNUMBER(E318),IF(E318&gt;=Settings!$B$5,"Y","N"),"")</f>
        <v/>
      </c>
      <c r="J318" s="16">
        <f>IF(I318="Y","RECENT OFFERING/SPLIT/RIGHTS","")</f>
        <v/>
      </c>
    </row>
    <row r="319">
      <c r="A319" s="16">
        <f>'Rest Universe'!A320</f>
        <v/>
      </c>
      <c r="B319" s="22">
        <f>IFERROR(_xll.BDP(A319,"NAME"),"")</f>
        <v/>
      </c>
      <c r="C319" s="22">
        <f t="array" ref="C319">_xll.BDS(A319, "EQUITY_OFFERINGS", "sortdesc=3", "endrow=1")</f>
        <v/>
      </c>
      <c r="D319" s="16" t="n"/>
      <c r="E319" s="16" t="n"/>
      <c r="F319" s="16" t="n"/>
      <c r="G319" s="16" t="n"/>
      <c r="H319" s="16" t="n"/>
      <c r="I319" s="16">
        <f>IF(ISNUMBER(E319),IF(E319&gt;=Settings!$B$5,"Y","N"),"")</f>
        <v/>
      </c>
      <c r="J319" s="16">
        <f>IF(I319="Y","RECENT OFFERING/SPLIT/RIGHTS","")</f>
        <v/>
      </c>
    </row>
    <row r="320">
      <c r="A320" s="16">
        <f>'Rest Universe'!A321</f>
        <v/>
      </c>
      <c r="B320" s="22">
        <f>IFERROR(_xll.BDP(A320,"NAME"),"")</f>
        <v/>
      </c>
      <c r="C320" s="22">
        <f t="array" ref="C320">_xll.BDS(A320, "EQUITY_OFFERINGS", "sortdesc=3", "endrow=1")</f>
        <v/>
      </c>
      <c r="D320" s="16" t="n"/>
      <c r="E320" s="16" t="n"/>
      <c r="F320" s="16" t="n"/>
      <c r="G320" s="16" t="n"/>
      <c r="H320" s="16" t="n"/>
      <c r="I320" s="16">
        <f>IF(ISNUMBER(E320),IF(E320&gt;=Settings!$B$5,"Y","N"),"")</f>
        <v/>
      </c>
      <c r="J320" s="16">
        <f>IF(I320="Y","RECENT OFFERING/SPLIT/RIGHTS","")</f>
        <v/>
      </c>
    </row>
    <row r="321">
      <c r="A321" s="16">
        <f>'Rest Universe'!A322</f>
        <v/>
      </c>
      <c r="B321" s="22">
        <f>IFERROR(_xll.BDP(A321,"NAME"),"")</f>
        <v/>
      </c>
      <c r="C321" s="22">
        <f t="array" ref="C321">_xll.BDS(A321, "EQUITY_OFFERINGS", "sortdesc=3", "endrow=1")</f>
        <v/>
      </c>
      <c r="D321" s="16" t="n"/>
      <c r="E321" s="16" t="n"/>
      <c r="F321" s="16" t="n"/>
      <c r="G321" s="16" t="n"/>
      <c r="H321" s="16" t="n"/>
      <c r="I321" s="16">
        <f>IF(ISNUMBER(E321),IF(E321&gt;=Settings!$B$5,"Y","N"),"")</f>
        <v/>
      </c>
      <c r="J321" s="16">
        <f>IF(I321="Y","RECENT OFFERING/SPLIT/RIGHTS","")</f>
        <v/>
      </c>
    </row>
    <row r="322">
      <c r="A322" s="16">
        <f>'Rest Universe'!A323</f>
        <v/>
      </c>
      <c r="B322" s="22">
        <f>IFERROR(_xll.BDP(A322,"NAME"),"")</f>
        <v/>
      </c>
      <c r="C322" s="22">
        <f t="array" ref="C322">_xll.BDS(A322, "EQUITY_OFFERINGS", "sortdesc=3", "endrow=1")</f>
        <v/>
      </c>
      <c r="D322" s="16" t="n"/>
      <c r="E322" s="16" t="n"/>
      <c r="F322" s="16" t="n"/>
      <c r="G322" s="16" t="n"/>
      <c r="H322" s="16" t="n"/>
      <c r="I322" s="16">
        <f>IF(ISNUMBER(E322),IF(E322&gt;=Settings!$B$5,"Y","N"),"")</f>
        <v/>
      </c>
      <c r="J322" s="16">
        <f>IF(I322="Y","RECENT OFFERING/SPLIT/RIGHTS","")</f>
        <v/>
      </c>
    </row>
    <row r="323">
      <c r="A323" s="16">
        <f>'Rest Universe'!A324</f>
        <v/>
      </c>
      <c r="B323" s="22">
        <f>IFERROR(_xll.BDP(A323,"NAME"),"")</f>
        <v/>
      </c>
      <c r="C323" s="22">
        <f t="array" ref="C323">_xll.BDS(A323, "EQUITY_OFFERINGS", "sortdesc=3", "endrow=1")</f>
        <v/>
      </c>
      <c r="D323" s="16" t="n"/>
      <c r="E323" s="16" t="n"/>
      <c r="F323" s="16" t="n"/>
      <c r="G323" s="16" t="n"/>
      <c r="H323" s="16" t="n"/>
      <c r="I323" s="16">
        <f>IF(ISNUMBER(E323),IF(E323&gt;=Settings!$B$5,"Y","N"),"")</f>
        <v/>
      </c>
      <c r="J323" s="16">
        <f>IF(I323="Y","RECENT OFFERING/SPLIT/RIGHTS","")</f>
        <v/>
      </c>
    </row>
    <row r="324">
      <c r="A324" s="16">
        <f>'Rest Universe'!A325</f>
        <v/>
      </c>
      <c r="B324" s="22">
        <f>IFERROR(_xll.BDP(A324,"NAME"),"")</f>
        <v/>
      </c>
      <c r="C324" s="22">
        <f t="array" ref="C324">_xll.BDS(A324, "EQUITY_OFFERINGS", "sortdesc=3", "endrow=1")</f>
        <v/>
      </c>
      <c r="D324" s="16" t="n"/>
      <c r="E324" s="16" t="n"/>
      <c r="F324" s="16" t="n"/>
      <c r="G324" s="16" t="n"/>
      <c r="H324" s="16" t="n"/>
      <c r="I324" s="16">
        <f>IF(ISNUMBER(E324),IF(E324&gt;=Settings!$B$5,"Y","N"),"")</f>
        <v/>
      </c>
      <c r="J324" s="16">
        <f>IF(I324="Y","RECENT OFFERING/SPLIT/RIGHTS","")</f>
        <v/>
      </c>
    </row>
    <row r="325">
      <c r="A325" s="16">
        <f>'Rest Universe'!A326</f>
        <v/>
      </c>
      <c r="B325" s="22">
        <f>IFERROR(_xll.BDP(A325,"NAME"),"")</f>
        <v/>
      </c>
      <c r="C325" s="22">
        <f t="array" ref="C325">_xll.BDS(A325, "EQUITY_OFFERINGS", "sortdesc=3", "endrow=1")</f>
        <v/>
      </c>
      <c r="D325" s="16" t="n"/>
      <c r="E325" s="16" t="n"/>
      <c r="F325" s="16" t="n"/>
      <c r="G325" s="16" t="n"/>
      <c r="H325" s="16" t="n"/>
      <c r="I325" s="16">
        <f>IF(ISNUMBER(E325),IF(E325&gt;=Settings!$B$5,"Y","N"),"")</f>
        <v/>
      </c>
      <c r="J325" s="16">
        <f>IF(I325="Y","RECENT OFFERING/SPLIT/RIGHTS","")</f>
        <v/>
      </c>
    </row>
    <row r="326">
      <c r="A326" s="16">
        <f>'Rest Universe'!A327</f>
        <v/>
      </c>
      <c r="B326" s="22">
        <f>IFERROR(_xll.BDP(A326,"NAME"),"")</f>
        <v/>
      </c>
      <c r="C326" s="22">
        <f t="array" ref="C326">_xll.BDS(A326, "EQUITY_OFFERINGS", "sortdesc=3", "endrow=1")</f>
        <v/>
      </c>
      <c r="D326" s="16" t="n"/>
      <c r="E326" s="16" t="n"/>
      <c r="F326" s="16" t="n"/>
      <c r="G326" s="16" t="n"/>
      <c r="H326" s="16" t="n"/>
      <c r="I326" s="16">
        <f>IF(ISNUMBER(E326),IF(E326&gt;=Settings!$B$5,"Y","N"),"")</f>
        <v/>
      </c>
      <c r="J326" s="16">
        <f>IF(I326="Y","RECENT OFFERING/SPLIT/RIGHTS","")</f>
        <v/>
      </c>
    </row>
    <row r="327">
      <c r="A327" s="16">
        <f>'Rest Universe'!A328</f>
        <v/>
      </c>
      <c r="B327" s="22">
        <f>IFERROR(_xll.BDP(A327,"NAME"),"")</f>
        <v/>
      </c>
      <c r="C327" s="22">
        <f t="array" ref="C327">_xll.BDS(A327, "EQUITY_OFFERINGS", "sortdesc=3", "endrow=1")</f>
        <v/>
      </c>
      <c r="D327" s="16" t="n"/>
      <c r="E327" s="16" t="n"/>
      <c r="F327" s="16" t="n"/>
      <c r="G327" s="16" t="n"/>
      <c r="H327" s="16" t="n"/>
      <c r="I327" s="16">
        <f>IF(ISNUMBER(E327),IF(E327&gt;=Settings!$B$5,"Y","N"),"")</f>
        <v/>
      </c>
      <c r="J327" s="16">
        <f>IF(I327="Y","RECENT OFFERING/SPLIT/RIGHTS","")</f>
        <v/>
      </c>
    </row>
    <row r="328">
      <c r="A328" s="16">
        <f>'Rest Universe'!A329</f>
        <v/>
      </c>
      <c r="B328" s="22">
        <f>IFERROR(_xll.BDP(A328,"NAME"),"")</f>
        <v/>
      </c>
      <c r="C328" s="22">
        <f t="array" ref="C328">_xll.BDS(A328, "EQUITY_OFFERINGS", "sortdesc=3", "endrow=1")</f>
        <v/>
      </c>
      <c r="D328" s="16" t="n"/>
      <c r="E328" s="16" t="n"/>
      <c r="F328" s="16" t="n"/>
      <c r="G328" s="16" t="n"/>
      <c r="H328" s="16" t="n"/>
      <c r="I328" s="16">
        <f>IF(ISNUMBER(E328),IF(E328&gt;=Settings!$B$5,"Y","N"),"")</f>
        <v/>
      </c>
      <c r="J328" s="16">
        <f>IF(I328="Y","RECENT OFFERING/SPLIT/RIGHTS","")</f>
        <v/>
      </c>
    </row>
    <row r="329">
      <c r="A329" s="16">
        <f>'Rest Universe'!A330</f>
        <v/>
      </c>
      <c r="B329" s="22">
        <f>IFERROR(_xll.BDP(A329,"NAME"),"")</f>
        <v/>
      </c>
      <c r="C329" s="22">
        <f t="array" ref="C329">_xll.BDS(A329, "EQUITY_OFFERINGS", "sortdesc=3", "endrow=1")</f>
        <v/>
      </c>
      <c r="D329" s="16" t="n"/>
      <c r="E329" s="16" t="n"/>
      <c r="F329" s="16" t="n"/>
      <c r="G329" s="16" t="n"/>
      <c r="H329" s="16" t="n"/>
      <c r="I329" s="16">
        <f>IF(ISNUMBER(E329),IF(E329&gt;=Settings!$B$5,"Y","N"),"")</f>
        <v/>
      </c>
      <c r="J329" s="16">
        <f>IF(I329="Y","RECENT OFFERING/SPLIT/RIGHTS","")</f>
        <v/>
      </c>
    </row>
    <row r="330">
      <c r="A330" s="16">
        <f>'Rest Universe'!A331</f>
        <v/>
      </c>
      <c r="B330" s="22">
        <f>IFERROR(_xll.BDP(A330,"NAME"),"")</f>
        <v/>
      </c>
      <c r="C330" s="22">
        <f t="array" ref="C330">_xll.BDS(A330, "EQUITY_OFFERINGS", "sortdesc=3", "endrow=1")</f>
        <v/>
      </c>
      <c r="D330" s="16" t="n"/>
      <c r="E330" s="16" t="n"/>
      <c r="F330" s="16" t="n"/>
      <c r="G330" s="16" t="n"/>
      <c r="H330" s="16" t="n"/>
      <c r="I330" s="16">
        <f>IF(ISNUMBER(E330),IF(E330&gt;=Settings!$B$5,"Y","N"),"")</f>
        <v/>
      </c>
      <c r="J330" s="16">
        <f>IF(I330="Y","RECENT OFFERING/SPLIT/RIGHTS","")</f>
        <v/>
      </c>
    </row>
    <row r="331">
      <c r="A331" s="16">
        <f>'Rest Universe'!A332</f>
        <v/>
      </c>
      <c r="B331" s="22">
        <f>IFERROR(_xll.BDP(A331,"NAME"),"")</f>
        <v/>
      </c>
      <c r="C331" s="22">
        <f t="array" ref="C331">_xll.BDS(A331, "EQUITY_OFFERINGS", "sortdesc=3", "endrow=1")</f>
        <v/>
      </c>
      <c r="D331" s="16" t="n"/>
      <c r="E331" s="16" t="n"/>
      <c r="F331" s="16" t="n"/>
      <c r="G331" s="16" t="n"/>
      <c r="H331" s="16" t="n"/>
      <c r="I331" s="16">
        <f>IF(ISNUMBER(E331),IF(E331&gt;=Settings!$B$5,"Y","N"),"")</f>
        <v/>
      </c>
      <c r="J331" s="16">
        <f>IF(I331="Y","RECENT OFFERING/SPLIT/RIGHTS","")</f>
        <v/>
      </c>
    </row>
    <row r="332">
      <c r="A332" s="16">
        <f>'Rest Universe'!A333</f>
        <v/>
      </c>
      <c r="B332" s="22">
        <f>IFERROR(_xll.BDP(A332,"NAME"),"")</f>
        <v/>
      </c>
      <c r="C332" s="22">
        <f t="array" ref="C332">_xll.BDS(A332, "EQUITY_OFFERINGS", "sortdesc=3", "endrow=1")</f>
        <v/>
      </c>
      <c r="D332" s="16" t="n"/>
      <c r="E332" s="16" t="n"/>
      <c r="F332" s="16" t="n"/>
      <c r="G332" s="16" t="n"/>
      <c r="H332" s="16" t="n"/>
      <c r="I332" s="16">
        <f>IF(ISNUMBER(E332),IF(E332&gt;=Settings!$B$5,"Y","N"),"")</f>
        <v/>
      </c>
      <c r="J332" s="16">
        <f>IF(I332="Y","RECENT OFFERING/SPLIT/RIGHTS","")</f>
        <v/>
      </c>
    </row>
    <row r="333">
      <c r="A333" s="16">
        <f>'Rest Universe'!A334</f>
        <v/>
      </c>
      <c r="B333" s="22">
        <f>IFERROR(_xll.BDP(A333,"NAME"),"")</f>
        <v/>
      </c>
      <c r="C333" s="22">
        <f t="array" ref="C333">_xll.BDS(A333, "EQUITY_OFFERINGS", "sortdesc=3", "endrow=1")</f>
        <v/>
      </c>
      <c r="D333" s="16" t="n"/>
      <c r="E333" s="16" t="n"/>
      <c r="F333" s="16" t="n"/>
      <c r="G333" s="16" t="n"/>
      <c r="H333" s="16" t="n"/>
      <c r="I333" s="16">
        <f>IF(ISNUMBER(E333),IF(E333&gt;=Settings!$B$5,"Y","N"),"")</f>
        <v/>
      </c>
      <c r="J333" s="16">
        <f>IF(I333="Y","RECENT OFFERING/SPLIT/RIGHTS","")</f>
        <v/>
      </c>
    </row>
    <row r="334">
      <c r="A334" s="16">
        <f>'Rest Universe'!A335</f>
        <v/>
      </c>
      <c r="B334" s="22">
        <f>IFERROR(_xll.BDP(A334,"NAME"),"")</f>
        <v/>
      </c>
      <c r="C334" s="22">
        <f t="array" ref="C334">_xll.BDS(A334, "EQUITY_OFFERINGS", "sortdesc=3", "endrow=1")</f>
        <v/>
      </c>
      <c r="D334" s="16" t="n"/>
      <c r="E334" s="16" t="n"/>
      <c r="F334" s="16" t="n"/>
      <c r="G334" s="16" t="n"/>
      <c r="H334" s="16" t="n"/>
      <c r="I334" s="16">
        <f>IF(ISNUMBER(E334),IF(E334&gt;=Settings!$B$5,"Y","N"),"")</f>
        <v/>
      </c>
      <c r="J334" s="16">
        <f>IF(I334="Y","RECENT OFFERING/SPLIT/RIGHTS","")</f>
        <v/>
      </c>
    </row>
    <row r="335">
      <c r="A335" s="16">
        <f>'Rest Universe'!A336</f>
        <v/>
      </c>
      <c r="B335" s="22">
        <f>IFERROR(_xll.BDP(A335,"NAME"),"")</f>
        <v/>
      </c>
      <c r="C335" s="22">
        <f t="array" ref="C335">_xll.BDS(A335, "EQUITY_OFFERINGS", "sortdesc=3", "endrow=1")</f>
        <v/>
      </c>
      <c r="D335" s="16" t="n"/>
      <c r="E335" s="16" t="n"/>
      <c r="F335" s="16" t="n"/>
      <c r="G335" s="16" t="n"/>
      <c r="H335" s="16" t="n"/>
      <c r="I335" s="16">
        <f>IF(ISNUMBER(E335),IF(E335&gt;=Settings!$B$5,"Y","N"),"")</f>
        <v/>
      </c>
      <c r="J335" s="16">
        <f>IF(I335="Y","RECENT OFFERING/SPLIT/RIGHTS","")</f>
        <v/>
      </c>
    </row>
    <row r="336">
      <c r="A336" s="16">
        <f>'Rest Universe'!A337</f>
        <v/>
      </c>
      <c r="B336" s="22">
        <f>IFERROR(_xll.BDP(A336,"NAME"),"")</f>
        <v/>
      </c>
      <c r="C336" s="22">
        <f t="array" ref="C336">_xll.BDS(A336, "EQUITY_OFFERINGS", "sortdesc=3", "endrow=1")</f>
        <v/>
      </c>
      <c r="D336" s="16" t="n"/>
      <c r="E336" s="16" t="n"/>
      <c r="F336" s="16" t="n"/>
      <c r="G336" s="16" t="n"/>
      <c r="H336" s="16" t="n"/>
      <c r="I336" s="16">
        <f>IF(ISNUMBER(E336),IF(E336&gt;=Settings!$B$5,"Y","N"),"")</f>
        <v/>
      </c>
      <c r="J336" s="16">
        <f>IF(I336="Y","RECENT OFFERING/SPLIT/RIGHTS","")</f>
        <v/>
      </c>
    </row>
    <row r="337">
      <c r="A337" s="16">
        <f>'Rest Universe'!A338</f>
        <v/>
      </c>
      <c r="B337" s="22">
        <f>IFERROR(_xll.BDP(A337,"NAME"),"")</f>
        <v/>
      </c>
      <c r="C337" s="22">
        <f t="array" ref="C337">_xll.BDS(A337, "EQUITY_OFFERINGS", "sortdesc=3", "endrow=1")</f>
        <v/>
      </c>
      <c r="D337" s="16" t="n"/>
      <c r="E337" s="16" t="n"/>
      <c r="F337" s="16" t="n"/>
      <c r="G337" s="16" t="n"/>
      <c r="H337" s="16" t="n"/>
      <c r="I337" s="16">
        <f>IF(ISNUMBER(E337),IF(E337&gt;=Settings!$B$5,"Y","N"),"")</f>
        <v/>
      </c>
      <c r="J337" s="16">
        <f>IF(I337="Y","RECENT OFFERING/SPLIT/RIGHTS","")</f>
        <v/>
      </c>
    </row>
    <row r="338">
      <c r="A338" s="16">
        <f>'Rest Universe'!A339</f>
        <v/>
      </c>
      <c r="B338" s="22">
        <f>IFERROR(_xll.BDP(A338,"NAME"),"")</f>
        <v/>
      </c>
      <c r="C338" s="22">
        <f t="array" ref="C338">_xll.BDS(A338, "EQUITY_OFFERINGS", "sortdesc=3", "endrow=1")</f>
        <v/>
      </c>
      <c r="D338" s="16" t="n"/>
      <c r="E338" s="16" t="n"/>
      <c r="F338" s="16" t="n"/>
      <c r="G338" s="16" t="n"/>
      <c r="H338" s="16" t="n"/>
      <c r="I338" s="16">
        <f>IF(ISNUMBER(E338),IF(E338&gt;=Settings!$B$5,"Y","N"),"")</f>
        <v/>
      </c>
      <c r="J338" s="16">
        <f>IF(I338="Y","RECENT OFFERING/SPLIT/RIGHTS","")</f>
        <v/>
      </c>
    </row>
    <row r="339">
      <c r="A339" s="16">
        <f>'Rest Universe'!A340</f>
        <v/>
      </c>
      <c r="B339" s="22">
        <f>IFERROR(_xll.BDP(A339,"NAME"),"")</f>
        <v/>
      </c>
      <c r="C339" s="22">
        <f t="array" ref="C339">_xll.BDS(A339, "EQUITY_OFFERINGS", "sortdesc=3", "endrow=1")</f>
        <v/>
      </c>
      <c r="D339" s="16" t="n"/>
      <c r="E339" s="16" t="n"/>
      <c r="F339" s="16" t="n"/>
      <c r="G339" s="16" t="n"/>
      <c r="H339" s="16" t="n"/>
      <c r="I339" s="16">
        <f>IF(ISNUMBER(E339),IF(E339&gt;=Settings!$B$5,"Y","N"),"")</f>
        <v/>
      </c>
      <c r="J339" s="16">
        <f>IF(I339="Y","RECENT OFFERING/SPLIT/RIGHTS","")</f>
        <v/>
      </c>
    </row>
    <row r="340">
      <c r="A340" s="16">
        <f>'Rest Universe'!A341</f>
        <v/>
      </c>
      <c r="B340" s="22">
        <f>IFERROR(_xll.BDP(A340,"NAME"),"")</f>
        <v/>
      </c>
      <c r="C340" s="22">
        <f t="array" ref="C340">_xll.BDS(A340, "EQUITY_OFFERINGS", "sortdesc=3", "endrow=1")</f>
        <v/>
      </c>
      <c r="D340" s="16" t="n"/>
      <c r="E340" s="16" t="n"/>
      <c r="F340" s="16" t="n"/>
      <c r="G340" s="16" t="n"/>
      <c r="H340" s="16" t="n"/>
      <c r="I340" s="16">
        <f>IF(ISNUMBER(E340),IF(E340&gt;=Settings!$B$5,"Y","N"),"")</f>
        <v/>
      </c>
      <c r="J340" s="16">
        <f>IF(I340="Y","RECENT OFFERING/SPLIT/RIGHTS","")</f>
        <v/>
      </c>
    </row>
    <row r="341">
      <c r="A341" s="16">
        <f>'Rest Universe'!A342</f>
        <v/>
      </c>
      <c r="B341" s="22">
        <f>IFERROR(_xll.BDP(A341,"NAME"),"")</f>
        <v/>
      </c>
      <c r="C341" s="22">
        <f t="array" ref="C341">_xll.BDS(A341, "EQUITY_OFFERINGS", "sortdesc=3", "endrow=1")</f>
        <v/>
      </c>
      <c r="D341" s="16" t="n"/>
      <c r="E341" s="16" t="n"/>
      <c r="F341" s="16" t="n"/>
      <c r="G341" s="16" t="n"/>
      <c r="H341" s="16" t="n"/>
      <c r="I341" s="16">
        <f>IF(ISNUMBER(E341),IF(E341&gt;=Settings!$B$5,"Y","N"),"")</f>
        <v/>
      </c>
      <c r="J341" s="16">
        <f>IF(I341="Y","RECENT OFFERING/SPLIT/RIGHTS","")</f>
        <v/>
      </c>
    </row>
    <row r="342">
      <c r="A342" s="16">
        <f>'Rest Universe'!A343</f>
        <v/>
      </c>
      <c r="B342" s="22">
        <f>IFERROR(_xll.BDP(A342,"NAME"),"")</f>
        <v/>
      </c>
      <c r="C342" s="22">
        <f t="array" ref="C342">_xll.BDS(A342, "EQUITY_OFFERINGS", "sortdesc=3", "endrow=1")</f>
        <v/>
      </c>
      <c r="D342" s="16" t="n"/>
      <c r="E342" s="16" t="n"/>
      <c r="F342" s="16" t="n"/>
      <c r="G342" s="16" t="n"/>
      <c r="H342" s="16" t="n"/>
      <c r="I342" s="16">
        <f>IF(ISNUMBER(E342),IF(E342&gt;=Settings!$B$5,"Y","N"),"")</f>
        <v/>
      </c>
      <c r="J342" s="16">
        <f>IF(I342="Y","RECENT OFFERING/SPLIT/RIGHTS","")</f>
        <v/>
      </c>
    </row>
    <row r="343">
      <c r="A343" s="16">
        <f>'Rest Universe'!A344</f>
        <v/>
      </c>
      <c r="B343" s="22">
        <f>IFERROR(_xll.BDP(A343,"NAME"),"")</f>
        <v/>
      </c>
      <c r="C343" s="22">
        <f t="array" ref="C343">_xll.BDS(A343, "EQUITY_OFFERINGS", "sortdesc=3", "endrow=1")</f>
        <v/>
      </c>
      <c r="D343" s="16" t="n"/>
      <c r="E343" s="16" t="n"/>
      <c r="F343" s="16" t="n"/>
      <c r="G343" s="16" t="n"/>
      <c r="H343" s="16" t="n"/>
      <c r="I343" s="16">
        <f>IF(ISNUMBER(E343),IF(E343&gt;=Settings!$B$5,"Y","N"),"")</f>
        <v/>
      </c>
      <c r="J343" s="16">
        <f>IF(I343="Y","RECENT OFFERING/SPLIT/RIGHTS","")</f>
        <v/>
      </c>
    </row>
    <row r="344">
      <c r="A344" s="16">
        <f>'Rest Universe'!A345</f>
        <v/>
      </c>
      <c r="B344" s="22">
        <f>IFERROR(_xll.BDP(A344,"NAME"),"")</f>
        <v/>
      </c>
      <c r="C344" s="22">
        <f t="array" ref="C344">_xll.BDS(A344, "EQUITY_OFFERINGS", "sortdesc=3", "endrow=1")</f>
        <v/>
      </c>
      <c r="D344" s="16" t="n"/>
      <c r="E344" s="16" t="n"/>
      <c r="F344" s="16" t="n"/>
      <c r="G344" s="16" t="n"/>
      <c r="H344" s="16" t="n"/>
      <c r="I344" s="16">
        <f>IF(ISNUMBER(E344),IF(E344&gt;=Settings!$B$5,"Y","N"),"")</f>
        <v/>
      </c>
      <c r="J344" s="16">
        <f>IF(I344="Y","RECENT OFFERING/SPLIT/RIGHTS","")</f>
        <v/>
      </c>
    </row>
    <row r="345">
      <c r="A345" s="16">
        <f>'Rest Universe'!A346</f>
        <v/>
      </c>
      <c r="B345" s="22">
        <f>IFERROR(_xll.BDP(A345,"NAME"),"")</f>
        <v/>
      </c>
      <c r="C345" s="22">
        <f t="array" ref="C345">_xll.BDS(A345, "EQUITY_OFFERINGS", "sortdesc=3", "endrow=1")</f>
        <v/>
      </c>
      <c r="D345" s="16" t="n"/>
      <c r="E345" s="16" t="n"/>
      <c r="F345" s="16" t="n"/>
      <c r="G345" s="16" t="n"/>
      <c r="H345" s="16" t="n"/>
      <c r="I345" s="16">
        <f>IF(ISNUMBER(E345),IF(E345&gt;=Settings!$B$5,"Y","N"),"")</f>
        <v/>
      </c>
      <c r="J345" s="16">
        <f>IF(I345="Y","RECENT OFFERING/SPLIT/RIGHTS","")</f>
        <v/>
      </c>
    </row>
    <row r="346">
      <c r="A346" s="16">
        <f>'Rest Universe'!A347</f>
        <v/>
      </c>
      <c r="B346" s="22">
        <f>IFERROR(_xll.BDP(A346,"NAME"),"")</f>
        <v/>
      </c>
      <c r="C346" s="22">
        <f t="array" ref="C346">_xll.BDS(A346, "EQUITY_OFFERINGS", "sortdesc=3", "endrow=1")</f>
        <v/>
      </c>
      <c r="D346" s="16" t="n"/>
      <c r="E346" s="16" t="n"/>
      <c r="F346" s="16" t="n"/>
      <c r="G346" s="16" t="n"/>
      <c r="H346" s="16" t="n"/>
      <c r="I346" s="16">
        <f>IF(ISNUMBER(E346),IF(E346&gt;=Settings!$B$5,"Y","N"),"")</f>
        <v/>
      </c>
      <c r="J346" s="16">
        <f>IF(I346="Y","RECENT OFFERING/SPLIT/RIGHTS","")</f>
        <v/>
      </c>
    </row>
    <row r="347">
      <c r="A347" s="16">
        <f>'Rest Universe'!A348</f>
        <v/>
      </c>
      <c r="B347" s="22">
        <f>IFERROR(_xll.BDP(A347,"NAME"),"")</f>
        <v/>
      </c>
      <c r="C347" s="22">
        <f t="array" ref="C347">_xll.BDS(A347, "EQUITY_OFFERINGS", "sortdesc=3", "endrow=1")</f>
        <v/>
      </c>
      <c r="D347" s="16" t="n"/>
      <c r="E347" s="16" t="n"/>
      <c r="F347" s="16" t="n"/>
      <c r="G347" s="16" t="n"/>
      <c r="H347" s="16" t="n"/>
      <c r="I347" s="16">
        <f>IF(ISNUMBER(E347),IF(E347&gt;=Settings!$B$5,"Y","N"),"")</f>
        <v/>
      </c>
      <c r="J347" s="16">
        <f>IF(I347="Y","RECENT OFFERING/SPLIT/RIGHTS","")</f>
        <v/>
      </c>
    </row>
    <row r="348">
      <c r="A348" s="16">
        <f>'Rest Universe'!A349</f>
        <v/>
      </c>
      <c r="B348" s="22">
        <f>IFERROR(_xll.BDP(A348,"NAME"),"")</f>
        <v/>
      </c>
      <c r="C348" s="22">
        <f t="array" ref="C348">_xll.BDS(A348, "EQUITY_OFFERINGS", "sortdesc=3", "endrow=1")</f>
        <v/>
      </c>
      <c r="D348" s="16" t="n"/>
      <c r="E348" s="16" t="n"/>
      <c r="F348" s="16" t="n"/>
      <c r="G348" s="16" t="n"/>
      <c r="H348" s="16" t="n"/>
      <c r="I348" s="16">
        <f>IF(ISNUMBER(E348),IF(E348&gt;=Settings!$B$5,"Y","N"),"")</f>
        <v/>
      </c>
      <c r="J348" s="16">
        <f>IF(I348="Y","RECENT OFFERING/SPLIT/RIGHTS","")</f>
        <v/>
      </c>
    </row>
    <row r="349">
      <c r="A349" s="16">
        <f>'Rest Universe'!A350</f>
        <v/>
      </c>
      <c r="B349" s="22">
        <f>IFERROR(_xll.BDP(A349,"NAME"),"")</f>
        <v/>
      </c>
      <c r="C349" s="22">
        <f t="array" ref="C349">_xll.BDS(A349, "EQUITY_OFFERINGS", "sortdesc=3", "endrow=1")</f>
        <v/>
      </c>
      <c r="D349" s="16" t="n"/>
      <c r="E349" s="16" t="n"/>
      <c r="F349" s="16" t="n"/>
      <c r="G349" s="16" t="n"/>
      <c r="H349" s="16" t="n"/>
      <c r="I349" s="16">
        <f>IF(ISNUMBER(E349),IF(E349&gt;=Settings!$B$5,"Y","N"),"")</f>
        <v/>
      </c>
      <c r="J349" s="16">
        <f>IF(I349="Y","RECENT OFFERING/SPLIT/RIGHTS","")</f>
        <v/>
      </c>
    </row>
    <row r="350">
      <c r="A350" s="16">
        <f>'Rest Universe'!A351</f>
        <v/>
      </c>
      <c r="B350" s="22">
        <f>IFERROR(_xll.BDP(A350,"NAME"),"")</f>
        <v/>
      </c>
      <c r="C350" s="22">
        <f t="array" ref="C350">_xll.BDS(A350, "EQUITY_OFFERINGS", "sortdesc=3", "endrow=1")</f>
        <v/>
      </c>
      <c r="D350" s="16" t="n"/>
      <c r="E350" s="16" t="n"/>
      <c r="F350" s="16" t="n"/>
      <c r="G350" s="16" t="n"/>
      <c r="H350" s="16" t="n"/>
      <c r="I350" s="16">
        <f>IF(ISNUMBER(E350),IF(E350&gt;=Settings!$B$5,"Y","N"),"")</f>
        <v/>
      </c>
      <c r="J350" s="16">
        <f>IF(I350="Y","RECENT OFFERING/SPLIT/RIGHTS","")</f>
        <v/>
      </c>
    </row>
    <row r="351">
      <c r="A351" s="16">
        <f>'Rest Universe'!A352</f>
        <v/>
      </c>
      <c r="B351" s="22">
        <f>IFERROR(_xll.BDP(A351,"NAME"),"")</f>
        <v/>
      </c>
      <c r="C351" s="22">
        <f t="array" ref="C351">_xll.BDS(A351, "EQUITY_OFFERINGS", "sortdesc=3", "endrow=1")</f>
        <v/>
      </c>
      <c r="D351" s="16" t="n"/>
      <c r="E351" s="16" t="n"/>
      <c r="F351" s="16" t="n"/>
      <c r="G351" s="16" t="n"/>
      <c r="H351" s="16" t="n"/>
      <c r="I351" s="16">
        <f>IF(ISNUMBER(E351),IF(E351&gt;=Settings!$B$5,"Y","N"),"")</f>
        <v/>
      </c>
      <c r="J351" s="16">
        <f>IF(I351="Y","RECENT OFFERING/SPLIT/RIGHTS","")</f>
        <v/>
      </c>
    </row>
    <row r="352">
      <c r="A352" s="16">
        <f>'Rest Universe'!A353</f>
        <v/>
      </c>
      <c r="B352" s="22">
        <f>IFERROR(_xll.BDP(A352,"NAME"),"")</f>
        <v/>
      </c>
      <c r="C352" s="22">
        <f t="array" ref="C352">_xll.BDS(A352, "EQUITY_OFFERINGS", "sortdesc=3", "endrow=1")</f>
        <v/>
      </c>
      <c r="D352" s="16" t="n"/>
      <c r="E352" s="16" t="n"/>
      <c r="F352" s="16" t="n"/>
      <c r="G352" s="16" t="n"/>
      <c r="H352" s="16" t="n"/>
      <c r="I352" s="16">
        <f>IF(ISNUMBER(E352),IF(E352&gt;=Settings!$B$5,"Y","N"),"")</f>
        <v/>
      </c>
      <c r="J352" s="16">
        <f>IF(I352="Y","RECENT OFFERING/SPLIT/RIGHTS","")</f>
        <v/>
      </c>
    </row>
    <row r="353">
      <c r="A353" s="16">
        <f>'Rest Universe'!A354</f>
        <v/>
      </c>
      <c r="B353" s="22">
        <f>IFERROR(_xll.BDP(A353,"NAME"),"")</f>
        <v/>
      </c>
      <c r="C353" s="22">
        <f t="array" ref="C353">_xll.BDS(A353, "EQUITY_OFFERINGS", "sortdesc=3", "endrow=1")</f>
        <v/>
      </c>
      <c r="D353" s="16" t="n"/>
      <c r="E353" s="16" t="n"/>
      <c r="F353" s="16" t="n"/>
      <c r="G353" s="16" t="n"/>
      <c r="H353" s="16" t="n"/>
      <c r="I353" s="16">
        <f>IF(ISNUMBER(E353),IF(E353&gt;=Settings!$B$5,"Y","N"),"")</f>
        <v/>
      </c>
      <c r="J353" s="16">
        <f>IF(I353="Y","RECENT OFFERING/SPLIT/RIGHTS","")</f>
        <v/>
      </c>
    </row>
    <row r="354">
      <c r="A354" s="16">
        <f>'Rest Universe'!A355</f>
        <v/>
      </c>
      <c r="B354" s="22">
        <f>IFERROR(_xll.BDP(A354,"NAME"),"")</f>
        <v/>
      </c>
      <c r="C354" s="22">
        <f t="array" ref="C354">_xll.BDS(A354, "EQUITY_OFFERINGS", "sortdesc=3", "endrow=1")</f>
        <v/>
      </c>
      <c r="D354" s="16" t="n"/>
      <c r="E354" s="16" t="n"/>
      <c r="F354" s="16" t="n"/>
      <c r="G354" s="16" t="n"/>
      <c r="H354" s="16" t="n"/>
      <c r="I354" s="16">
        <f>IF(ISNUMBER(E354),IF(E354&gt;=Settings!$B$5,"Y","N"),"")</f>
        <v/>
      </c>
      <c r="J354" s="16">
        <f>IF(I354="Y","RECENT OFFERING/SPLIT/RIGHTS","")</f>
        <v/>
      </c>
    </row>
    <row r="355">
      <c r="A355" s="16">
        <f>'Rest Universe'!A356</f>
        <v/>
      </c>
      <c r="B355" s="22">
        <f>IFERROR(_xll.BDP(A355,"NAME"),"")</f>
        <v/>
      </c>
      <c r="C355" s="22">
        <f t="array" ref="C355">_xll.BDS(A355, "EQUITY_OFFERINGS", "sortdesc=3", "endrow=1")</f>
        <v/>
      </c>
      <c r="D355" s="16" t="n"/>
      <c r="E355" s="16" t="n"/>
      <c r="F355" s="16" t="n"/>
      <c r="G355" s="16" t="n"/>
      <c r="H355" s="16" t="n"/>
      <c r="I355" s="16">
        <f>IF(ISNUMBER(E355),IF(E355&gt;=Settings!$B$5,"Y","N"),"")</f>
        <v/>
      </c>
      <c r="J355" s="16">
        <f>IF(I355="Y","RECENT OFFERING/SPLIT/RIGHTS","")</f>
        <v/>
      </c>
    </row>
    <row r="356">
      <c r="A356" s="16">
        <f>'Rest Universe'!A357</f>
        <v/>
      </c>
      <c r="B356" s="22">
        <f>IFERROR(_xll.BDP(A356,"NAME"),"")</f>
        <v/>
      </c>
      <c r="C356" s="22">
        <f t="array" ref="C356">_xll.BDS(A356, "EQUITY_OFFERINGS", "sortdesc=3", "endrow=1")</f>
        <v/>
      </c>
      <c r="D356" s="16" t="n"/>
      <c r="E356" s="16" t="n"/>
      <c r="F356" s="16" t="n"/>
      <c r="G356" s="16" t="n"/>
      <c r="H356" s="16" t="n"/>
      <c r="I356" s="16">
        <f>IF(ISNUMBER(E356),IF(E356&gt;=Settings!$B$5,"Y","N"),"")</f>
        <v/>
      </c>
      <c r="J356" s="16">
        <f>IF(I356="Y","RECENT OFFERING/SPLIT/RIGHTS","")</f>
        <v/>
      </c>
    </row>
    <row r="357">
      <c r="A357" s="16">
        <f>'Rest Universe'!A358</f>
        <v/>
      </c>
      <c r="B357" s="22">
        <f>IFERROR(_xll.BDP(A357,"NAME"),"")</f>
        <v/>
      </c>
      <c r="C357" s="22">
        <f t="array" ref="C357">_xll.BDS(A357, "EQUITY_OFFERINGS", "sortdesc=3", "endrow=1")</f>
        <v/>
      </c>
      <c r="D357" s="16" t="n"/>
      <c r="E357" s="16" t="n"/>
      <c r="F357" s="16" t="n"/>
      <c r="G357" s="16" t="n"/>
      <c r="H357" s="16" t="n"/>
      <c r="I357" s="16">
        <f>IF(ISNUMBER(E357),IF(E357&gt;=Settings!$B$5,"Y","N"),"")</f>
        <v/>
      </c>
      <c r="J357" s="16">
        <f>IF(I357="Y","RECENT OFFERING/SPLIT/RIGHTS","")</f>
        <v/>
      </c>
    </row>
    <row r="358">
      <c r="A358" s="16">
        <f>'Rest Universe'!A359</f>
        <v/>
      </c>
      <c r="B358" s="22">
        <f>IFERROR(_xll.BDP(A358,"NAME"),"")</f>
        <v/>
      </c>
      <c r="C358" s="22">
        <f t="array" ref="C358">_xll.BDS(A358, "EQUITY_OFFERINGS", "sortdesc=3", "endrow=1")</f>
        <v/>
      </c>
      <c r="D358" s="16" t="n"/>
      <c r="E358" s="16" t="n"/>
      <c r="F358" s="16" t="n"/>
      <c r="G358" s="16" t="n"/>
      <c r="H358" s="16" t="n"/>
      <c r="I358" s="16">
        <f>IF(ISNUMBER(E358),IF(E358&gt;=Settings!$B$5,"Y","N"),"")</f>
        <v/>
      </c>
      <c r="J358" s="16">
        <f>IF(I358="Y","RECENT OFFERING/SPLIT/RIGHTS","")</f>
        <v/>
      </c>
    </row>
    <row r="359">
      <c r="A359" s="16">
        <f>'Rest Universe'!A360</f>
        <v/>
      </c>
      <c r="B359" s="22">
        <f>IFERROR(_xll.BDP(A359,"NAME"),"")</f>
        <v/>
      </c>
      <c r="C359" s="22">
        <f t="array" ref="C359">_xll.BDS(A359, "EQUITY_OFFERINGS", "sortdesc=3", "endrow=1")</f>
        <v/>
      </c>
      <c r="D359" s="16" t="n"/>
      <c r="E359" s="16" t="n"/>
      <c r="F359" s="16" t="n"/>
      <c r="G359" s="16" t="n"/>
      <c r="H359" s="16" t="n"/>
      <c r="I359" s="16">
        <f>IF(ISNUMBER(E359),IF(E359&gt;=Settings!$B$5,"Y","N"),"")</f>
        <v/>
      </c>
      <c r="J359" s="16">
        <f>IF(I359="Y","RECENT OFFERING/SPLIT/RIGHTS","")</f>
        <v/>
      </c>
    </row>
    <row r="360">
      <c r="A360" s="16">
        <f>'Rest Universe'!A361</f>
        <v/>
      </c>
      <c r="B360" s="22">
        <f>IFERROR(_xll.BDP(A360,"NAME"),"")</f>
        <v/>
      </c>
      <c r="C360" s="22">
        <f t="array" ref="C360">_xll.BDS(A360, "EQUITY_OFFERINGS", "sortdesc=3", "endrow=1")</f>
        <v/>
      </c>
      <c r="D360" s="16" t="n"/>
      <c r="E360" s="16" t="n"/>
      <c r="F360" s="16" t="n"/>
      <c r="G360" s="16" t="n"/>
      <c r="H360" s="16" t="n"/>
      <c r="I360" s="16">
        <f>IF(ISNUMBER(E360),IF(E360&gt;=Settings!$B$5,"Y","N"),"")</f>
        <v/>
      </c>
      <c r="J360" s="16">
        <f>IF(I360="Y","RECENT OFFERING/SPLIT/RIGHTS","")</f>
        <v/>
      </c>
    </row>
    <row r="361">
      <c r="A361" s="16">
        <f>'Rest Universe'!A362</f>
        <v/>
      </c>
      <c r="B361" s="22">
        <f>IFERROR(_xll.BDP(A361,"NAME"),"")</f>
        <v/>
      </c>
      <c r="C361" s="22">
        <f t="array" ref="C361">_xll.BDS(A361, "EQUITY_OFFERINGS", "sortdesc=3", "endrow=1")</f>
        <v/>
      </c>
      <c r="D361" s="16" t="n"/>
      <c r="E361" s="16" t="n"/>
      <c r="F361" s="16" t="n"/>
      <c r="G361" s="16" t="n"/>
      <c r="H361" s="16" t="n"/>
      <c r="I361" s="16">
        <f>IF(ISNUMBER(E361),IF(E361&gt;=Settings!$B$5,"Y","N"),"")</f>
        <v/>
      </c>
      <c r="J361" s="16">
        <f>IF(I361="Y","RECENT OFFERING/SPLIT/RIGHTS","")</f>
        <v/>
      </c>
    </row>
    <row r="362">
      <c r="A362" s="16">
        <f>'Rest Universe'!A363</f>
        <v/>
      </c>
      <c r="B362" s="22">
        <f>IFERROR(_xll.BDP(A362,"NAME"),"")</f>
        <v/>
      </c>
      <c r="C362" s="22">
        <f t="array" ref="C362">_xll.BDS(A362, "EQUITY_OFFERINGS", "sortdesc=3", "endrow=1")</f>
        <v/>
      </c>
      <c r="D362" s="16" t="n"/>
      <c r="E362" s="16" t="n"/>
      <c r="F362" s="16" t="n"/>
      <c r="G362" s="16" t="n"/>
      <c r="H362" s="16" t="n"/>
      <c r="I362" s="16">
        <f>IF(ISNUMBER(E362),IF(E362&gt;=Settings!$B$5,"Y","N"),"")</f>
        <v/>
      </c>
      <c r="J362" s="16">
        <f>IF(I362="Y","RECENT OFFERING/SPLIT/RIGHTS","")</f>
        <v/>
      </c>
    </row>
    <row r="363">
      <c r="A363" s="16">
        <f>'Rest Universe'!A364</f>
        <v/>
      </c>
      <c r="B363" s="22">
        <f>IFERROR(_xll.BDP(A363,"NAME"),"")</f>
        <v/>
      </c>
      <c r="C363" s="22">
        <f t="array" ref="C363">_xll.BDS(A363, "EQUITY_OFFERINGS", "sortdesc=3", "endrow=1")</f>
        <v/>
      </c>
      <c r="D363" s="16" t="n"/>
      <c r="E363" s="16" t="n"/>
      <c r="F363" s="16" t="n"/>
      <c r="G363" s="16" t="n"/>
      <c r="H363" s="16" t="n"/>
      <c r="I363" s="16">
        <f>IF(ISNUMBER(E363),IF(E363&gt;=Settings!$B$5,"Y","N"),"")</f>
        <v/>
      </c>
      <c r="J363" s="16">
        <f>IF(I363="Y","RECENT OFFERING/SPLIT/RIGHTS","")</f>
        <v/>
      </c>
    </row>
    <row r="364">
      <c r="A364" s="16">
        <f>'Rest Universe'!A365</f>
        <v/>
      </c>
      <c r="B364" s="22">
        <f>IFERROR(_xll.BDP(A364,"NAME"),"")</f>
        <v/>
      </c>
      <c r="C364" s="22">
        <f t="array" ref="C364">_xll.BDS(A364, "EQUITY_OFFERINGS", "sortdesc=3", "endrow=1")</f>
        <v/>
      </c>
      <c r="D364" s="16" t="n"/>
      <c r="E364" s="16" t="n"/>
      <c r="F364" s="16" t="n"/>
      <c r="G364" s="16" t="n"/>
      <c r="H364" s="16" t="n"/>
      <c r="I364" s="16">
        <f>IF(ISNUMBER(E364),IF(E364&gt;=Settings!$B$5,"Y","N"),"")</f>
        <v/>
      </c>
      <c r="J364" s="16">
        <f>IF(I364="Y","RECENT OFFERING/SPLIT/RIGHTS","")</f>
        <v/>
      </c>
    </row>
    <row r="365">
      <c r="A365" s="16">
        <f>'Rest Universe'!A366</f>
        <v/>
      </c>
      <c r="B365" s="22">
        <f>IFERROR(_xll.BDP(A365,"NAME"),"")</f>
        <v/>
      </c>
      <c r="C365" s="22">
        <f t="array" ref="C365">_xll.BDS(A365, "EQUITY_OFFERINGS", "sortdesc=3", "endrow=1")</f>
        <v/>
      </c>
      <c r="D365" s="16" t="n"/>
      <c r="E365" s="16" t="n"/>
      <c r="F365" s="16" t="n"/>
      <c r="G365" s="16" t="n"/>
      <c r="H365" s="16" t="n"/>
      <c r="I365" s="16">
        <f>IF(ISNUMBER(E365),IF(E365&gt;=Settings!$B$5,"Y","N"),"")</f>
        <v/>
      </c>
      <c r="J365" s="16">
        <f>IF(I365="Y","RECENT OFFERING/SPLIT/RIGHTS","")</f>
        <v/>
      </c>
    </row>
    <row r="366">
      <c r="A366" s="16">
        <f>'Rest Universe'!A367</f>
        <v/>
      </c>
      <c r="B366" s="22">
        <f>IFERROR(_xll.BDP(A366,"NAME"),"")</f>
        <v/>
      </c>
      <c r="C366" s="22">
        <f t="array" ref="C366">_xll.BDS(A366, "EQUITY_OFFERINGS", "sortdesc=3", "endrow=1")</f>
        <v/>
      </c>
      <c r="D366" s="16" t="n"/>
      <c r="E366" s="16" t="n"/>
      <c r="F366" s="16" t="n"/>
      <c r="G366" s="16" t="n"/>
      <c r="H366" s="16" t="n"/>
      <c r="I366" s="16">
        <f>IF(ISNUMBER(E366),IF(E366&gt;=Settings!$B$5,"Y","N"),"")</f>
        <v/>
      </c>
      <c r="J366" s="16">
        <f>IF(I366="Y","RECENT OFFERING/SPLIT/RIGHTS","")</f>
        <v/>
      </c>
    </row>
    <row r="367">
      <c r="A367" s="16">
        <f>'Rest Universe'!A368</f>
        <v/>
      </c>
      <c r="B367" s="22">
        <f>IFERROR(_xll.BDP(A367,"NAME"),"")</f>
        <v/>
      </c>
      <c r="C367" s="22">
        <f t="array" ref="C367">_xll.BDS(A367, "EQUITY_OFFERINGS", "sortdesc=3", "endrow=1")</f>
        <v/>
      </c>
      <c r="D367" s="16" t="n"/>
      <c r="E367" s="16" t="n"/>
      <c r="F367" s="16" t="n"/>
      <c r="G367" s="16" t="n"/>
      <c r="H367" s="16" t="n"/>
      <c r="I367" s="16">
        <f>IF(ISNUMBER(E367),IF(E367&gt;=Settings!$B$5,"Y","N"),"")</f>
        <v/>
      </c>
      <c r="J367" s="16">
        <f>IF(I367="Y","RECENT OFFERING/SPLIT/RIGHTS","")</f>
        <v/>
      </c>
    </row>
    <row r="368">
      <c r="A368" s="16">
        <f>'Rest Universe'!A369</f>
        <v/>
      </c>
      <c r="B368" s="22">
        <f>IFERROR(_xll.BDP(A368,"NAME"),"")</f>
        <v/>
      </c>
      <c r="C368" s="22">
        <f t="array" ref="C368">_xll.BDS(A368, "EQUITY_OFFERINGS", "sortdesc=3", "endrow=1")</f>
        <v/>
      </c>
      <c r="D368" s="16" t="n"/>
      <c r="E368" s="16" t="n"/>
      <c r="F368" s="16" t="n"/>
      <c r="G368" s="16" t="n"/>
      <c r="H368" s="16" t="n"/>
      <c r="I368" s="16">
        <f>IF(ISNUMBER(E368),IF(E368&gt;=Settings!$B$5,"Y","N"),"")</f>
        <v/>
      </c>
      <c r="J368" s="16">
        <f>IF(I368="Y","RECENT OFFERING/SPLIT/RIGHTS","")</f>
        <v/>
      </c>
    </row>
    <row r="369">
      <c r="A369" s="16">
        <f>'Rest Universe'!A370</f>
        <v/>
      </c>
      <c r="B369" s="22">
        <f>IFERROR(_xll.BDP(A369,"NAME"),"")</f>
        <v/>
      </c>
      <c r="C369" s="22">
        <f t="array" ref="C369">_xll.BDS(A369, "EQUITY_OFFERINGS", "sortdesc=3", "endrow=1")</f>
        <v/>
      </c>
      <c r="D369" s="16" t="n"/>
      <c r="E369" s="16" t="n"/>
      <c r="F369" s="16" t="n"/>
      <c r="G369" s="16" t="n"/>
      <c r="H369" s="16" t="n"/>
      <c r="I369" s="16">
        <f>IF(ISNUMBER(E369),IF(E369&gt;=Settings!$B$5,"Y","N"),"")</f>
        <v/>
      </c>
      <c r="J369" s="16">
        <f>IF(I369="Y","RECENT OFFERING/SPLIT/RIGHTS","")</f>
        <v/>
      </c>
    </row>
    <row r="370">
      <c r="A370" s="16">
        <f>'Rest Universe'!A371</f>
        <v/>
      </c>
      <c r="B370" s="22">
        <f>IFERROR(_xll.BDP(A370,"NAME"),"")</f>
        <v/>
      </c>
      <c r="C370" s="22">
        <f t="array" ref="C370">_xll.BDS(A370, "EQUITY_OFFERINGS", "sortdesc=3", "endrow=1")</f>
        <v/>
      </c>
      <c r="D370" s="16" t="n"/>
      <c r="E370" s="16" t="n"/>
      <c r="F370" s="16" t="n"/>
      <c r="G370" s="16" t="n"/>
      <c r="H370" s="16" t="n"/>
      <c r="I370" s="16">
        <f>IF(ISNUMBER(E370),IF(E370&gt;=Settings!$B$5,"Y","N"),"")</f>
        <v/>
      </c>
      <c r="J370" s="16">
        <f>IF(I370="Y","RECENT OFFERING/SPLIT/RIGHTS","")</f>
        <v/>
      </c>
    </row>
    <row r="371">
      <c r="A371" s="16">
        <f>'Rest Universe'!A372</f>
        <v/>
      </c>
      <c r="B371" s="22">
        <f>IFERROR(_xll.BDP(A371,"NAME"),"")</f>
        <v/>
      </c>
      <c r="C371" s="22">
        <f t="array" ref="C371">_xll.BDS(A371, "EQUITY_OFFERINGS", "sortdesc=3", "endrow=1")</f>
        <v/>
      </c>
      <c r="D371" s="16" t="n"/>
      <c r="E371" s="16" t="n"/>
      <c r="F371" s="16" t="n"/>
      <c r="G371" s="16" t="n"/>
      <c r="H371" s="16" t="n"/>
      <c r="I371" s="16">
        <f>IF(ISNUMBER(E371),IF(E371&gt;=Settings!$B$5,"Y","N"),"")</f>
        <v/>
      </c>
      <c r="J371" s="16">
        <f>IF(I371="Y","RECENT OFFERING/SPLIT/RIGHTS","")</f>
        <v/>
      </c>
    </row>
    <row r="372">
      <c r="A372" s="16">
        <f>'Rest Universe'!A373</f>
        <v/>
      </c>
      <c r="B372" s="22">
        <f>IFERROR(_xll.BDP(A372,"NAME"),"")</f>
        <v/>
      </c>
      <c r="C372" s="22">
        <f t="array" ref="C372">_xll.BDS(A372, "EQUITY_OFFERINGS", "sortdesc=3", "endrow=1")</f>
        <v/>
      </c>
      <c r="D372" s="16" t="n"/>
      <c r="E372" s="16" t="n"/>
      <c r="F372" s="16" t="n"/>
      <c r="G372" s="16" t="n"/>
      <c r="H372" s="16" t="n"/>
      <c r="I372" s="16">
        <f>IF(ISNUMBER(E372),IF(E372&gt;=Settings!$B$5,"Y","N"),"")</f>
        <v/>
      </c>
      <c r="J372" s="16">
        <f>IF(I372="Y","RECENT OFFERING/SPLIT/RIGHTS","")</f>
        <v/>
      </c>
    </row>
    <row r="373">
      <c r="A373" s="16">
        <f>'Rest Universe'!A374</f>
        <v/>
      </c>
      <c r="B373" s="22">
        <f>IFERROR(_xll.BDP(A373,"NAME"),"")</f>
        <v/>
      </c>
      <c r="C373" s="22">
        <f t="array" ref="C373">_xll.BDS(A373, "EQUITY_OFFERINGS", "sortdesc=3", "endrow=1")</f>
        <v/>
      </c>
      <c r="D373" s="16" t="n"/>
      <c r="E373" s="16" t="n"/>
      <c r="F373" s="16" t="n"/>
      <c r="G373" s="16" t="n"/>
      <c r="H373" s="16" t="n"/>
      <c r="I373" s="16">
        <f>IF(ISNUMBER(E373),IF(E373&gt;=Settings!$B$5,"Y","N"),"")</f>
        <v/>
      </c>
      <c r="J373" s="16">
        <f>IF(I373="Y","RECENT OFFERING/SPLIT/RIGHTS","")</f>
        <v/>
      </c>
    </row>
    <row r="374">
      <c r="A374" s="16">
        <f>'Rest Universe'!A375</f>
        <v/>
      </c>
      <c r="B374" s="22">
        <f>IFERROR(_xll.BDP(A374,"NAME"),"")</f>
        <v/>
      </c>
      <c r="C374" s="22">
        <f t="array" ref="C374">_xll.BDS(A374, "EQUITY_OFFERINGS", "sortdesc=3", "endrow=1")</f>
        <v/>
      </c>
      <c r="D374" s="16" t="n"/>
      <c r="E374" s="16" t="n"/>
      <c r="F374" s="16" t="n"/>
      <c r="G374" s="16" t="n"/>
      <c r="H374" s="16" t="n"/>
      <c r="I374" s="16">
        <f>IF(ISNUMBER(E374),IF(E374&gt;=Settings!$B$5,"Y","N"),"")</f>
        <v/>
      </c>
      <c r="J374" s="16">
        <f>IF(I374="Y","RECENT OFFERING/SPLIT/RIGHTS","")</f>
        <v/>
      </c>
    </row>
    <row r="375">
      <c r="A375" s="16">
        <f>'Rest Universe'!A376</f>
        <v/>
      </c>
      <c r="B375" s="22">
        <f>IFERROR(_xll.BDP(A375,"NAME"),"")</f>
        <v/>
      </c>
      <c r="C375" s="22">
        <f t="array" ref="C375">_xll.BDS(A375, "EQUITY_OFFERINGS", "sortdesc=3", "endrow=1")</f>
        <v/>
      </c>
      <c r="D375" s="16" t="n"/>
      <c r="E375" s="16" t="n"/>
      <c r="F375" s="16" t="n"/>
      <c r="G375" s="16" t="n"/>
      <c r="H375" s="16" t="n"/>
      <c r="I375" s="16">
        <f>IF(ISNUMBER(E375),IF(E375&gt;=Settings!$B$5,"Y","N"),"")</f>
        <v/>
      </c>
      <c r="J375" s="16">
        <f>IF(I375="Y","RECENT OFFERING/SPLIT/RIGHTS","")</f>
        <v/>
      </c>
    </row>
    <row r="376">
      <c r="A376" s="16">
        <f>'Rest Universe'!A377</f>
        <v/>
      </c>
      <c r="B376" s="22">
        <f>IFERROR(_xll.BDP(A376,"NAME"),"")</f>
        <v/>
      </c>
      <c r="C376" s="22">
        <f t="array" ref="C376">_xll.BDS(A376, "EQUITY_OFFERINGS", "sortdesc=3", "endrow=1")</f>
        <v/>
      </c>
      <c r="D376" s="16" t="n"/>
      <c r="E376" s="16" t="n"/>
      <c r="F376" s="16" t="n"/>
      <c r="G376" s="16" t="n"/>
      <c r="H376" s="16" t="n"/>
      <c r="I376" s="16">
        <f>IF(ISNUMBER(E376),IF(E376&gt;=Settings!$B$5,"Y","N"),"")</f>
        <v/>
      </c>
      <c r="J376" s="16">
        <f>IF(I376="Y","RECENT OFFERING/SPLIT/RIGHTS","")</f>
        <v/>
      </c>
    </row>
    <row r="377">
      <c r="A377" s="16">
        <f>'Rest Universe'!A378</f>
        <v/>
      </c>
      <c r="B377" s="22">
        <f>IFERROR(_xll.BDP(A377,"NAME"),"")</f>
        <v/>
      </c>
      <c r="C377" s="22">
        <f t="array" ref="C377">_xll.BDS(A377, "EQUITY_OFFERINGS", "sortdesc=3", "endrow=1")</f>
        <v/>
      </c>
      <c r="D377" s="16" t="n"/>
      <c r="E377" s="16" t="n"/>
      <c r="F377" s="16" t="n"/>
      <c r="G377" s="16" t="n"/>
      <c r="H377" s="16" t="n"/>
      <c r="I377" s="16">
        <f>IF(ISNUMBER(E377),IF(E377&gt;=Settings!$B$5,"Y","N"),"")</f>
        <v/>
      </c>
      <c r="J377" s="16">
        <f>IF(I377="Y","RECENT OFFERING/SPLIT/RIGHTS","")</f>
        <v/>
      </c>
    </row>
    <row r="378">
      <c r="A378" s="16">
        <f>'Rest Universe'!A379</f>
        <v/>
      </c>
      <c r="B378" s="22">
        <f>IFERROR(_xll.BDP(A378,"NAME"),"")</f>
        <v/>
      </c>
      <c r="C378" s="22">
        <f t="array" ref="C378">_xll.BDS(A378, "EQUITY_OFFERINGS", "sortdesc=3", "endrow=1")</f>
        <v/>
      </c>
      <c r="D378" s="16" t="n"/>
      <c r="E378" s="16" t="n"/>
      <c r="F378" s="16" t="n"/>
      <c r="G378" s="16" t="n"/>
      <c r="H378" s="16" t="n"/>
      <c r="I378" s="16">
        <f>IF(ISNUMBER(E378),IF(E378&gt;=Settings!$B$5,"Y","N"),"")</f>
        <v/>
      </c>
      <c r="J378" s="16">
        <f>IF(I378="Y","RECENT OFFERING/SPLIT/RIGHTS","")</f>
        <v/>
      </c>
    </row>
    <row r="379">
      <c r="A379" s="16">
        <f>'Rest Universe'!A380</f>
        <v/>
      </c>
      <c r="B379" s="22">
        <f>IFERROR(_xll.BDP(A379,"NAME"),"")</f>
        <v/>
      </c>
      <c r="C379" s="22">
        <f t="array" ref="C379">_xll.BDS(A379, "EQUITY_OFFERINGS", "sortdesc=3", "endrow=1")</f>
        <v/>
      </c>
      <c r="D379" s="16" t="n"/>
      <c r="E379" s="16" t="n"/>
      <c r="F379" s="16" t="n"/>
      <c r="G379" s="16" t="n"/>
      <c r="H379" s="16" t="n"/>
      <c r="I379" s="16">
        <f>IF(ISNUMBER(E379),IF(E379&gt;=Settings!$B$5,"Y","N"),"")</f>
        <v/>
      </c>
      <c r="J379" s="16">
        <f>IF(I379="Y","RECENT OFFERING/SPLIT/RIGHTS","")</f>
        <v/>
      </c>
    </row>
    <row r="380">
      <c r="A380" s="16">
        <f>'Rest Universe'!A381</f>
        <v/>
      </c>
      <c r="B380" s="22">
        <f>IFERROR(_xll.BDP(A380,"NAME"),"")</f>
        <v/>
      </c>
      <c r="C380" s="22">
        <f t="array" ref="C380">_xll.BDS(A380, "EQUITY_OFFERINGS", "sortdesc=3", "endrow=1")</f>
        <v/>
      </c>
      <c r="D380" s="16" t="n"/>
      <c r="E380" s="16" t="n"/>
      <c r="F380" s="16" t="n"/>
      <c r="G380" s="16" t="n"/>
      <c r="H380" s="16" t="n"/>
      <c r="I380" s="16">
        <f>IF(ISNUMBER(E380),IF(E380&gt;=Settings!$B$5,"Y","N"),"")</f>
        <v/>
      </c>
      <c r="J380" s="16">
        <f>IF(I380="Y","RECENT OFFERING/SPLIT/RIGHTS","")</f>
        <v/>
      </c>
    </row>
    <row r="381">
      <c r="A381" s="16">
        <f>'Rest Universe'!A382</f>
        <v/>
      </c>
      <c r="B381" s="22">
        <f>IFERROR(_xll.BDP(A381,"NAME"),"")</f>
        <v/>
      </c>
      <c r="C381" s="22">
        <f t="array" ref="C381">_xll.BDS(A381, "EQUITY_OFFERINGS", "sortdesc=3", "endrow=1")</f>
        <v/>
      </c>
      <c r="D381" s="16" t="n"/>
      <c r="E381" s="16" t="n"/>
      <c r="F381" s="16" t="n"/>
      <c r="G381" s="16" t="n"/>
      <c r="H381" s="16" t="n"/>
      <c r="I381" s="16">
        <f>IF(ISNUMBER(E381),IF(E381&gt;=Settings!$B$5,"Y","N"),"")</f>
        <v/>
      </c>
      <c r="J381" s="16">
        <f>IF(I381="Y","RECENT OFFERING/SPLIT/RIGHTS","")</f>
        <v/>
      </c>
    </row>
    <row r="382">
      <c r="A382" s="16">
        <f>'Rest Universe'!A383</f>
        <v/>
      </c>
      <c r="B382" s="22">
        <f>IFERROR(_xll.BDP(A382,"NAME"),"")</f>
        <v/>
      </c>
      <c r="C382" s="22">
        <f t="array" ref="C382">_xll.BDS(A382, "EQUITY_OFFERINGS", "sortdesc=3", "endrow=1")</f>
        <v/>
      </c>
      <c r="D382" s="16" t="n"/>
      <c r="E382" s="16" t="n"/>
      <c r="F382" s="16" t="n"/>
      <c r="G382" s="16" t="n"/>
      <c r="H382" s="16" t="n"/>
      <c r="I382" s="16">
        <f>IF(ISNUMBER(E382),IF(E382&gt;=Settings!$B$5,"Y","N"),"")</f>
        <v/>
      </c>
      <c r="J382" s="16">
        <f>IF(I382="Y","RECENT OFFERING/SPLIT/RIGHTS","")</f>
        <v/>
      </c>
    </row>
    <row r="383">
      <c r="A383" s="16">
        <f>'Rest Universe'!A384</f>
        <v/>
      </c>
      <c r="B383" s="22">
        <f>IFERROR(_xll.BDP(A383,"NAME"),"")</f>
        <v/>
      </c>
      <c r="C383" s="22">
        <f t="array" ref="C383">_xll.BDS(A383, "EQUITY_OFFERINGS", "sortdesc=3", "endrow=1")</f>
        <v/>
      </c>
      <c r="D383" s="16" t="n"/>
      <c r="E383" s="16" t="n"/>
      <c r="F383" s="16" t="n"/>
      <c r="G383" s="16" t="n"/>
      <c r="H383" s="16" t="n"/>
      <c r="I383" s="16">
        <f>IF(ISNUMBER(E383),IF(E383&gt;=Settings!$B$5,"Y","N"),"")</f>
        <v/>
      </c>
      <c r="J383" s="16">
        <f>IF(I383="Y","RECENT OFFERING/SPLIT/RIGHTS","")</f>
        <v/>
      </c>
    </row>
    <row r="384">
      <c r="A384" s="16">
        <f>'Rest Universe'!A385</f>
        <v/>
      </c>
      <c r="B384" s="22">
        <f>IFERROR(_xll.BDP(A384,"NAME"),"")</f>
        <v/>
      </c>
      <c r="C384" s="22">
        <f t="array" ref="C384">_xll.BDS(A384, "EQUITY_OFFERINGS", "sortdesc=3", "endrow=1")</f>
        <v/>
      </c>
      <c r="D384" s="16" t="n"/>
      <c r="E384" s="16" t="n"/>
      <c r="F384" s="16" t="n"/>
      <c r="G384" s="16" t="n"/>
      <c r="H384" s="16" t="n"/>
      <c r="I384" s="16">
        <f>IF(ISNUMBER(E384),IF(E384&gt;=Settings!$B$5,"Y","N"),"")</f>
        <v/>
      </c>
      <c r="J384" s="16">
        <f>IF(I384="Y","RECENT OFFERING/SPLIT/RIGHTS","")</f>
        <v/>
      </c>
    </row>
    <row r="385">
      <c r="A385" s="16">
        <f>'Rest Universe'!A386</f>
        <v/>
      </c>
      <c r="B385" s="22">
        <f>IFERROR(_xll.BDP(A385,"NAME"),"")</f>
        <v/>
      </c>
      <c r="C385" s="22">
        <f t="array" ref="C385">_xll.BDS(A385, "EQUITY_OFFERINGS", "sortdesc=3", "endrow=1")</f>
        <v/>
      </c>
      <c r="D385" s="16" t="n"/>
      <c r="E385" s="16" t="n"/>
      <c r="F385" s="16" t="n"/>
      <c r="G385" s="16" t="n"/>
      <c r="H385" s="16" t="n"/>
      <c r="I385" s="16">
        <f>IF(ISNUMBER(E385),IF(E385&gt;=Settings!$B$5,"Y","N"),"")</f>
        <v/>
      </c>
      <c r="J385" s="16">
        <f>IF(I385="Y","RECENT OFFERING/SPLIT/RIGHTS","")</f>
        <v/>
      </c>
    </row>
    <row r="386">
      <c r="A386" s="16">
        <f>'Rest Universe'!A387</f>
        <v/>
      </c>
      <c r="B386" s="22">
        <f>IFERROR(_xll.BDP(A386,"NAME"),"")</f>
        <v/>
      </c>
      <c r="C386" s="22">
        <f t="array" ref="C386">_xll.BDS(A386, "EQUITY_OFFERINGS", "sortdesc=3", "endrow=1")</f>
        <v/>
      </c>
      <c r="D386" s="16" t="n"/>
      <c r="E386" s="16" t="n"/>
      <c r="F386" s="16" t="n"/>
      <c r="G386" s="16" t="n"/>
      <c r="H386" s="16" t="n"/>
      <c r="I386" s="16">
        <f>IF(ISNUMBER(E386),IF(E386&gt;=Settings!$B$5,"Y","N"),"")</f>
        <v/>
      </c>
      <c r="J386" s="16">
        <f>IF(I386="Y","RECENT OFFERING/SPLIT/RIGHTS","")</f>
        <v/>
      </c>
    </row>
    <row r="387">
      <c r="A387" s="16">
        <f>'Rest Universe'!A388</f>
        <v/>
      </c>
      <c r="B387" s="22">
        <f>IFERROR(_xll.BDP(A387,"NAME"),"")</f>
        <v/>
      </c>
      <c r="C387" s="22">
        <f t="array" ref="C387">_xll.BDS(A387, "EQUITY_OFFERINGS", "sortdesc=3", "endrow=1")</f>
        <v/>
      </c>
      <c r="D387" s="16" t="n"/>
      <c r="E387" s="16" t="n"/>
      <c r="F387" s="16" t="n"/>
      <c r="G387" s="16" t="n"/>
      <c r="H387" s="16" t="n"/>
      <c r="I387" s="16">
        <f>IF(ISNUMBER(E387),IF(E387&gt;=Settings!$B$5,"Y","N"),"")</f>
        <v/>
      </c>
      <c r="J387" s="16">
        <f>IF(I387="Y","RECENT OFFERING/SPLIT/RIGHTS","")</f>
        <v/>
      </c>
    </row>
    <row r="388">
      <c r="A388" s="16">
        <f>'Rest Universe'!A389</f>
        <v/>
      </c>
      <c r="B388" s="22">
        <f>IFERROR(_xll.BDP(A388,"NAME"),"")</f>
        <v/>
      </c>
      <c r="C388" s="22">
        <f t="array" ref="C388">_xll.BDS(A388, "EQUITY_OFFERINGS", "sortdesc=3", "endrow=1")</f>
        <v/>
      </c>
      <c r="D388" s="16" t="n"/>
      <c r="E388" s="16" t="n"/>
      <c r="F388" s="16" t="n"/>
      <c r="G388" s="16" t="n"/>
      <c r="H388" s="16" t="n"/>
      <c r="I388" s="16">
        <f>IF(ISNUMBER(E388),IF(E388&gt;=Settings!$B$5,"Y","N"),"")</f>
        <v/>
      </c>
      <c r="J388" s="16">
        <f>IF(I388="Y","RECENT OFFERING/SPLIT/RIGHTS","")</f>
        <v/>
      </c>
    </row>
    <row r="389">
      <c r="A389" s="16">
        <f>'Rest Universe'!A390</f>
        <v/>
      </c>
      <c r="B389" s="22">
        <f>IFERROR(_xll.BDP(A389,"NAME"),"")</f>
        <v/>
      </c>
      <c r="C389" s="22">
        <f t="array" ref="C389">_xll.BDS(A389, "EQUITY_OFFERINGS", "sortdesc=3", "endrow=1")</f>
        <v/>
      </c>
      <c r="D389" s="16" t="n"/>
      <c r="E389" s="16" t="n"/>
      <c r="F389" s="16" t="n"/>
      <c r="G389" s="16" t="n"/>
      <c r="H389" s="16" t="n"/>
      <c r="I389" s="16">
        <f>IF(ISNUMBER(E389),IF(E389&gt;=Settings!$B$5,"Y","N"),"")</f>
        <v/>
      </c>
      <c r="J389" s="16">
        <f>IF(I389="Y","RECENT OFFERING/SPLIT/RIGHTS","")</f>
        <v/>
      </c>
    </row>
    <row r="390">
      <c r="A390" s="16">
        <f>'Rest Universe'!A391</f>
        <v/>
      </c>
      <c r="B390" s="22">
        <f>IFERROR(_xll.BDP(A390,"NAME"),"")</f>
        <v/>
      </c>
      <c r="C390" s="22">
        <f t="array" ref="C390">_xll.BDS(A390, "EQUITY_OFFERINGS", "sortdesc=3", "endrow=1")</f>
        <v/>
      </c>
      <c r="D390" s="16" t="n"/>
      <c r="E390" s="16" t="n"/>
      <c r="F390" s="16" t="n"/>
      <c r="G390" s="16" t="n"/>
      <c r="H390" s="16" t="n"/>
      <c r="I390" s="16">
        <f>IF(ISNUMBER(E390),IF(E390&gt;=Settings!$B$5,"Y","N"),"")</f>
        <v/>
      </c>
      <c r="J390" s="16">
        <f>IF(I390="Y","RECENT OFFERING/SPLIT/RIGHTS","")</f>
        <v/>
      </c>
    </row>
    <row r="391">
      <c r="A391" s="16">
        <f>'Rest Universe'!A392</f>
        <v/>
      </c>
      <c r="B391" s="22">
        <f>IFERROR(_xll.BDP(A391,"NAME"),"")</f>
        <v/>
      </c>
      <c r="C391" s="22">
        <f t="array" ref="C391">_xll.BDS(A391, "EQUITY_OFFERINGS", "sortdesc=3", "endrow=1")</f>
        <v/>
      </c>
      <c r="D391" s="16" t="n"/>
      <c r="E391" s="16" t="n"/>
      <c r="F391" s="16" t="n"/>
      <c r="G391" s="16" t="n"/>
      <c r="H391" s="16" t="n"/>
      <c r="I391" s="16">
        <f>IF(ISNUMBER(E391),IF(E391&gt;=Settings!$B$5,"Y","N"),"")</f>
        <v/>
      </c>
      <c r="J391" s="16">
        <f>IF(I391="Y","RECENT OFFERING/SPLIT/RIGHTS","")</f>
        <v/>
      </c>
    </row>
    <row r="392">
      <c r="A392" s="16">
        <f>'Rest Universe'!A393</f>
        <v/>
      </c>
      <c r="B392" s="22">
        <f>IFERROR(_xll.BDP(A392,"NAME"),"")</f>
        <v/>
      </c>
      <c r="C392" s="22">
        <f t="array" ref="C392">_xll.BDS(A392, "EQUITY_OFFERINGS", "sortdesc=3", "endrow=1")</f>
        <v/>
      </c>
      <c r="D392" s="16" t="n"/>
      <c r="E392" s="16" t="n"/>
      <c r="F392" s="16" t="n"/>
      <c r="G392" s="16" t="n"/>
      <c r="H392" s="16" t="n"/>
      <c r="I392" s="16">
        <f>IF(ISNUMBER(E392),IF(E392&gt;=Settings!$B$5,"Y","N"),"")</f>
        <v/>
      </c>
      <c r="J392" s="16">
        <f>IF(I392="Y","RECENT OFFERING/SPLIT/RIGHTS","")</f>
        <v/>
      </c>
    </row>
    <row r="393">
      <c r="A393" s="16">
        <f>'Rest Universe'!A394</f>
        <v/>
      </c>
      <c r="B393" s="22">
        <f>IFERROR(_xll.BDP(A393,"NAME"),"")</f>
        <v/>
      </c>
      <c r="C393" s="22">
        <f t="array" ref="C393">_xll.BDS(A393, "EQUITY_OFFERINGS", "sortdesc=3", "endrow=1")</f>
        <v/>
      </c>
      <c r="D393" s="16" t="n"/>
      <c r="E393" s="16" t="n"/>
      <c r="F393" s="16" t="n"/>
      <c r="G393" s="16" t="n"/>
      <c r="H393" s="16" t="n"/>
      <c r="I393" s="16">
        <f>IF(ISNUMBER(E393),IF(E393&gt;=Settings!$B$5,"Y","N"),"")</f>
        <v/>
      </c>
      <c r="J393" s="16">
        <f>IF(I393="Y","RECENT OFFERING/SPLIT/RIGHTS","")</f>
        <v/>
      </c>
    </row>
    <row r="394">
      <c r="A394" s="16">
        <f>'Rest Universe'!A395</f>
        <v/>
      </c>
      <c r="B394" s="22">
        <f>IFERROR(_xll.BDP(A394,"NAME"),"")</f>
        <v/>
      </c>
      <c r="C394" s="22">
        <f t="array" ref="C394">_xll.BDS(A394, "EQUITY_OFFERINGS", "sortdesc=3", "endrow=1")</f>
        <v/>
      </c>
      <c r="D394" s="16" t="n"/>
      <c r="E394" s="16" t="n"/>
      <c r="F394" s="16" t="n"/>
      <c r="G394" s="16" t="n"/>
      <c r="H394" s="16" t="n"/>
      <c r="I394" s="16">
        <f>IF(ISNUMBER(E394),IF(E394&gt;=Settings!$B$5,"Y","N"),"")</f>
        <v/>
      </c>
      <c r="J394" s="16">
        <f>IF(I394="Y","RECENT OFFERING/SPLIT/RIGHTS","")</f>
        <v/>
      </c>
    </row>
    <row r="395">
      <c r="A395" s="16">
        <f>'Rest Universe'!A396</f>
        <v/>
      </c>
      <c r="B395" s="22">
        <f>IFERROR(_xll.BDP(A395,"NAME"),"")</f>
        <v/>
      </c>
      <c r="C395" s="22">
        <f t="array" ref="C395">_xll.BDS(A395, "EQUITY_OFFERINGS", "sortdesc=3", "endrow=1")</f>
        <v/>
      </c>
      <c r="D395" s="16" t="n"/>
      <c r="E395" s="16" t="n"/>
      <c r="F395" s="16" t="n"/>
      <c r="G395" s="16" t="n"/>
      <c r="H395" s="16" t="n"/>
      <c r="I395" s="16">
        <f>IF(ISNUMBER(E395),IF(E395&gt;=Settings!$B$5,"Y","N"),"")</f>
        <v/>
      </c>
      <c r="J395" s="16">
        <f>IF(I395="Y","RECENT OFFERING/SPLIT/RIGHTS","")</f>
        <v/>
      </c>
    </row>
    <row r="396">
      <c r="A396" s="16">
        <f>'Rest Universe'!A397</f>
        <v/>
      </c>
      <c r="B396" s="22">
        <f>IFERROR(_xll.BDP(A396,"NAME"),"")</f>
        <v/>
      </c>
      <c r="C396" s="22">
        <f t="array" ref="C396">_xll.BDS(A396, "EQUITY_OFFERINGS", "sortdesc=3", "endrow=1")</f>
        <v/>
      </c>
      <c r="D396" s="16" t="n"/>
      <c r="E396" s="16" t="n"/>
      <c r="F396" s="16" t="n"/>
      <c r="G396" s="16" t="n"/>
      <c r="H396" s="16" t="n"/>
      <c r="I396" s="16">
        <f>IF(ISNUMBER(E396),IF(E396&gt;=Settings!$B$5,"Y","N"),"")</f>
        <v/>
      </c>
      <c r="J396" s="16">
        <f>IF(I396="Y","RECENT OFFERING/SPLIT/RIGHTS","")</f>
        <v/>
      </c>
    </row>
    <row r="397">
      <c r="A397" s="16">
        <f>'Rest Universe'!A398</f>
        <v/>
      </c>
      <c r="B397" s="22">
        <f>IFERROR(_xll.BDP(A397,"NAME"),"")</f>
        <v/>
      </c>
      <c r="C397" s="22">
        <f t="array" ref="C397">_xll.BDS(A397, "EQUITY_OFFERINGS", "sortdesc=3", "endrow=1")</f>
        <v/>
      </c>
      <c r="D397" s="16" t="n"/>
      <c r="E397" s="16" t="n"/>
      <c r="F397" s="16" t="n"/>
      <c r="G397" s="16" t="n"/>
      <c r="H397" s="16" t="n"/>
      <c r="I397" s="16">
        <f>IF(ISNUMBER(E397),IF(E397&gt;=Settings!$B$5,"Y","N"),"")</f>
        <v/>
      </c>
      <c r="J397" s="16">
        <f>IF(I397="Y","RECENT OFFERING/SPLIT/RIGHTS","")</f>
        <v/>
      </c>
    </row>
    <row r="398">
      <c r="A398" s="16">
        <f>'Rest Universe'!A399</f>
        <v/>
      </c>
      <c r="B398" s="22">
        <f>IFERROR(_xll.BDP(A398,"NAME"),"")</f>
        <v/>
      </c>
      <c r="C398" s="22">
        <f t="array" ref="C398">_xll.BDS(A398, "EQUITY_OFFERINGS", "sortdesc=3", "endrow=1")</f>
        <v/>
      </c>
      <c r="D398" s="16" t="n"/>
      <c r="E398" s="16" t="n"/>
      <c r="F398" s="16" t="n"/>
      <c r="G398" s="16" t="n"/>
      <c r="H398" s="16" t="n"/>
      <c r="I398" s="16">
        <f>IF(ISNUMBER(E398),IF(E398&gt;=Settings!$B$5,"Y","N"),"")</f>
        <v/>
      </c>
      <c r="J398" s="16">
        <f>IF(I398="Y","RECENT OFFERING/SPLIT/RIGHTS","")</f>
        <v/>
      </c>
    </row>
    <row r="399">
      <c r="A399" s="16">
        <f>'Rest Universe'!A400</f>
        <v/>
      </c>
      <c r="B399" s="22">
        <f>IFERROR(_xll.BDP(A399,"NAME"),"")</f>
        <v/>
      </c>
      <c r="C399" s="22">
        <f t="array" ref="C399">_xll.BDS(A399, "EQUITY_OFFERINGS", "sortdesc=3", "endrow=1")</f>
        <v/>
      </c>
      <c r="D399" s="16" t="n"/>
      <c r="E399" s="16" t="n"/>
      <c r="F399" s="16" t="n"/>
      <c r="G399" s="16" t="n"/>
      <c r="H399" s="16" t="n"/>
      <c r="I399" s="16">
        <f>IF(ISNUMBER(E399),IF(E399&gt;=Settings!$B$5,"Y","N"),"")</f>
        <v/>
      </c>
      <c r="J399" s="16">
        <f>IF(I399="Y","RECENT OFFERING/SPLIT/RIGHTS","")</f>
        <v/>
      </c>
    </row>
    <row r="400">
      <c r="A400" s="16">
        <f>'Rest Universe'!A401</f>
        <v/>
      </c>
      <c r="B400" s="22">
        <f>IFERROR(_xll.BDP(A400,"NAME"),"")</f>
        <v/>
      </c>
      <c r="C400" s="22">
        <f t="array" ref="C400">_xll.BDS(A400, "EQUITY_OFFERINGS", "sortdesc=3", "endrow=1")</f>
        <v/>
      </c>
      <c r="D400" s="16" t="n"/>
      <c r="E400" s="16" t="n"/>
      <c r="F400" s="16" t="n"/>
      <c r="G400" s="16" t="n"/>
      <c r="H400" s="16" t="n"/>
      <c r="I400" s="16">
        <f>IF(ISNUMBER(E400),IF(E400&gt;=Settings!$B$5,"Y","N"),"")</f>
        <v/>
      </c>
      <c r="J400" s="16">
        <f>IF(I400="Y","RECENT OFFERING/SPLIT/RIGHTS","")</f>
        <v/>
      </c>
    </row>
    <row r="401">
      <c r="A401" s="16">
        <f>'Rest Universe'!A402</f>
        <v/>
      </c>
      <c r="B401" s="22">
        <f>IFERROR(_xll.BDP(A401,"NAME"),"")</f>
        <v/>
      </c>
      <c r="C401" s="22">
        <f t="array" ref="C401">_xll.BDS(A401, "EQUITY_OFFERINGS", "sortdesc=3", "endrow=1")</f>
        <v/>
      </c>
      <c r="D401" s="16" t="n"/>
      <c r="E401" s="16" t="n"/>
      <c r="F401" s="16" t="n"/>
      <c r="G401" s="16" t="n"/>
      <c r="H401" s="16" t="n"/>
      <c r="I401" s="16">
        <f>IF(ISNUMBER(E401),IF(E401&gt;=Settings!$B$5,"Y","N"),"")</f>
        <v/>
      </c>
      <c r="J401" s="16">
        <f>IF(I401="Y","RECENT OFFERING/SPLIT/RIGHTS","")</f>
        <v/>
      </c>
    </row>
    <row r="402">
      <c r="A402" s="16">
        <f>'Rest Universe'!A403</f>
        <v/>
      </c>
      <c r="B402" s="22">
        <f>IFERROR(_xll.BDP(A402,"NAME"),"")</f>
        <v/>
      </c>
      <c r="C402" s="22">
        <f t="array" ref="C402">_xll.BDS(A402, "EQUITY_OFFERINGS", "sortdesc=3", "endrow=1")</f>
        <v/>
      </c>
      <c r="D402" s="16" t="n"/>
      <c r="E402" s="16" t="n"/>
      <c r="F402" s="16" t="n"/>
      <c r="G402" s="16" t="n"/>
      <c r="H402" s="16" t="n"/>
      <c r="I402" s="16">
        <f>IF(ISNUMBER(E402),IF(E402&gt;=Settings!$B$5,"Y","N"),"")</f>
        <v/>
      </c>
      <c r="J402" s="16">
        <f>IF(I402="Y","RECENT OFFERING/SPLIT/RIGHTS","")</f>
        <v/>
      </c>
    </row>
    <row r="403">
      <c r="A403" s="16">
        <f>'Rest Universe'!A404</f>
        <v/>
      </c>
      <c r="B403" s="22">
        <f>IFERROR(_xll.BDP(A403,"NAME"),"")</f>
        <v/>
      </c>
      <c r="C403" s="22">
        <f t="array" ref="C403">_xll.BDS(A403, "EQUITY_OFFERINGS", "sortdesc=3", "endrow=1")</f>
        <v/>
      </c>
      <c r="D403" s="16" t="n"/>
      <c r="E403" s="16" t="n"/>
      <c r="F403" s="16" t="n"/>
      <c r="G403" s="16" t="n"/>
      <c r="H403" s="16" t="n"/>
      <c r="I403" s="16">
        <f>IF(ISNUMBER(E403),IF(E403&gt;=Settings!$B$5,"Y","N"),"")</f>
        <v/>
      </c>
      <c r="J403" s="16">
        <f>IF(I403="Y","RECENT OFFERING/SPLIT/RIGHTS","")</f>
        <v/>
      </c>
    </row>
    <row r="404">
      <c r="A404" s="16">
        <f>'Rest Universe'!A405</f>
        <v/>
      </c>
      <c r="B404" s="22">
        <f>IFERROR(_xll.BDP(A404,"NAME"),"")</f>
        <v/>
      </c>
      <c r="C404" s="22">
        <f t="array" ref="C404">_xll.BDS(A404, "EQUITY_OFFERINGS", "sortdesc=3", "endrow=1")</f>
        <v/>
      </c>
      <c r="D404" s="16" t="n"/>
      <c r="E404" s="16" t="n"/>
      <c r="F404" s="16" t="n"/>
      <c r="G404" s="16" t="n"/>
      <c r="H404" s="16" t="n"/>
      <c r="I404" s="16">
        <f>IF(ISNUMBER(E404),IF(E404&gt;=Settings!$B$5,"Y","N"),"")</f>
        <v/>
      </c>
      <c r="J404" s="16">
        <f>IF(I404="Y","RECENT OFFERING/SPLIT/RIGHTS","")</f>
        <v/>
      </c>
    </row>
    <row r="405">
      <c r="A405" s="16">
        <f>'Rest Universe'!A406</f>
        <v/>
      </c>
      <c r="B405" s="22">
        <f>IFERROR(_xll.BDP(A405,"NAME"),"")</f>
        <v/>
      </c>
      <c r="C405" s="22">
        <f t="array" ref="C405">_xll.BDS(A405, "EQUITY_OFFERINGS", "sortdesc=3", "endrow=1")</f>
        <v/>
      </c>
      <c r="D405" s="16" t="n"/>
      <c r="E405" s="16" t="n"/>
      <c r="F405" s="16" t="n"/>
      <c r="G405" s="16" t="n"/>
      <c r="H405" s="16" t="n"/>
      <c r="I405" s="16">
        <f>IF(ISNUMBER(E405),IF(E405&gt;=Settings!$B$5,"Y","N"),"")</f>
        <v/>
      </c>
      <c r="J405" s="16">
        <f>IF(I405="Y","RECENT OFFERING/SPLIT/RIGHTS","")</f>
        <v/>
      </c>
    </row>
    <row r="406">
      <c r="A406" s="16">
        <f>'Rest Universe'!A407</f>
        <v/>
      </c>
      <c r="B406" s="22">
        <f>IFERROR(_xll.BDP(A406,"NAME"),"")</f>
        <v/>
      </c>
      <c r="C406" s="22">
        <f t="array" ref="C406">_xll.BDS(A406, "EQUITY_OFFERINGS", "sortdesc=3", "endrow=1")</f>
        <v/>
      </c>
      <c r="D406" s="16" t="n"/>
      <c r="E406" s="16" t="n"/>
      <c r="F406" s="16" t="n"/>
      <c r="G406" s="16" t="n"/>
      <c r="H406" s="16" t="n"/>
      <c r="I406" s="16">
        <f>IF(ISNUMBER(E406),IF(E406&gt;=Settings!$B$5,"Y","N"),"")</f>
        <v/>
      </c>
      <c r="J406" s="16">
        <f>IF(I406="Y","RECENT OFFERING/SPLIT/RIGHTS","")</f>
        <v/>
      </c>
    </row>
    <row r="407">
      <c r="A407" s="16">
        <f>'Rest Universe'!A408</f>
        <v/>
      </c>
      <c r="B407" s="22">
        <f>IFERROR(_xll.BDP(A407,"NAME"),"")</f>
        <v/>
      </c>
      <c r="C407" s="22">
        <f t="array" ref="C407">_xll.BDS(A407, "EQUITY_OFFERINGS", "sortdesc=3", "endrow=1")</f>
        <v/>
      </c>
      <c r="D407" s="16" t="n"/>
      <c r="E407" s="16" t="n"/>
      <c r="F407" s="16" t="n"/>
      <c r="G407" s="16" t="n"/>
      <c r="H407" s="16" t="n"/>
      <c r="I407" s="16">
        <f>IF(ISNUMBER(E407),IF(E407&gt;=Settings!$B$5,"Y","N"),"")</f>
        <v/>
      </c>
      <c r="J407" s="16">
        <f>IF(I407="Y","RECENT OFFERING/SPLIT/RIGHTS","")</f>
        <v/>
      </c>
    </row>
    <row r="408">
      <c r="A408" s="16">
        <f>'Rest Universe'!A409</f>
        <v/>
      </c>
      <c r="B408" s="22">
        <f>IFERROR(_xll.BDP(A408,"NAME"),"")</f>
        <v/>
      </c>
      <c r="C408" s="22">
        <f t="array" ref="C408">_xll.BDS(A408, "EQUITY_OFFERINGS", "sortdesc=3", "endrow=1")</f>
        <v/>
      </c>
      <c r="D408" s="16" t="n"/>
      <c r="E408" s="16" t="n"/>
      <c r="F408" s="16" t="n"/>
      <c r="G408" s="16" t="n"/>
      <c r="H408" s="16" t="n"/>
      <c r="I408" s="16">
        <f>IF(ISNUMBER(E408),IF(E408&gt;=Settings!$B$5,"Y","N"),"")</f>
        <v/>
      </c>
      <c r="J408" s="16">
        <f>IF(I408="Y","RECENT OFFERING/SPLIT/RIGHTS","")</f>
        <v/>
      </c>
    </row>
    <row r="409">
      <c r="A409" s="16">
        <f>'Rest Universe'!A410</f>
        <v/>
      </c>
      <c r="B409" s="22">
        <f>IFERROR(_xll.BDP(A409,"NAME"),"")</f>
        <v/>
      </c>
      <c r="C409" s="22">
        <f t="array" ref="C409">_xll.BDS(A409, "EQUITY_OFFERINGS", "sortdesc=3", "endrow=1")</f>
        <v/>
      </c>
      <c r="D409" s="16" t="n"/>
      <c r="E409" s="16" t="n"/>
      <c r="F409" s="16" t="n"/>
      <c r="G409" s="16" t="n"/>
      <c r="H409" s="16" t="n"/>
      <c r="I409" s="16">
        <f>IF(ISNUMBER(E409),IF(E409&gt;=Settings!$B$5,"Y","N"),"")</f>
        <v/>
      </c>
      <c r="J409" s="16">
        <f>IF(I409="Y","RECENT OFFERING/SPLIT/RIGHTS","")</f>
        <v/>
      </c>
    </row>
    <row r="410">
      <c r="A410" s="16">
        <f>'Rest Universe'!A411</f>
        <v/>
      </c>
      <c r="B410" s="22">
        <f>IFERROR(_xll.BDP(A410,"NAME"),"")</f>
        <v/>
      </c>
      <c r="C410" s="22">
        <f t="array" ref="C410">_xll.BDS(A410, "EQUITY_OFFERINGS", "sortdesc=3", "endrow=1")</f>
        <v/>
      </c>
      <c r="D410" s="16" t="n"/>
      <c r="E410" s="16" t="n"/>
      <c r="F410" s="16" t="n"/>
      <c r="G410" s="16" t="n"/>
      <c r="H410" s="16" t="n"/>
      <c r="I410" s="16">
        <f>IF(ISNUMBER(E410),IF(E410&gt;=Settings!$B$5,"Y","N"),"")</f>
        <v/>
      </c>
      <c r="J410" s="16">
        <f>IF(I410="Y","RECENT OFFERING/SPLIT/RIGHTS","")</f>
        <v/>
      </c>
    </row>
    <row r="411">
      <c r="A411" s="16">
        <f>'Rest Universe'!A412</f>
        <v/>
      </c>
      <c r="B411" s="22">
        <f>IFERROR(_xll.BDP(A411,"NAME"),"")</f>
        <v/>
      </c>
      <c r="C411" s="22">
        <f t="array" ref="C411">_xll.BDS(A411, "EQUITY_OFFERINGS", "sortdesc=3", "endrow=1")</f>
        <v/>
      </c>
      <c r="D411" s="16" t="n"/>
      <c r="E411" s="16" t="n"/>
      <c r="F411" s="16" t="n"/>
      <c r="G411" s="16" t="n"/>
      <c r="H411" s="16" t="n"/>
      <c r="I411" s="16">
        <f>IF(ISNUMBER(E411),IF(E411&gt;=Settings!$B$5,"Y","N"),"")</f>
        <v/>
      </c>
      <c r="J411" s="16">
        <f>IF(I411="Y","RECENT OFFERING/SPLIT/RIGHTS","")</f>
        <v/>
      </c>
    </row>
    <row r="412">
      <c r="A412" s="16">
        <f>'Rest Universe'!A413</f>
        <v/>
      </c>
      <c r="B412" s="22">
        <f>IFERROR(_xll.BDP(A412,"NAME"),"")</f>
        <v/>
      </c>
      <c r="C412" s="22">
        <f t="array" ref="C412">_xll.BDS(A412, "EQUITY_OFFERINGS", "sortdesc=3", "endrow=1")</f>
        <v/>
      </c>
      <c r="D412" s="16" t="n"/>
      <c r="E412" s="16" t="n"/>
      <c r="F412" s="16" t="n"/>
      <c r="G412" s="16" t="n"/>
      <c r="H412" s="16" t="n"/>
      <c r="I412" s="16">
        <f>IF(ISNUMBER(E412),IF(E412&gt;=Settings!$B$5,"Y","N"),"")</f>
        <v/>
      </c>
      <c r="J412" s="16">
        <f>IF(I412="Y","RECENT OFFERING/SPLIT/RIGHTS","")</f>
        <v/>
      </c>
    </row>
    <row r="413">
      <c r="A413" s="16">
        <f>'Rest Universe'!A414</f>
        <v/>
      </c>
      <c r="B413" s="22">
        <f>IFERROR(_xll.BDP(A413,"NAME"),"")</f>
        <v/>
      </c>
      <c r="C413" s="22">
        <f t="array" ref="C413">_xll.BDS(A413, "EQUITY_OFFERINGS", "sortdesc=3", "endrow=1")</f>
        <v/>
      </c>
      <c r="D413" s="16" t="n"/>
      <c r="E413" s="16" t="n"/>
      <c r="F413" s="16" t="n"/>
      <c r="G413" s="16" t="n"/>
      <c r="H413" s="16" t="n"/>
      <c r="I413" s="16">
        <f>IF(ISNUMBER(E413),IF(E413&gt;=Settings!$B$5,"Y","N"),"")</f>
        <v/>
      </c>
      <c r="J413" s="16">
        <f>IF(I413="Y","RECENT OFFERING/SPLIT/RIGHTS","")</f>
        <v/>
      </c>
    </row>
    <row r="414">
      <c r="A414" s="16">
        <f>'Rest Universe'!A415</f>
        <v/>
      </c>
      <c r="B414" s="22">
        <f>IFERROR(_xll.BDP(A414,"NAME"),"")</f>
        <v/>
      </c>
      <c r="C414" s="22">
        <f t="array" ref="C414">_xll.BDS(A414, "EQUITY_OFFERINGS", "sortdesc=3", "endrow=1")</f>
        <v/>
      </c>
      <c r="D414" s="16" t="n"/>
      <c r="E414" s="16" t="n"/>
      <c r="F414" s="16" t="n"/>
      <c r="G414" s="16" t="n"/>
      <c r="H414" s="16" t="n"/>
      <c r="I414" s="16">
        <f>IF(ISNUMBER(E414),IF(E414&gt;=Settings!$B$5,"Y","N"),"")</f>
        <v/>
      </c>
      <c r="J414" s="16">
        <f>IF(I414="Y","RECENT OFFERING/SPLIT/RIGHTS","")</f>
        <v/>
      </c>
    </row>
    <row r="415">
      <c r="A415" s="16">
        <f>'Rest Universe'!A416</f>
        <v/>
      </c>
      <c r="B415" s="22">
        <f>IFERROR(_xll.BDP(A415,"NAME"),"")</f>
        <v/>
      </c>
      <c r="C415" s="22">
        <f t="array" ref="C415">_xll.BDS(A415, "EQUITY_OFFERINGS", "sortdesc=3", "endrow=1")</f>
        <v/>
      </c>
      <c r="D415" s="16" t="n"/>
      <c r="E415" s="16" t="n"/>
      <c r="F415" s="16" t="n"/>
      <c r="G415" s="16" t="n"/>
      <c r="H415" s="16" t="n"/>
      <c r="I415" s="16">
        <f>IF(ISNUMBER(E415),IF(E415&gt;=Settings!$B$5,"Y","N"),"")</f>
        <v/>
      </c>
      <c r="J415" s="16">
        <f>IF(I415="Y","RECENT OFFERING/SPLIT/RIGHTS","")</f>
        <v/>
      </c>
    </row>
    <row r="416">
      <c r="A416" s="16">
        <f>'Rest Universe'!A417</f>
        <v/>
      </c>
      <c r="B416" s="22">
        <f>IFERROR(_xll.BDP(A416,"NAME"),"")</f>
        <v/>
      </c>
      <c r="C416" s="22">
        <f t="array" ref="C416">_xll.BDS(A416, "EQUITY_OFFERINGS", "sortdesc=3", "endrow=1")</f>
        <v/>
      </c>
      <c r="D416" s="16" t="n"/>
      <c r="E416" s="16" t="n"/>
      <c r="F416" s="16" t="n"/>
      <c r="G416" s="16" t="n"/>
      <c r="H416" s="16" t="n"/>
      <c r="I416" s="16">
        <f>IF(ISNUMBER(E416),IF(E416&gt;=Settings!$B$5,"Y","N"),"")</f>
        <v/>
      </c>
      <c r="J416" s="16">
        <f>IF(I416="Y","RECENT OFFERING/SPLIT/RIGHTS","")</f>
        <v/>
      </c>
    </row>
    <row r="417">
      <c r="A417" s="16">
        <f>'Rest Universe'!A418</f>
        <v/>
      </c>
      <c r="B417" s="22">
        <f>IFERROR(_xll.BDP(A417,"NAME"),"")</f>
        <v/>
      </c>
      <c r="C417" s="22">
        <f t="array" ref="C417">_xll.BDS(A417, "EQUITY_OFFERINGS", "sortdesc=3", "endrow=1")</f>
        <v/>
      </c>
      <c r="D417" s="16" t="n"/>
      <c r="E417" s="16" t="n"/>
      <c r="F417" s="16" t="n"/>
      <c r="G417" s="16" t="n"/>
      <c r="H417" s="16" t="n"/>
      <c r="I417" s="16">
        <f>IF(ISNUMBER(E417),IF(E417&gt;=Settings!$B$5,"Y","N"),"")</f>
        <v/>
      </c>
      <c r="J417" s="16">
        <f>IF(I417="Y","RECENT OFFERING/SPLIT/RIGHTS","")</f>
        <v/>
      </c>
    </row>
    <row r="418">
      <c r="A418" s="16">
        <f>'Rest Universe'!A419</f>
        <v/>
      </c>
      <c r="B418" s="22">
        <f>IFERROR(_xll.BDP(A418,"NAME"),"")</f>
        <v/>
      </c>
      <c r="C418" s="22">
        <f t="array" ref="C418">_xll.BDS(A418, "EQUITY_OFFERINGS", "sortdesc=3", "endrow=1")</f>
        <v/>
      </c>
      <c r="D418" s="16" t="n"/>
      <c r="E418" s="16" t="n"/>
      <c r="F418" s="16" t="n"/>
      <c r="G418" s="16" t="n"/>
      <c r="H418" s="16" t="n"/>
      <c r="I418" s="16">
        <f>IF(ISNUMBER(E418),IF(E418&gt;=Settings!$B$5,"Y","N"),"")</f>
        <v/>
      </c>
      <c r="J418" s="16">
        <f>IF(I418="Y","RECENT OFFERING/SPLIT/RIGHTS","")</f>
        <v/>
      </c>
    </row>
    <row r="419">
      <c r="A419" s="16">
        <f>'Rest Universe'!A420</f>
        <v/>
      </c>
      <c r="B419" s="22">
        <f>IFERROR(_xll.BDP(A419,"NAME"),"")</f>
        <v/>
      </c>
      <c r="C419" s="22">
        <f t="array" ref="C419">_xll.BDS(A419, "EQUITY_OFFERINGS", "sortdesc=3", "endrow=1")</f>
        <v/>
      </c>
      <c r="D419" s="16" t="n"/>
      <c r="E419" s="16" t="n"/>
      <c r="F419" s="16" t="n"/>
      <c r="G419" s="16" t="n"/>
      <c r="H419" s="16" t="n"/>
      <c r="I419" s="16">
        <f>IF(ISNUMBER(E419),IF(E419&gt;=Settings!$B$5,"Y","N"),"")</f>
        <v/>
      </c>
      <c r="J419" s="16">
        <f>IF(I419="Y","RECENT OFFERING/SPLIT/RIGHTS","")</f>
        <v/>
      </c>
    </row>
    <row r="420">
      <c r="A420" s="16">
        <f>'Rest Universe'!A421</f>
        <v/>
      </c>
      <c r="B420" s="22">
        <f>IFERROR(_xll.BDP(A420,"NAME"),"")</f>
        <v/>
      </c>
      <c r="C420" s="22">
        <f t="array" ref="C420">_xll.BDS(A420, "EQUITY_OFFERINGS", "sortdesc=3", "endrow=1")</f>
        <v/>
      </c>
      <c r="D420" s="16" t="n"/>
      <c r="E420" s="16" t="n"/>
      <c r="F420" s="16" t="n"/>
      <c r="G420" s="16" t="n"/>
      <c r="H420" s="16" t="n"/>
      <c r="I420" s="16">
        <f>IF(ISNUMBER(E420),IF(E420&gt;=Settings!$B$5,"Y","N"),"")</f>
        <v/>
      </c>
      <c r="J420" s="16">
        <f>IF(I420="Y","RECENT OFFERING/SPLIT/RIGHTS","")</f>
        <v/>
      </c>
    </row>
    <row r="421">
      <c r="A421" s="16">
        <f>'Rest Universe'!A422</f>
        <v/>
      </c>
      <c r="B421" s="22">
        <f>IFERROR(_xll.BDP(A421,"NAME"),"")</f>
        <v/>
      </c>
      <c r="C421" s="22">
        <f t="array" ref="C421">_xll.BDS(A421, "EQUITY_OFFERINGS", "sortdesc=3", "endrow=1")</f>
        <v/>
      </c>
      <c r="D421" s="16" t="n"/>
      <c r="E421" s="16" t="n"/>
      <c r="F421" s="16" t="n"/>
      <c r="G421" s="16" t="n"/>
      <c r="H421" s="16" t="n"/>
      <c r="I421" s="16">
        <f>IF(ISNUMBER(E421),IF(E421&gt;=Settings!$B$5,"Y","N"),"")</f>
        <v/>
      </c>
      <c r="J421" s="16">
        <f>IF(I421="Y","RECENT OFFERING/SPLIT/RIGHTS","")</f>
        <v/>
      </c>
    </row>
    <row r="422">
      <c r="A422" s="16">
        <f>'Rest Universe'!A423</f>
        <v/>
      </c>
      <c r="B422" s="22">
        <f>IFERROR(_xll.BDP(A422,"NAME"),"")</f>
        <v/>
      </c>
      <c r="C422" s="22">
        <f t="array" ref="C422">_xll.BDS(A422, "EQUITY_OFFERINGS", "sortdesc=3", "endrow=1")</f>
        <v/>
      </c>
      <c r="D422" s="16" t="n"/>
      <c r="E422" s="16" t="n"/>
      <c r="F422" s="16" t="n"/>
      <c r="G422" s="16" t="n"/>
      <c r="H422" s="16" t="n"/>
      <c r="I422" s="16">
        <f>IF(ISNUMBER(E422),IF(E422&gt;=Settings!$B$5,"Y","N"),"")</f>
        <v/>
      </c>
      <c r="J422" s="16">
        <f>IF(I422="Y","RECENT OFFERING/SPLIT/RIGHTS","")</f>
        <v/>
      </c>
    </row>
    <row r="423">
      <c r="A423" s="16">
        <f>'Rest Universe'!A424</f>
        <v/>
      </c>
      <c r="B423" s="22">
        <f>IFERROR(_xll.BDP(A423,"NAME"),"")</f>
        <v/>
      </c>
      <c r="C423" s="22">
        <f t="array" ref="C423">_xll.BDS(A423, "EQUITY_OFFERINGS", "sortdesc=3", "endrow=1")</f>
        <v/>
      </c>
      <c r="D423" s="16" t="n"/>
      <c r="E423" s="16" t="n"/>
      <c r="F423" s="16" t="n"/>
      <c r="G423" s="16" t="n"/>
      <c r="H423" s="16" t="n"/>
      <c r="I423" s="16">
        <f>IF(ISNUMBER(E423),IF(E423&gt;=Settings!$B$5,"Y","N"),"")</f>
        <v/>
      </c>
      <c r="J423" s="16">
        <f>IF(I423="Y","RECENT OFFERING/SPLIT/RIGHTS","")</f>
        <v/>
      </c>
    </row>
    <row r="424">
      <c r="A424" s="16">
        <f>'Rest Universe'!A425</f>
        <v/>
      </c>
      <c r="B424" s="22">
        <f>IFERROR(_xll.BDP(A424,"NAME"),"")</f>
        <v/>
      </c>
      <c r="C424" s="22">
        <f t="array" ref="C424">_xll.BDS(A424, "EQUITY_OFFERINGS", "sortdesc=3", "endrow=1")</f>
        <v/>
      </c>
      <c r="D424" s="16" t="n"/>
      <c r="E424" s="16" t="n"/>
      <c r="F424" s="16" t="n"/>
      <c r="G424" s="16" t="n"/>
      <c r="H424" s="16" t="n"/>
      <c r="I424" s="16">
        <f>IF(ISNUMBER(E424),IF(E424&gt;=Settings!$B$5,"Y","N"),"")</f>
        <v/>
      </c>
      <c r="J424" s="16">
        <f>IF(I424="Y","RECENT OFFERING/SPLIT/RIGHTS","")</f>
        <v/>
      </c>
    </row>
    <row r="425">
      <c r="A425" s="16">
        <f>'Rest Universe'!A426</f>
        <v/>
      </c>
      <c r="B425" s="22">
        <f>IFERROR(_xll.BDP(A425,"NAME"),"")</f>
        <v/>
      </c>
      <c r="C425" s="22">
        <f t="array" ref="C425">_xll.BDS(A425, "EQUITY_OFFERINGS", "sortdesc=3", "endrow=1")</f>
        <v/>
      </c>
      <c r="D425" s="16" t="n"/>
      <c r="E425" s="16" t="n"/>
      <c r="F425" s="16" t="n"/>
      <c r="G425" s="16" t="n"/>
      <c r="H425" s="16" t="n"/>
      <c r="I425" s="16">
        <f>IF(ISNUMBER(E425),IF(E425&gt;=Settings!$B$5,"Y","N"),"")</f>
        <v/>
      </c>
      <c r="J425" s="16">
        <f>IF(I425="Y","RECENT OFFERING/SPLIT/RIGHTS","")</f>
        <v/>
      </c>
    </row>
    <row r="426">
      <c r="A426" s="16">
        <f>'Rest Universe'!A427</f>
        <v/>
      </c>
      <c r="B426" s="22">
        <f>IFERROR(_xll.BDP(A426,"NAME"),"")</f>
        <v/>
      </c>
      <c r="C426" s="22">
        <f t="array" ref="C426">_xll.BDS(A426, "EQUITY_OFFERINGS", "sortdesc=3", "endrow=1")</f>
        <v/>
      </c>
      <c r="D426" s="16" t="n"/>
      <c r="E426" s="16" t="n"/>
      <c r="F426" s="16" t="n"/>
      <c r="G426" s="16" t="n"/>
      <c r="H426" s="16" t="n"/>
      <c r="I426" s="16">
        <f>IF(ISNUMBER(E426),IF(E426&gt;=Settings!$B$5,"Y","N"),"")</f>
        <v/>
      </c>
      <c r="J426" s="16">
        <f>IF(I426="Y","RECENT OFFERING/SPLIT/RIGHTS","")</f>
        <v/>
      </c>
    </row>
    <row r="427">
      <c r="A427" s="16">
        <f>'Rest Universe'!A428</f>
        <v/>
      </c>
      <c r="B427" s="22">
        <f>IFERROR(_xll.BDP(A427,"NAME"),"")</f>
        <v/>
      </c>
      <c r="C427" s="22">
        <f t="array" ref="C427">_xll.BDS(A427, "EQUITY_OFFERINGS", "sortdesc=3", "endrow=1")</f>
        <v/>
      </c>
      <c r="D427" s="16" t="n"/>
      <c r="E427" s="16" t="n"/>
      <c r="F427" s="16" t="n"/>
      <c r="G427" s="16" t="n"/>
      <c r="H427" s="16" t="n"/>
      <c r="I427" s="16">
        <f>IF(ISNUMBER(E427),IF(E427&gt;=Settings!$B$5,"Y","N"),"")</f>
        <v/>
      </c>
      <c r="J427" s="16">
        <f>IF(I427="Y","RECENT OFFERING/SPLIT/RIGHTS","")</f>
        <v/>
      </c>
    </row>
    <row r="428">
      <c r="A428" s="16">
        <f>'Rest Universe'!A429</f>
        <v/>
      </c>
      <c r="B428" s="22">
        <f>IFERROR(_xll.BDP(A428,"NAME"),"")</f>
        <v/>
      </c>
      <c r="C428" s="22">
        <f t="array" ref="C428">_xll.BDS(A428, "EQUITY_OFFERINGS", "sortdesc=3", "endrow=1")</f>
        <v/>
      </c>
      <c r="D428" s="16" t="n"/>
      <c r="E428" s="16" t="n"/>
      <c r="F428" s="16" t="n"/>
      <c r="G428" s="16" t="n"/>
      <c r="H428" s="16" t="n"/>
      <c r="I428" s="16">
        <f>IF(ISNUMBER(E428),IF(E428&gt;=Settings!$B$5,"Y","N"),"")</f>
        <v/>
      </c>
      <c r="J428" s="16">
        <f>IF(I428="Y","RECENT OFFERING/SPLIT/RIGHTS","")</f>
        <v/>
      </c>
    </row>
    <row r="429">
      <c r="A429" s="16">
        <f>'Rest Universe'!A430</f>
        <v/>
      </c>
      <c r="B429" s="22">
        <f>IFERROR(_xll.BDP(A429,"NAME"),"")</f>
        <v/>
      </c>
      <c r="C429" s="22">
        <f t="array" ref="C429">_xll.BDS(A429, "EQUITY_OFFERINGS", "sortdesc=3", "endrow=1")</f>
        <v/>
      </c>
      <c r="D429" s="16" t="n"/>
      <c r="E429" s="16" t="n"/>
      <c r="F429" s="16" t="n"/>
      <c r="G429" s="16" t="n"/>
      <c r="H429" s="16" t="n"/>
      <c r="I429" s="16">
        <f>IF(ISNUMBER(E429),IF(E429&gt;=Settings!$B$5,"Y","N"),"")</f>
        <v/>
      </c>
      <c r="J429" s="16">
        <f>IF(I429="Y","RECENT OFFERING/SPLIT/RIGHTS","")</f>
        <v/>
      </c>
    </row>
    <row r="430">
      <c r="A430" s="16">
        <f>'Rest Universe'!A431</f>
        <v/>
      </c>
      <c r="B430" s="22">
        <f>IFERROR(_xll.BDP(A430,"NAME"),"")</f>
        <v/>
      </c>
      <c r="C430" s="22">
        <f t="array" ref="C430">_xll.BDS(A430, "EQUITY_OFFERINGS", "sortdesc=3", "endrow=1")</f>
        <v/>
      </c>
      <c r="D430" s="16" t="n"/>
      <c r="E430" s="16" t="n"/>
      <c r="F430" s="16" t="n"/>
      <c r="G430" s="16" t="n"/>
      <c r="H430" s="16" t="n"/>
      <c r="I430" s="16">
        <f>IF(ISNUMBER(E430),IF(E430&gt;=Settings!$B$5,"Y","N"),"")</f>
        <v/>
      </c>
      <c r="J430" s="16">
        <f>IF(I430="Y","RECENT OFFERING/SPLIT/RIGHTS","")</f>
        <v/>
      </c>
    </row>
    <row r="431">
      <c r="A431" s="16">
        <f>'Rest Universe'!A432</f>
        <v/>
      </c>
      <c r="B431" s="22">
        <f>IFERROR(_xll.BDP(A431,"NAME"),"")</f>
        <v/>
      </c>
      <c r="C431" s="22">
        <f t="array" ref="C431">_xll.BDS(A431, "EQUITY_OFFERINGS", "sortdesc=3", "endrow=1")</f>
        <v/>
      </c>
      <c r="D431" s="16" t="n"/>
      <c r="E431" s="16" t="n"/>
      <c r="F431" s="16" t="n"/>
      <c r="G431" s="16" t="n"/>
      <c r="H431" s="16" t="n"/>
      <c r="I431" s="16">
        <f>IF(ISNUMBER(E431),IF(E431&gt;=Settings!$B$5,"Y","N"),"")</f>
        <v/>
      </c>
      <c r="J431" s="16">
        <f>IF(I431="Y","RECENT OFFERING/SPLIT/RIGHTS","")</f>
        <v/>
      </c>
    </row>
    <row r="432">
      <c r="A432" s="16">
        <f>'Rest Universe'!A433</f>
        <v/>
      </c>
      <c r="B432" s="22">
        <f>IFERROR(_xll.BDP(A432,"NAME"),"")</f>
        <v/>
      </c>
      <c r="C432" s="22">
        <f t="array" ref="C432">_xll.BDS(A432, "EQUITY_OFFERINGS", "sortdesc=3", "endrow=1")</f>
        <v/>
      </c>
      <c r="D432" s="16" t="n"/>
      <c r="E432" s="16" t="n"/>
      <c r="F432" s="16" t="n"/>
      <c r="G432" s="16" t="n"/>
      <c r="H432" s="16" t="n"/>
      <c r="I432" s="16">
        <f>IF(ISNUMBER(E432),IF(E432&gt;=Settings!$B$5,"Y","N"),"")</f>
        <v/>
      </c>
      <c r="J432" s="16">
        <f>IF(I432="Y","RECENT OFFERING/SPLIT/RIGHTS","")</f>
        <v/>
      </c>
    </row>
    <row r="433">
      <c r="A433" s="16">
        <f>'Rest Universe'!A434</f>
        <v/>
      </c>
      <c r="B433" s="22">
        <f>IFERROR(_xll.BDP(A433,"NAME"),"")</f>
        <v/>
      </c>
      <c r="C433" s="22">
        <f t="array" ref="C433">_xll.BDS(A433, "EQUITY_OFFERINGS", "sortdesc=3", "endrow=1")</f>
        <v/>
      </c>
      <c r="D433" s="16" t="n"/>
      <c r="E433" s="16" t="n"/>
      <c r="F433" s="16" t="n"/>
      <c r="G433" s="16" t="n"/>
      <c r="H433" s="16" t="n"/>
      <c r="I433" s="16">
        <f>IF(ISNUMBER(E433),IF(E433&gt;=Settings!$B$5,"Y","N"),"")</f>
        <v/>
      </c>
      <c r="J433" s="16">
        <f>IF(I433="Y","RECENT OFFERING/SPLIT/RIGHTS","")</f>
        <v/>
      </c>
    </row>
    <row r="434">
      <c r="A434" s="16">
        <f>'Rest Universe'!A435</f>
        <v/>
      </c>
      <c r="B434" s="22">
        <f>IFERROR(_xll.BDP(A434,"NAME"),"")</f>
        <v/>
      </c>
      <c r="C434" s="22">
        <f t="array" ref="C434">_xll.BDS(A434, "EQUITY_OFFERINGS", "sortdesc=3", "endrow=1")</f>
        <v/>
      </c>
      <c r="D434" s="16" t="n"/>
      <c r="E434" s="16" t="n"/>
      <c r="F434" s="16" t="n"/>
      <c r="G434" s="16" t="n"/>
      <c r="H434" s="16" t="n"/>
      <c r="I434" s="16">
        <f>IF(ISNUMBER(E434),IF(E434&gt;=Settings!$B$5,"Y","N"),"")</f>
        <v/>
      </c>
      <c r="J434" s="16">
        <f>IF(I434="Y","RECENT OFFERING/SPLIT/RIGHTS","")</f>
        <v/>
      </c>
    </row>
    <row r="435">
      <c r="A435" s="16">
        <f>'Rest Universe'!A436</f>
        <v/>
      </c>
      <c r="B435" s="22">
        <f>IFERROR(_xll.BDP(A435,"NAME"),"")</f>
        <v/>
      </c>
      <c r="C435" s="22">
        <f t="array" ref="C435">_xll.BDS(A435, "EQUITY_OFFERINGS", "sortdesc=3", "endrow=1")</f>
        <v/>
      </c>
      <c r="D435" s="16" t="n"/>
      <c r="E435" s="16" t="n"/>
      <c r="F435" s="16" t="n"/>
      <c r="G435" s="16" t="n"/>
      <c r="H435" s="16" t="n"/>
      <c r="I435" s="16">
        <f>IF(ISNUMBER(E435),IF(E435&gt;=Settings!$B$5,"Y","N"),"")</f>
        <v/>
      </c>
      <c r="J435" s="16">
        <f>IF(I435="Y","RECENT OFFERING/SPLIT/RIGHTS","")</f>
        <v/>
      </c>
    </row>
    <row r="436">
      <c r="A436" s="16">
        <f>'Rest Universe'!A437</f>
        <v/>
      </c>
      <c r="B436" s="22">
        <f>IFERROR(_xll.BDP(A436,"NAME"),"")</f>
        <v/>
      </c>
      <c r="C436" s="22">
        <f t="array" ref="C436">_xll.BDS(A436, "EQUITY_OFFERINGS", "sortdesc=3", "endrow=1")</f>
        <v/>
      </c>
      <c r="D436" s="16" t="n"/>
      <c r="E436" s="16" t="n"/>
      <c r="F436" s="16" t="n"/>
      <c r="G436" s="16" t="n"/>
      <c r="H436" s="16" t="n"/>
      <c r="I436" s="16">
        <f>IF(ISNUMBER(E436),IF(E436&gt;=Settings!$B$5,"Y","N"),"")</f>
        <v/>
      </c>
      <c r="J436" s="16">
        <f>IF(I436="Y","RECENT OFFERING/SPLIT/RIGHTS","")</f>
        <v/>
      </c>
    </row>
    <row r="437">
      <c r="A437" s="16">
        <f>'Rest Universe'!A438</f>
        <v/>
      </c>
      <c r="B437" s="22">
        <f>IFERROR(_xll.BDP(A437,"NAME"),"")</f>
        <v/>
      </c>
      <c r="C437" s="22">
        <f t="array" ref="C437">_xll.BDS(A437, "EQUITY_OFFERINGS", "sortdesc=3", "endrow=1")</f>
        <v/>
      </c>
      <c r="D437" s="16" t="n"/>
      <c r="E437" s="16" t="n"/>
      <c r="F437" s="16" t="n"/>
      <c r="G437" s="16" t="n"/>
      <c r="H437" s="16" t="n"/>
      <c r="I437" s="16">
        <f>IF(ISNUMBER(E437),IF(E437&gt;=Settings!$B$5,"Y","N"),"")</f>
        <v/>
      </c>
      <c r="J437" s="16">
        <f>IF(I437="Y","RECENT OFFERING/SPLIT/RIGHTS","")</f>
        <v/>
      </c>
    </row>
    <row r="438">
      <c r="A438" s="16">
        <f>'Rest Universe'!A439</f>
        <v/>
      </c>
      <c r="B438" s="22">
        <f>IFERROR(_xll.BDP(A438,"NAME"),"")</f>
        <v/>
      </c>
      <c r="C438" s="22">
        <f t="array" ref="C438">_xll.BDS(A438, "EQUITY_OFFERINGS", "sortdesc=3", "endrow=1")</f>
        <v/>
      </c>
      <c r="D438" s="16" t="n"/>
      <c r="E438" s="16" t="n"/>
      <c r="F438" s="16" t="n"/>
      <c r="G438" s="16" t="n"/>
      <c r="H438" s="16" t="n"/>
      <c r="I438" s="16">
        <f>IF(ISNUMBER(E438),IF(E438&gt;=Settings!$B$5,"Y","N"),"")</f>
        <v/>
      </c>
      <c r="J438" s="16">
        <f>IF(I438="Y","RECENT OFFERING/SPLIT/RIGHTS","")</f>
        <v/>
      </c>
    </row>
    <row r="439">
      <c r="A439" s="16">
        <f>'Rest Universe'!A440</f>
        <v/>
      </c>
      <c r="B439" s="22">
        <f>IFERROR(_xll.BDP(A439,"NAME"),"")</f>
        <v/>
      </c>
      <c r="C439" s="22">
        <f t="array" ref="C439">_xll.BDS(A439, "EQUITY_OFFERINGS", "sortdesc=3", "endrow=1")</f>
        <v/>
      </c>
      <c r="D439" s="16" t="n"/>
      <c r="E439" s="16" t="n"/>
      <c r="F439" s="16" t="n"/>
      <c r="G439" s="16" t="n"/>
      <c r="H439" s="16" t="n"/>
      <c r="I439" s="16">
        <f>IF(ISNUMBER(E439),IF(E439&gt;=Settings!$B$5,"Y","N"),"")</f>
        <v/>
      </c>
      <c r="J439" s="16">
        <f>IF(I439="Y","RECENT OFFERING/SPLIT/RIGHTS","")</f>
        <v/>
      </c>
    </row>
    <row r="440">
      <c r="A440" s="16">
        <f>'Rest Universe'!A441</f>
        <v/>
      </c>
      <c r="B440" s="22">
        <f>IFERROR(_xll.BDP(A440,"NAME"),"")</f>
        <v/>
      </c>
      <c r="C440" s="22">
        <f t="array" ref="C440">_xll.BDS(A440, "EQUITY_OFFERINGS", "sortdesc=3", "endrow=1")</f>
        <v/>
      </c>
      <c r="D440" s="16" t="n"/>
      <c r="E440" s="16" t="n"/>
      <c r="F440" s="16" t="n"/>
      <c r="G440" s="16" t="n"/>
      <c r="H440" s="16" t="n"/>
      <c r="I440" s="16">
        <f>IF(ISNUMBER(E440),IF(E440&gt;=Settings!$B$5,"Y","N"),"")</f>
        <v/>
      </c>
      <c r="J440" s="16">
        <f>IF(I440="Y","RECENT OFFERING/SPLIT/RIGHTS","")</f>
        <v/>
      </c>
    </row>
    <row r="441">
      <c r="A441" s="16">
        <f>'Rest Universe'!A442</f>
        <v/>
      </c>
      <c r="B441" s="22">
        <f>IFERROR(_xll.BDP(A441,"NAME"),"")</f>
        <v/>
      </c>
      <c r="C441" s="22">
        <f t="array" ref="C441">_xll.BDS(A441, "EQUITY_OFFERINGS", "sortdesc=3", "endrow=1")</f>
        <v/>
      </c>
      <c r="D441" s="16" t="n"/>
      <c r="E441" s="16" t="n"/>
      <c r="F441" s="16" t="n"/>
      <c r="G441" s="16" t="n"/>
      <c r="H441" s="16" t="n"/>
      <c r="I441" s="16">
        <f>IF(ISNUMBER(E441),IF(E441&gt;=Settings!$B$5,"Y","N"),"")</f>
        <v/>
      </c>
      <c r="J441" s="16">
        <f>IF(I441="Y","RECENT OFFERING/SPLIT/RIGHTS","")</f>
        <v/>
      </c>
    </row>
    <row r="442">
      <c r="A442" s="16">
        <f>'Rest Universe'!A443</f>
        <v/>
      </c>
      <c r="B442" s="22">
        <f>IFERROR(_xll.BDP(A442,"NAME"),"")</f>
        <v/>
      </c>
      <c r="C442" s="22">
        <f t="array" ref="C442">_xll.BDS(A442, "EQUITY_OFFERINGS", "sortdesc=3", "endrow=1")</f>
        <v/>
      </c>
      <c r="D442" s="16" t="n"/>
      <c r="E442" s="16" t="n"/>
      <c r="F442" s="16" t="n"/>
      <c r="G442" s="16" t="n"/>
      <c r="H442" s="16" t="n"/>
      <c r="I442" s="16">
        <f>IF(ISNUMBER(E442),IF(E442&gt;=Settings!$B$5,"Y","N"),"")</f>
        <v/>
      </c>
      <c r="J442" s="16">
        <f>IF(I442="Y","RECENT OFFERING/SPLIT/RIGHTS","")</f>
        <v/>
      </c>
    </row>
    <row r="443">
      <c r="A443" s="16">
        <f>'Rest Universe'!A444</f>
        <v/>
      </c>
      <c r="B443" s="22">
        <f>IFERROR(_xll.BDP(A443,"NAME"),"")</f>
        <v/>
      </c>
      <c r="C443" s="22">
        <f t="array" ref="C443">_xll.BDS(A443, "EQUITY_OFFERINGS", "sortdesc=3", "endrow=1")</f>
        <v/>
      </c>
      <c r="D443" s="16" t="n"/>
      <c r="E443" s="16" t="n"/>
      <c r="F443" s="16" t="n"/>
      <c r="G443" s="16" t="n"/>
      <c r="H443" s="16" t="n"/>
      <c r="I443" s="16">
        <f>IF(ISNUMBER(E443),IF(E443&gt;=Settings!$B$5,"Y","N"),"")</f>
        <v/>
      </c>
      <c r="J443" s="16">
        <f>IF(I443="Y","RECENT OFFERING/SPLIT/RIGHTS","")</f>
        <v/>
      </c>
    </row>
    <row r="444">
      <c r="A444" s="16">
        <f>'Rest Universe'!A445</f>
        <v/>
      </c>
      <c r="B444" s="22">
        <f>IFERROR(_xll.BDP(A444,"NAME"),"")</f>
        <v/>
      </c>
      <c r="C444" s="22">
        <f t="array" ref="C444">_xll.BDS(A444, "EQUITY_OFFERINGS", "sortdesc=3", "endrow=1")</f>
        <v/>
      </c>
      <c r="D444" s="16" t="n"/>
      <c r="E444" s="16" t="n"/>
      <c r="F444" s="16" t="n"/>
      <c r="G444" s="16" t="n"/>
      <c r="H444" s="16" t="n"/>
      <c r="I444" s="16">
        <f>IF(ISNUMBER(E444),IF(E444&gt;=Settings!$B$5,"Y","N"),"")</f>
        <v/>
      </c>
      <c r="J444" s="16">
        <f>IF(I444="Y","RECENT OFFERING/SPLIT/RIGHTS","")</f>
        <v/>
      </c>
    </row>
    <row r="445">
      <c r="A445" s="16">
        <f>'Rest Universe'!A446</f>
        <v/>
      </c>
      <c r="B445" s="22">
        <f>IFERROR(_xll.BDP(A445,"NAME"),"")</f>
        <v/>
      </c>
      <c r="C445" s="22">
        <f t="array" ref="C445">_xll.BDS(A445, "EQUITY_OFFERINGS", "sortdesc=3", "endrow=1")</f>
        <v/>
      </c>
      <c r="D445" s="16" t="n"/>
      <c r="E445" s="16" t="n"/>
      <c r="F445" s="16" t="n"/>
      <c r="G445" s="16" t="n"/>
      <c r="H445" s="16" t="n"/>
      <c r="I445" s="16">
        <f>IF(ISNUMBER(E445),IF(E445&gt;=Settings!$B$5,"Y","N"),"")</f>
        <v/>
      </c>
      <c r="J445" s="16">
        <f>IF(I445="Y","RECENT OFFERING/SPLIT/RIGHTS","")</f>
        <v/>
      </c>
    </row>
    <row r="446">
      <c r="A446" s="16">
        <f>'Rest Universe'!A447</f>
        <v/>
      </c>
      <c r="B446" s="22">
        <f>IFERROR(_xll.BDP(A446,"NAME"),"")</f>
        <v/>
      </c>
      <c r="C446" s="22">
        <f t="array" ref="C446">_xll.BDS(A446, "EQUITY_OFFERINGS", "sortdesc=3", "endrow=1")</f>
        <v/>
      </c>
      <c r="D446" s="16" t="n"/>
      <c r="E446" s="16" t="n"/>
      <c r="F446" s="16" t="n"/>
      <c r="G446" s="16" t="n"/>
      <c r="H446" s="16" t="n"/>
      <c r="I446" s="16">
        <f>IF(ISNUMBER(E446),IF(E446&gt;=Settings!$B$5,"Y","N"),"")</f>
        <v/>
      </c>
      <c r="J446" s="16">
        <f>IF(I446="Y","RECENT OFFERING/SPLIT/RIGHTS","")</f>
        <v/>
      </c>
    </row>
    <row r="447">
      <c r="A447" s="16">
        <f>'Rest Universe'!A448</f>
        <v/>
      </c>
      <c r="B447" s="22">
        <f>IFERROR(_xll.BDP(A447,"NAME"),"")</f>
        <v/>
      </c>
      <c r="C447" s="22">
        <f t="array" ref="C447">_xll.BDS(A447, "EQUITY_OFFERINGS", "sortdesc=3", "endrow=1")</f>
        <v/>
      </c>
      <c r="D447" s="16" t="n"/>
      <c r="E447" s="16" t="n"/>
      <c r="F447" s="16" t="n"/>
      <c r="G447" s="16" t="n"/>
      <c r="H447" s="16" t="n"/>
      <c r="I447" s="16">
        <f>IF(ISNUMBER(E447),IF(E447&gt;=Settings!$B$5,"Y","N"),"")</f>
        <v/>
      </c>
      <c r="J447" s="16">
        <f>IF(I447="Y","RECENT OFFERING/SPLIT/RIGHTS","")</f>
        <v/>
      </c>
    </row>
    <row r="448">
      <c r="A448" s="16">
        <f>'Rest Universe'!A449</f>
        <v/>
      </c>
      <c r="B448" s="22">
        <f>IFERROR(_xll.BDP(A448,"NAME"),"")</f>
        <v/>
      </c>
      <c r="C448" s="22">
        <f t="array" ref="C448">_xll.BDS(A448, "EQUITY_OFFERINGS", "sortdesc=3", "endrow=1")</f>
        <v/>
      </c>
      <c r="D448" s="16" t="n"/>
      <c r="E448" s="16" t="n"/>
      <c r="F448" s="16" t="n"/>
      <c r="G448" s="16" t="n"/>
      <c r="H448" s="16" t="n"/>
      <c r="I448" s="16">
        <f>IF(ISNUMBER(E448),IF(E448&gt;=Settings!$B$5,"Y","N"),"")</f>
        <v/>
      </c>
      <c r="J448" s="16">
        <f>IF(I448="Y","RECENT OFFERING/SPLIT/RIGHTS","")</f>
        <v/>
      </c>
    </row>
    <row r="449">
      <c r="A449" s="16">
        <f>'Rest Universe'!A450</f>
        <v/>
      </c>
      <c r="B449" s="22">
        <f>IFERROR(_xll.BDP(A449,"NAME"),"")</f>
        <v/>
      </c>
      <c r="C449" s="22">
        <f t="array" ref="C449">_xll.BDS(A449, "EQUITY_OFFERINGS", "sortdesc=3", "endrow=1")</f>
        <v/>
      </c>
      <c r="D449" s="16" t="n"/>
      <c r="E449" s="16" t="n"/>
      <c r="F449" s="16" t="n"/>
      <c r="G449" s="16" t="n"/>
      <c r="H449" s="16" t="n"/>
      <c r="I449" s="16">
        <f>IF(ISNUMBER(E449),IF(E449&gt;=Settings!$B$5,"Y","N"),"")</f>
        <v/>
      </c>
      <c r="J449" s="16">
        <f>IF(I449="Y","RECENT OFFERING/SPLIT/RIGHTS","")</f>
        <v/>
      </c>
    </row>
    <row r="450">
      <c r="A450" s="16">
        <f>'Rest Universe'!A451</f>
        <v/>
      </c>
      <c r="B450" s="22">
        <f>IFERROR(_xll.BDP(A450,"NAME"),"")</f>
        <v/>
      </c>
      <c r="C450" s="22">
        <f t="array" ref="C450">_xll.BDS(A450, "EQUITY_OFFERINGS", "sortdesc=3", "endrow=1")</f>
        <v/>
      </c>
      <c r="D450" s="16" t="n"/>
      <c r="E450" s="16" t="n"/>
      <c r="F450" s="16" t="n"/>
      <c r="G450" s="16" t="n"/>
      <c r="H450" s="16" t="n"/>
      <c r="I450" s="16">
        <f>IF(ISNUMBER(E450),IF(E450&gt;=Settings!$B$5,"Y","N"),"")</f>
        <v/>
      </c>
      <c r="J450" s="16">
        <f>IF(I450="Y","RECENT OFFERING/SPLIT/RIGHTS","")</f>
        <v/>
      </c>
    </row>
    <row r="451">
      <c r="A451" s="16">
        <f>'Rest Universe'!A452</f>
        <v/>
      </c>
      <c r="B451" s="22">
        <f>IFERROR(_xll.BDP(A451,"NAME"),"")</f>
        <v/>
      </c>
      <c r="C451" s="22">
        <f t="array" ref="C451">_xll.BDS(A451, "EQUITY_OFFERINGS", "sortdesc=3", "endrow=1")</f>
        <v/>
      </c>
      <c r="D451" s="16" t="n"/>
      <c r="E451" s="16" t="n"/>
      <c r="F451" s="16" t="n"/>
      <c r="G451" s="16" t="n"/>
      <c r="H451" s="16" t="n"/>
      <c r="I451" s="16">
        <f>IF(ISNUMBER(E451),IF(E451&gt;=Settings!$B$5,"Y","N"),"")</f>
        <v/>
      </c>
      <c r="J451" s="16">
        <f>IF(I451="Y","RECENT OFFERING/SPLIT/RIGHTS","")</f>
        <v/>
      </c>
    </row>
    <row r="452">
      <c r="A452" s="16">
        <f>'Rest Universe'!A453</f>
        <v/>
      </c>
      <c r="B452" s="22">
        <f>IFERROR(_xll.BDP(A452,"NAME"),"")</f>
        <v/>
      </c>
      <c r="C452" s="22">
        <f t="array" ref="C452">_xll.BDS(A452, "EQUITY_OFFERINGS", "sortdesc=3", "endrow=1")</f>
        <v/>
      </c>
      <c r="D452" s="16" t="n"/>
      <c r="E452" s="16" t="n"/>
      <c r="F452" s="16" t="n"/>
      <c r="G452" s="16" t="n"/>
      <c r="H452" s="16" t="n"/>
      <c r="I452" s="16">
        <f>IF(ISNUMBER(E452),IF(E452&gt;=Settings!$B$5,"Y","N"),"")</f>
        <v/>
      </c>
      <c r="J452" s="16">
        <f>IF(I452="Y","RECENT OFFERING/SPLIT/RIGHTS","")</f>
        <v/>
      </c>
    </row>
    <row r="453">
      <c r="A453" s="16">
        <f>'Rest Universe'!A454</f>
        <v/>
      </c>
      <c r="B453" s="22">
        <f>IFERROR(_xll.BDP(A453,"NAME"),"")</f>
        <v/>
      </c>
      <c r="C453" s="22">
        <f t="array" ref="C453">_xll.BDS(A453, "EQUITY_OFFERINGS", "sortdesc=3", "endrow=1")</f>
        <v/>
      </c>
      <c r="D453" s="16" t="n"/>
      <c r="E453" s="16" t="n"/>
      <c r="F453" s="16" t="n"/>
      <c r="G453" s="16" t="n"/>
      <c r="H453" s="16" t="n"/>
      <c r="I453" s="16">
        <f>IF(ISNUMBER(E453),IF(E453&gt;=Settings!$B$5,"Y","N"),"")</f>
        <v/>
      </c>
      <c r="J453" s="16">
        <f>IF(I453="Y","RECENT OFFERING/SPLIT/RIGHTS","")</f>
        <v/>
      </c>
    </row>
    <row r="454">
      <c r="A454" s="16">
        <f>'Rest Universe'!A455</f>
        <v/>
      </c>
      <c r="B454" s="22">
        <f>IFERROR(_xll.BDP(A454,"NAME"),"")</f>
        <v/>
      </c>
      <c r="C454" s="22">
        <f t="array" ref="C454">_xll.BDS(A454, "EQUITY_OFFERINGS", "sortdesc=3", "endrow=1")</f>
        <v/>
      </c>
      <c r="D454" s="16" t="n"/>
      <c r="E454" s="16" t="n"/>
      <c r="F454" s="16" t="n"/>
      <c r="G454" s="16" t="n"/>
      <c r="H454" s="16" t="n"/>
      <c r="I454" s="16">
        <f>IF(ISNUMBER(E454),IF(E454&gt;=Settings!$B$5,"Y","N"),"")</f>
        <v/>
      </c>
      <c r="J454" s="16">
        <f>IF(I454="Y","RECENT OFFERING/SPLIT/RIGHTS","")</f>
        <v/>
      </c>
    </row>
    <row r="455">
      <c r="A455" s="16">
        <f>'Rest Universe'!A456</f>
        <v/>
      </c>
      <c r="B455" s="22">
        <f>IFERROR(_xll.BDP(A455,"NAME"),"")</f>
        <v/>
      </c>
      <c r="C455" s="22">
        <f t="array" ref="C455">_xll.BDS(A455, "EQUITY_OFFERINGS", "sortdesc=3", "endrow=1")</f>
        <v/>
      </c>
      <c r="D455" s="16" t="n"/>
      <c r="E455" s="16" t="n"/>
      <c r="F455" s="16" t="n"/>
      <c r="G455" s="16" t="n"/>
      <c r="H455" s="16" t="n"/>
      <c r="I455" s="16">
        <f>IF(ISNUMBER(E455),IF(E455&gt;=Settings!$B$5,"Y","N"),"")</f>
        <v/>
      </c>
      <c r="J455" s="16">
        <f>IF(I455="Y","RECENT OFFERING/SPLIT/RIGHTS","")</f>
        <v/>
      </c>
    </row>
    <row r="456">
      <c r="A456" s="16">
        <f>'Rest Universe'!A457</f>
        <v/>
      </c>
      <c r="B456" s="22">
        <f>IFERROR(_xll.BDP(A456,"NAME"),"")</f>
        <v/>
      </c>
      <c r="C456" s="22">
        <f t="array" ref="C456">_xll.BDS(A456, "EQUITY_OFFERINGS", "sortdesc=3", "endrow=1")</f>
        <v/>
      </c>
      <c r="D456" s="16" t="n"/>
      <c r="E456" s="16" t="n"/>
      <c r="F456" s="16" t="n"/>
      <c r="G456" s="16" t="n"/>
      <c r="H456" s="16" t="n"/>
      <c r="I456" s="16">
        <f>IF(ISNUMBER(E456),IF(E456&gt;=Settings!$B$5,"Y","N"),"")</f>
        <v/>
      </c>
      <c r="J456" s="16">
        <f>IF(I456="Y","RECENT OFFERING/SPLIT/RIGHTS","")</f>
        <v/>
      </c>
    </row>
    <row r="457">
      <c r="A457" s="16">
        <f>'Rest Universe'!A458</f>
        <v/>
      </c>
      <c r="B457" s="22">
        <f>IFERROR(_xll.BDP(A457,"NAME"),"")</f>
        <v/>
      </c>
      <c r="C457" s="22">
        <f t="array" ref="C457">_xll.BDS(A457, "EQUITY_OFFERINGS", "sortdesc=3", "endrow=1")</f>
        <v/>
      </c>
      <c r="D457" s="16" t="n"/>
      <c r="E457" s="16" t="n"/>
      <c r="F457" s="16" t="n"/>
      <c r="G457" s="16" t="n"/>
      <c r="H457" s="16" t="n"/>
      <c r="I457" s="16">
        <f>IF(ISNUMBER(E457),IF(E457&gt;=Settings!$B$5,"Y","N"),"")</f>
        <v/>
      </c>
      <c r="J457" s="16">
        <f>IF(I457="Y","RECENT OFFERING/SPLIT/RIGHTS","")</f>
        <v/>
      </c>
    </row>
    <row r="458">
      <c r="A458" s="16">
        <f>'Rest Universe'!A459</f>
        <v/>
      </c>
      <c r="B458" s="22">
        <f>IFERROR(_xll.BDP(A458,"NAME"),"")</f>
        <v/>
      </c>
      <c r="C458" s="22">
        <f t="array" ref="C458">_xll.BDS(A458, "EQUITY_OFFERINGS", "sortdesc=3", "endrow=1")</f>
        <v/>
      </c>
      <c r="D458" s="16" t="n"/>
      <c r="E458" s="16" t="n"/>
      <c r="F458" s="16" t="n"/>
      <c r="G458" s="16" t="n"/>
      <c r="H458" s="16" t="n"/>
      <c r="I458" s="16">
        <f>IF(ISNUMBER(E458),IF(E458&gt;=Settings!$B$5,"Y","N"),"")</f>
        <v/>
      </c>
      <c r="J458" s="16">
        <f>IF(I458="Y","RECENT OFFERING/SPLIT/RIGHTS","")</f>
        <v/>
      </c>
    </row>
    <row r="459">
      <c r="A459" s="16">
        <f>'Rest Universe'!A460</f>
        <v/>
      </c>
      <c r="B459" s="22">
        <f>IFERROR(_xll.BDP(A459,"NAME"),"")</f>
        <v/>
      </c>
      <c r="C459" s="22">
        <f t="array" ref="C459">_xll.BDS(A459, "EQUITY_OFFERINGS", "sortdesc=3", "endrow=1")</f>
        <v/>
      </c>
      <c r="D459" s="16" t="n"/>
      <c r="E459" s="16" t="n"/>
      <c r="F459" s="16" t="n"/>
      <c r="G459" s="16" t="n"/>
      <c r="H459" s="16" t="n"/>
      <c r="I459" s="16">
        <f>IF(ISNUMBER(E459),IF(E459&gt;=Settings!$B$5,"Y","N"),"")</f>
        <v/>
      </c>
      <c r="J459" s="16">
        <f>IF(I459="Y","RECENT OFFERING/SPLIT/RIGHTS","")</f>
        <v/>
      </c>
    </row>
    <row r="460">
      <c r="A460" s="16">
        <f>'Rest Universe'!A461</f>
        <v/>
      </c>
      <c r="B460" s="22">
        <f>IFERROR(_xll.BDP(A460,"NAME"),"")</f>
        <v/>
      </c>
      <c r="C460" s="22">
        <f t="array" ref="C460">_xll.BDS(A460, "EQUITY_OFFERINGS", "sortdesc=3", "endrow=1")</f>
        <v/>
      </c>
      <c r="D460" s="16" t="n"/>
      <c r="E460" s="16" t="n"/>
      <c r="F460" s="16" t="n"/>
      <c r="G460" s="16" t="n"/>
      <c r="H460" s="16" t="n"/>
      <c r="I460" s="16">
        <f>IF(ISNUMBER(E460),IF(E460&gt;=Settings!$B$5,"Y","N"),"")</f>
        <v/>
      </c>
      <c r="J460" s="16">
        <f>IF(I460="Y","RECENT OFFERING/SPLIT/RIGHTS","")</f>
        <v/>
      </c>
    </row>
    <row r="461">
      <c r="A461" s="16">
        <f>'Rest Universe'!A462</f>
        <v/>
      </c>
      <c r="B461" s="22">
        <f>IFERROR(_xll.BDP(A461,"NAME"),"")</f>
        <v/>
      </c>
      <c r="C461" s="22">
        <f t="array" ref="C461">_xll.BDS(A461, "EQUITY_OFFERINGS", "sortdesc=3", "endrow=1")</f>
        <v/>
      </c>
      <c r="D461" s="16" t="n"/>
      <c r="E461" s="16" t="n"/>
      <c r="F461" s="16" t="n"/>
      <c r="G461" s="16" t="n"/>
      <c r="H461" s="16" t="n"/>
      <c r="I461" s="16">
        <f>IF(ISNUMBER(E461),IF(E461&gt;=Settings!$B$5,"Y","N"),"")</f>
        <v/>
      </c>
      <c r="J461" s="16">
        <f>IF(I461="Y","RECENT OFFERING/SPLIT/RIGHTS","")</f>
        <v/>
      </c>
    </row>
    <row r="462">
      <c r="A462" s="16">
        <f>'Rest Universe'!A463</f>
        <v/>
      </c>
      <c r="B462" s="22">
        <f>IFERROR(_xll.BDP(A462,"NAME"),"")</f>
        <v/>
      </c>
      <c r="C462" s="22">
        <f t="array" ref="C462">_xll.BDS(A462, "EQUITY_OFFERINGS", "sortdesc=3", "endrow=1")</f>
        <v/>
      </c>
      <c r="D462" s="16" t="n"/>
      <c r="E462" s="16" t="n"/>
      <c r="F462" s="16" t="n"/>
      <c r="G462" s="16" t="n"/>
      <c r="H462" s="16" t="n"/>
      <c r="I462" s="16">
        <f>IF(ISNUMBER(E462),IF(E462&gt;=Settings!$B$5,"Y","N"),"")</f>
        <v/>
      </c>
      <c r="J462" s="16">
        <f>IF(I462="Y","RECENT OFFERING/SPLIT/RIGHTS","")</f>
        <v/>
      </c>
    </row>
    <row r="463">
      <c r="A463" s="16">
        <f>'Rest Universe'!A464</f>
        <v/>
      </c>
      <c r="B463" s="22">
        <f>IFERROR(_xll.BDP(A463,"NAME"),"")</f>
        <v/>
      </c>
      <c r="C463" s="22">
        <f t="array" ref="C463">_xll.BDS(A463, "EQUITY_OFFERINGS", "sortdesc=3", "endrow=1")</f>
        <v/>
      </c>
      <c r="D463" s="16" t="n"/>
      <c r="E463" s="16" t="n"/>
      <c r="F463" s="16" t="n"/>
      <c r="G463" s="16" t="n"/>
      <c r="H463" s="16" t="n"/>
      <c r="I463" s="16">
        <f>IF(ISNUMBER(E463),IF(E463&gt;=Settings!$B$5,"Y","N"),"")</f>
        <v/>
      </c>
      <c r="J463" s="16">
        <f>IF(I463="Y","RECENT OFFERING/SPLIT/RIGHTS","")</f>
        <v/>
      </c>
    </row>
    <row r="464">
      <c r="A464" s="16">
        <f>'Rest Universe'!A465</f>
        <v/>
      </c>
      <c r="B464" s="22">
        <f>IFERROR(_xll.BDP(A464,"NAME"),"")</f>
        <v/>
      </c>
      <c r="C464" s="22">
        <f t="array" ref="C464">_xll.BDS(A464, "EQUITY_OFFERINGS", "sortdesc=3", "endrow=1")</f>
        <v/>
      </c>
      <c r="D464" s="16" t="n"/>
      <c r="E464" s="16" t="n"/>
      <c r="F464" s="16" t="n"/>
      <c r="G464" s="16" t="n"/>
      <c r="H464" s="16" t="n"/>
      <c r="I464" s="16">
        <f>IF(ISNUMBER(E464),IF(E464&gt;=Settings!$B$5,"Y","N"),"")</f>
        <v/>
      </c>
      <c r="J464" s="16">
        <f>IF(I464="Y","RECENT OFFERING/SPLIT/RIGHTS","")</f>
        <v/>
      </c>
    </row>
    <row r="465">
      <c r="A465" s="16">
        <f>'Rest Universe'!A466</f>
        <v/>
      </c>
      <c r="B465" s="22">
        <f>IFERROR(_xll.BDP(A465,"NAME"),"")</f>
        <v/>
      </c>
      <c r="C465" s="22">
        <f t="array" ref="C465">_xll.BDS(A465, "EQUITY_OFFERINGS", "sortdesc=3", "endrow=1")</f>
        <v/>
      </c>
      <c r="D465" s="16" t="n"/>
      <c r="E465" s="16" t="n"/>
      <c r="F465" s="16" t="n"/>
      <c r="G465" s="16" t="n"/>
      <c r="H465" s="16" t="n"/>
      <c r="I465" s="16">
        <f>IF(ISNUMBER(E465),IF(E465&gt;=Settings!$B$5,"Y","N"),"")</f>
        <v/>
      </c>
      <c r="J465" s="16">
        <f>IF(I465="Y","RECENT OFFERING/SPLIT/RIGHTS","")</f>
        <v/>
      </c>
    </row>
    <row r="466">
      <c r="A466" s="16">
        <f>'Rest Universe'!A467</f>
        <v/>
      </c>
      <c r="B466" s="22">
        <f>IFERROR(_xll.BDP(A466,"NAME"),"")</f>
        <v/>
      </c>
      <c r="C466" s="22">
        <f t="array" ref="C466">_xll.BDS(A466, "EQUITY_OFFERINGS", "sortdesc=3", "endrow=1")</f>
        <v/>
      </c>
      <c r="D466" s="16" t="n"/>
      <c r="E466" s="16" t="n"/>
      <c r="F466" s="16" t="n"/>
      <c r="G466" s="16" t="n"/>
      <c r="H466" s="16" t="n"/>
      <c r="I466" s="16">
        <f>IF(ISNUMBER(E466),IF(E466&gt;=Settings!$B$5,"Y","N"),"")</f>
        <v/>
      </c>
      <c r="J466" s="16">
        <f>IF(I466="Y","RECENT OFFERING/SPLIT/RIGHTS","")</f>
        <v/>
      </c>
    </row>
    <row r="467">
      <c r="A467" s="16">
        <f>'Rest Universe'!A468</f>
        <v/>
      </c>
      <c r="B467" s="22">
        <f>IFERROR(_xll.BDP(A467,"NAME"),"")</f>
        <v/>
      </c>
      <c r="C467" s="22">
        <f t="array" ref="C467">_xll.BDS(A467, "EQUITY_OFFERINGS", "sortdesc=3", "endrow=1")</f>
        <v/>
      </c>
      <c r="D467" s="16" t="n"/>
      <c r="E467" s="16" t="n"/>
      <c r="F467" s="16" t="n"/>
      <c r="G467" s="16" t="n"/>
      <c r="H467" s="16" t="n"/>
      <c r="I467" s="16">
        <f>IF(ISNUMBER(E467),IF(E467&gt;=Settings!$B$5,"Y","N"),"")</f>
        <v/>
      </c>
      <c r="J467" s="16">
        <f>IF(I467="Y","RECENT OFFERING/SPLIT/RIGHTS","")</f>
        <v/>
      </c>
    </row>
    <row r="468">
      <c r="A468" s="16">
        <f>'Rest Universe'!A469</f>
        <v/>
      </c>
      <c r="B468" s="22">
        <f>IFERROR(_xll.BDP(A468,"NAME"),"")</f>
        <v/>
      </c>
      <c r="C468" s="22">
        <f t="array" ref="C468">_xll.BDS(A468, "EQUITY_OFFERINGS", "sortdesc=3", "endrow=1")</f>
        <v/>
      </c>
      <c r="D468" s="16" t="n"/>
      <c r="E468" s="16" t="n"/>
      <c r="F468" s="16" t="n"/>
      <c r="G468" s="16" t="n"/>
      <c r="H468" s="16" t="n"/>
      <c r="I468" s="16">
        <f>IF(ISNUMBER(E468),IF(E468&gt;=Settings!$B$5,"Y","N"),"")</f>
        <v/>
      </c>
      <c r="J468" s="16">
        <f>IF(I468="Y","RECENT OFFERING/SPLIT/RIGHTS","")</f>
        <v/>
      </c>
    </row>
    <row r="469">
      <c r="A469" s="16">
        <f>'Rest Universe'!A470</f>
        <v/>
      </c>
      <c r="B469" s="22">
        <f>IFERROR(_xll.BDP(A469,"NAME"),"")</f>
        <v/>
      </c>
      <c r="C469" s="22">
        <f t="array" ref="C469">_xll.BDS(A469, "EQUITY_OFFERINGS", "sortdesc=3", "endrow=1")</f>
        <v/>
      </c>
      <c r="D469" s="16" t="n"/>
      <c r="E469" s="16" t="n"/>
      <c r="F469" s="16" t="n"/>
      <c r="G469" s="16" t="n"/>
      <c r="H469" s="16" t="n"/>
      <c r="I469" s="16">
        <f>IF(ISNUMBER(E469),IF(E469&gt;=Settings!$B$5,"Y","N"),"")</f>
        <v/>
      </c>
      <c r="J469" s="16">
        <f>IF(I469="Y","RECENT OFFERING/SPLIT/RIGHTS","")</f>
        <v/>
      </c>
    </row>
    <row r="470">
      <c r="A470" s="16">
        <f>'Rest Universe'!A471</f>
        <v/>
      </c>
      <c r="B470" s="22">
        <f>IFERROR(_xll.BDP(A470,"NAME"),"")</f>
        <v/>
      </c>
      <c r="C470" s="22">
        <f t="array" ref="C470">_xll.BDS(A470, "EQUITY_OFFERINGS", "sortdesc=3", "endrow=1")</f>
        <v/>
      </c>
      <c r="D470" s="16" t="n"/>
      <c r="E470" s="16" t="n"/>
      <c r="F470" s="16" t="n"/>
      <c r="G470" s="16" t="n"/>
      <c r="H470" s="16" t="n"/>
      <c r="I470" s="16">
        <f>IF(ISNUMBER(E470),IF(E470&gt;=Settings!$B$5,"Y","N"),"")</f>
        <v/>
      </c>
      <c r="J470" s="16">
        <f>IF(I470="Y","RECENT OFFERING/SPLIT/RIGHTS","")</f>
        <v/>
      </c>
    </row>
    <row r="471">
      <c r="A471" s="16">
        <f>'Rest Universe'!A472</f>
        <v/>
      </c>
      <c r="B471" s="22">
        <f>IFERROR(_xll.BDP(A471,"NAME"),"")</f>
        <v/>
      </c>
      <c r="C471" s="22">
        <f t="array" ref="C471">_xll.BDS(A471, "EQUITY_OFFERINGS", "sortdesc=3", "endrow=1")</f>
        <v/>
      </c>
      <c r="D471" s="16" t="n"/>
      <c r="E471" s="16" t="n"/>
      <c r="F471" s="16" t="n"/>
      <c r="G471" s="16" t="n"/>
      <c r="H471" s="16" t="n"/>
      <c r="I471" s="16">
        <f>IF(ISNUMBER(E471),IF(E471&gt;=Settings!$B$5,"Y","N"),"")</f>
        <v/>
      </c>
      <c r="J471" s="16">
        <f>IF(I471="Y","RECENT OFFERING/SPLIT/RIGHTS","")</f>
        <v/>
      </c>
    </row>
    <row r="472">
      <c r="A472" s="16">
        <f>'Rest Universe'!A473</f>
        <v/>
      </c>
      <c r="B472" s="22">
        <f>IFERROR(_xll.BDP(A472,"NAME"),"")</f>
        <v/>
      </c>
      <c r="C472" s="22">
        <f t="array" ref="C472">_xll.BDS(A472, "EQUITY_OFFERINGS", "sortdesc=3", "endrow=1")</f>
        <v/>
      </c>
      <c r="D472" s="16" t="n"/>
      <c r="E472" s="16" t="n"/>
      <c r="F472" s="16" t="n"/>
      <c r="G472" s="16" t="n"/>
      <c r="H472" s="16" t="n"/>
      <c r="I472" s="16">
        <f>IF(ISNUMBER(E472),IF(E472&gt;=Settings!$B$5,"Y","N"),"")</f>
        <v/>
      </c>
      <c r="J472" s="16">
        <f>IF(I472="Y","RECENT OFFERING/SPLIT/RIGHTS","")</f>
        <v/>
      </c>
    </row>
    <row r="473">
      <c r="A473" s="16">
        <f>'Rest Universe'!A474</f>
        <v/>
      </c>
      <c r="B473" s="22">
        <f>IFERROR(_xll.BDP(A473,"NAME"),"")</f>
        <v/>
      </c>
      <c r="C473" s="22">
        <f t="array" ref="C473">_xll.BDS(A473, "EQUITY_OFFERINGS", "sortdesc=3", "endrow=1")</f>
        <v/>
      </c>
      <c r="D473" s="16" t="n"/>
      <c r="E473" s="16" t="n"/>
      <c r="F473" s="16" t="n"/>
      <c r="G473" s="16" t="n"/>
      <c r="H473" s="16" t="n"/>
      <c r="I473" s="16">
        <f>IF(ISNUMBER(E473),IF(E473&gt;=Settings!$B$5,"Y","N"),"")</f>
        <v/>
      </c>
      <c r="J473" s="16">
        <f>IF(I473="Y","RECENT OFFERING/SPLIT/RIGHTS","")</f>
        <v/>
      </c>
    </row>
    <row r="474">
      <c r="A474" s="16">
        <f>'Rest Universe'!A475</f>
        <v/>
      </c>
      <c r="B474" s="22">
        <f>IFERROR(_xll.BDP(A474,"NAME"),"")</f>
        <v/>
      </c>
      <c r="C474" s="22">
        <f t="array" ref="C474">_xll.BDS(A474, "EQUITY_OFFERINGS", "sortdesc=3", "endrow=1")</f>
        <v/>
      </c>
      <c r="D474" s="16" t="n"/>
      <c r="E474" s="16" t="n"/>
      <c r="F474" s="16" t="n"/>
      <c r="G474" s="16" t="n"/>
      <c r="H474" s="16" t="n"/>
      <c r="I474" s="16">
        <f>IF(ISNUMBER(E474),IF(E474&gt;=Settings!$B$5,"Y","N"),"")</f>
        <v/>
      </c>
      <c r="J474" s="16">
        <f>IF(I474="Y","RECENT OFFERING/SPLIT/RIGHTS","")</f>
        <v/>
      </c>
    </row>
    <row r="475">
      <c r="A475" s="16">
        <f>'Rest Universe'!A476</f>
        <v/>
      </c>
      <c r="B475" s="22">
        <f>IFERROR(_xll.BDP(A475,"NAME"),"")</f>
        <v/>
      </c>
      <c r="C475" s="22">
        <f t="array" ref="C475">_xll.BDS(A475, "EQUITY_OFFERINGS", "sortdesc=3", "endrow=1")</f>
        <v/>
      </c>
      <c r="D475" s="16" t="n"/>
      <c r="E475" s="16" t="n"/>
      <c r="F475" s="16" t="n"/>
      <c r="G475" s="16" t="n"/>
      <c r="H475" s="16" t="n"/>
      <c r="I475" s="16">
        <f>IF(ISNUMBER(E475),IF(E475&gt;=Settings!$B$5,"Y","N"),"")</f>
        <v/>
      </c>
      <c r="J475" s="16">
        <f>IF(I475="Y","RECENT OFFERING/SPLIT/RIGHTS","")</f>
        <v/>
      </c>
    </row>
    <row r="476">
      <c r="A476" s="16">
        <f>'Rest Universe'!A477</f>
        <v/>
      </c>
      <c r="B476" s="22">
        <f>IFERROR(_xll.BDP(A476,"NAME"),"")</f>
        <v/>
      </c>
      <c r="C476" s="22">
        <f t="array" ref="C476">_xll.BDS(A476, "EQUITY_OFFERINGS", "sortdesc=3", "endrow=1")</f>
        <v/>
      </c>
      <c r="D476" s="16" t="n"/>
      <c r="E476" s="16" t="n"/>
      <c r="F476" s="16" t="n"/>
      <c r="G476" s="16" t="n"/>
      <c r="H476" s="16" t="n"/>
      <c r="I476" s="16">
        <f>IF(ISNUMBER(E476),IF(E476&gt;=Settings!$B$5,"Y","N"),"")</f>
        <v/>
      </c>
      <c r="J476" s="16">
        <f>IF(I476="Y","RECENT OFFERING/SPLIT/RIGHTS","")</f>
        <v/>
      </c>
    </row>
    <row r="477">
      <c r="A477" s="16">
        <f>'Rest Universe'!A478</f>
        <v/>
      </c>
      <c r="B477" s="22">
        <f>IFERROR(_xll.BDP(A477,"NAME"),"")</f>
        <v/>
      </c>
      <c r="C477" s="22">
        <f t="array" ref="C477">_xll.BDS(A477, "EQUITY_OFFERINGS", "sortdesc=3", "endrow=1")</f>
        <v/>
      </c>
      <c r="D477" s="16" t="n"/>
      <c r="E477" s="16" t="n"/>
      <c r="F477" s="16" t="n"/>
      <c r="G477" s="16" t="n"/>
      <c r="H477" s="16" t="n"/>
      <c r="I477" s="16">
        <f>IF(ISNUMBER(E477),IF(E477&gt;=Settings!$B$5,"Y","N"),"")</f>
        <v/>
      </c>
      <c r="J477" s="16">
        <f>IF(I477="Y","RECENT OFFERING/SPLIT/RIGHTS","")</f>
        <v/>
      </c>
    </row>
    <row r="478">
      <c r="A478" s="16">
        <f>'Rest Universe'!A479</f>
        <v/>
      </c>
      <c r="B478" s="22">
        <f>IFERROR(_xll.BDP(A478,"NAME"),"")</f>
        <v/>
      </c>
      <c r="C478" s="22">
        <f t="array" ref="C478">_xll.BDS(A478, "EQUITY_OFFERINGS", "sortdesc=3", "endrow=1")</f>
        <v/>
      </c>
      <c r="D478" s="16" t="n"/>
      <c r="E478" s="16" t="n"/>
      <c r="F478" s="16" t="n"/>
      <c r="G478" s="16" t="n"/>
      <c r="H478" s="16" t="n"/>
      <c r="I478" s="16">
        <f>IF(ISNUMBER(E478),IF(E478&gt;=Settings!$B$5,"Y","N"),"")</f>
        <v/>
      </c>
      <c r="J478" s="16">
        <f>IF(I478="Y","RECENT OFFERING/SPLIT/RIGHTS","")</f>
        <v/>
      </c>
    </row>
    <row r="479">
      <c r="A479" s="16">
        <f>'Rest Universe'!A480</f>
        <v/>
      </c>
      <c r="B479" s="22">
        <f>IFERROR(_xll.BDP(A479,"NAME"),"")</f>
        <v/>
      </c>
      <c r="C479" s="22">
        <f t="array" ref="C479">_xll.BDS(A479, "EQUITY_OFFERINGS", "sortdesc=3", "endrow=1")</f>
        <v/>
      </c>
      <c r="D479" s="16" t="n"/>
      <c r="E479" s="16" t="n"/>
      <c r="F479" s="16" t="n"/>
      <c r="G479" s="16" t="n"/>
      <c r="H479" s="16" t="n"/>
      <c r="I479" s="16">
        <f>IF(ISNUMBER(E479),IF(E479&gt;=Settings!$B$5,"Y","N"),"")</f>
        <v/>
      </c>
      <c r="J479" s="16">
        <f>IF(I479="Y","RECENT OFFERING/SPLIT/RIGHTS","")</f>
        <v/>
      </c>
    </row>
    <row r="480">
      <c r="A480" s="16">
        <f>'Rest Universe'!A481</f>
        <v/>
      </c>
      <c r="B480" s="22">
        <f>IFERROR(_xll.BDP(A480,"NAME"),"")</f>
        <v/>
      </c>
      <c r="C480" s="22">
        <f t="array" ref="C480">_xll.BDS(A480, "EQUITY_OFFERINGS", "sortdesc=3", "endrow=1")</f>
        <v/>
      </c>
      <c r="D480" s="16" t="n"/>
      <c r="E480" s="16" t="n"/>
      <c r="F480" s="16" t="n"/>
      <c r="G480" s="16" t="n"/>
      <c r="H480" s="16" t="n"/>
      <c r="I480" s="16">
        <f>IF(ISNUMBER(E480),IF(E480&gt;=Settings!$B$5,"Y","N"),"")</f>
        <v/>
      </c>
      <c r="J480" s="16">
        <f>IF(I480="Y","RECENT OFFERING/SPLIT/RIGHTS","")</f>
        <v/>
      </c>
    </row>
    <row r="481">
      <c r="A481" s="16">
        <f>'Rest Universe'!A482</f>
        <v/>
      </c>
      <c r="B481" s="22">
        <f>IFERROR(_xll.BDP(A481,"NAME"),"")</f>
        <v/>
      </c>
      <c r="C481" s="22">
        <f t="array" ref="C481">_xll.BDS(A481, "EQUITY_OFFERINGS", "sortdesc=3", "endrow=1")</f>
        <v/>
      </c>
      <c r="D481" s="16" t="n"/>
      <c r="E481" s="16" t="n"/>
      <c r="F481" s="16" t="n"/>
      <c r="G481" s="16" t="n"/>
      <c r="H481" s="16" t="n"/>
      <c r="I481" s="16">
        <f>IF(ISNUMBER(E481),IF(E481&gt;=Settings!$B$5,"Y","N"),"")</f>
        <v/>
      </c>
      <c r="J481" s="16">
        <f>IF(I481="Y","RECENT OFFERING/SPLIT/RIGHTS","")</f>
        <v/>
      </c>
    </row>
    <row r="482">
      <c r="A482" s="16">
        <f>'Rest Universe'!A483</f>
        <v/>
      </c>
      <c r="B482" s="22">
        <f>IFERROR(_xll.BDP(A482,"NAME"),"")</f>
        <v/>
      </c>
      <c r="C482" s="22">
        <f t="array" ref="C482">_xll.BDS(A482, "EQUITY_OFFERINGS", "sortdesc=3", "endrow=1")</f>
        <v/>
      </c>
      <c r="D482" s="16" t="n"/>
      <c r="E482" s="16" t="n"/>
      <c r="F482" s="16" t="n"/>
      <c r="G482" s="16" t="n"/>
      <c r="H482" s="16" t="n"/>
      <c r="I482" s="16">
        <f>IF(ISNUMBER(E482),IF(E482&gt;=Settings!$B$5,"Y","N"),"")</f>
        <v/>
      </c>
      <c r="J482" s="16">
        <f>IF(I482="Y","RECENT OFFERING/SPLIT/RIGHTS","")</f>
        <v/>
      </c>
    </row>
    <row r="483">
      <c r="A483" s="16">
        <f>'Rest Universe'!A484</f>
        <v/>
      </c>
      <c r="B483" s="22">
        <f>IFERROR(_xll.BDP(A483,"NAME"),"")</f>
        <v/>
      </c>
      <c r="C483" s="22">
        <f t="array" ref="C483">_xll.BDS(A483, "EQUITY_OFFERINGS", "sortdesc=3", "endrow=1")</f>
        <v/>
      </c>
      <c r="D483" s="16" t="n"/>
      <c r="E483" s="16" t="n"/>
      <c r="F483" s="16" t="n"/>
      <c r="G483" s="16" t="n"/>
      <c r="H483" s="16" t="n"/>
      <c r="I483" s="16">
        <f>IF(ISNUMBER(E483),IF(E483&gt;=Settings!$B$5,"Y","N"),"")</f>
        <v/>
      </c>
      <c r="J483" s="16">
        <f>IF(I483="Y","RECENT OFFERING/SPLIT/RIGHTS","")</f>
        <v/>
      </c>
    </row>
    <row r="484">
      <c r="A484" s="16">
        <f>'Rest Universe'!A485</f>
        <v/>
      </c>
      <c r="B484" s="22">
        <f>IFERROR(_xll.BDP(A484,"NAME"),"")</f>
        <v/>
      </c>
      <c r="C484" s="22">
        <f t="array" ref="C484">_xll.BDS(A484, "EQUITY_OFFERINGS", "sortdesc=3", "endrow=1")</f>
        <v/>
      </c>
      <c r="D484" s="16" t="n"/>
      <c r="E484" s="16" t="n"/>
      <c r="F484" s="16" t="n"/>
      <c r="G484" s="16" t="n"/>
      <c r="H484" s="16" t="n"/>
      <c r="I484" s="16">
        <f>IF(ISNUMBER(E484),IF(E484&gt;=Settings!$B$5,"Y","N"),"")</f>
        <v/>
      </c>
      <c r="J484" s="16">
        <f>IF(I484="Y","RECENT OFFERING/SPLIT/RIGHTS","")</f>
        <v/>
      </c>
    </row>
    <row r="485">
      <c r="A485" s="16">
        <f>'Rest Universe'!A486</f>
        <v/>
      </c>
      <c r="B485" s="22">
        <f>IFERROR(_xll.BDP(A485,"NAME"),"")</f>
        <v/>
      </c>
      <c r="C485" s="22">
        <f t="array" ref="C485">_xll.BDS(A485, "EQUITY_OFFERINGS", "sortdesc=3", "endrow=1")</f>
        <v/>
      </c>
      <c r="D485" s="16" t="n"/>
      <c r="E485" s="16" t="n"/>
      <c r="F485" s="16" t="n"/>
      <c r="G485" s="16" t="n"/>
      <c r="H485" s="16" t="n"/>
      <c r="I485" s="16">
        <f>IF(ISNUMBER(E485),IF(E485&gt;=Settings!$B$5,"Y","N"),"")</f>
        <v/>
      </c>
      <c r="J485" s="16">
        <f>IF(I485="Y","RECENT OFFERING/SPLIT/RIGHTS","")</f>
        <v/>
      </c>
    </row>
    <row r="486">
      <c r="A486" s="16">
        <f>'Rest Universe'!A487</f>
        <v/>
      </c>
      <c r="B486" s="22">
        <f>IFERROR(_xll.BDP(A486,"NAME"),"")</f>
        <v/>
      </c>
      <c r="C486" s="22">
        <f t="array" ref="C486">_xll.BDS(A486, "EQUITY_OFFERINGS", "sortdesc=3", "endrow=1")</f>
        <v/>
      </c>
      <c r="D486" s="16" t="n"/>
      <c r="E486" s="16" t="n"/>
      <c r="F486" s="16" t="n"/>
      <c r="G486" s="16" t="n"/>
      <c r="H486" s="16" t="n"/>
      <c r="I486" s="16">
        <f>IF(ISNUMBER(E486),IF(E486&gt;=Settings!$B$5,"Y","N"),"")</f>
        <v/>
      </c>
      <c r="J486" s="16">
        <f>IF(I486="Y","RECENT OFFERING/SPLIT/RIGHTS","")</f>
        <v/>
      </c>
    </row>
    <row r="487">
      <c r="A487" s="16">
        <f>'Rest Universe'!A488</f>
        <v/>
      </c>
      <c r="B487" s="22">
        <f>IFERROR(_xll.BDP(A487,"NAME"),"")</f>
        <v/>
      </c>
      <c r="C487" s="22">
        <f t="array" ref="C487">_xll.BDS(A487, "EQUITY_OFFERINGS", "sortdesc=3", "endrow=1")</f>
        <v/>
      </c>
      <c r="D487" s="16" t="n"/>
      <c r="E487" s="16" t="n"/>
      <c r="F487" s="16" t="n"/>
      <c r="G487" s="16" t="n"/>
      <c r="H487" s="16" t="n"/>
      <c r="I487" s="16">
        <f>IF(ISNUMBER(E487),IF(E487&gt;=Settings!$B$5,"Y","N"),"")</f>
        <v/>
      </c>
      <c r="J487" s="16">
        <f>IF(I487="Y","RECENT OFFERING/SPLIT/RIGHTS","")</f>
        <v/>
      </c>
    </row>
    <row r="488">
      <c r="A488" s="16">
        <f>'Rest Universe'!A489</f>
        <v/>
      </c>
      <c r="B488" s="22">
        <f>IFERROR(_xll.BDP(A488,"NAME"),"")</f>
        <v/>
      </c>
      <c r="C488" s="22">
        <f t="array" ref="C488">_xll.BDS(A488, "EQUITY_OFFERINGS", "sortdesc=3", "endrow=1")</f>
        <v/>
      </c>
      <c r="D488" s="16" t="n"/>
      <c r="E488" s="16" t="n"/>
      <c r="F488" s="16" t="n"/>
      <c r="G488" s="16" t="n"/>
      <c r="H488" s="16" t="n"/>
      <c r="I488" s="16">
        <f>IF(ISNUMBER(E488),IF(E488&gt;=Settings!$B$5,"Y","N"),"")</f>
        <v/>
      </c>
      <c r="J488" s="16">
        <f>IF(I488="Y","RECENT OFFERING/SPLIT/RIGHTS","")</f>
        <v/>
      </c>
    </row>
    <row r="489">
      <c r="A489" s="16">
        <f>'Rest Universe'!A490</f>
        <v/>
      </c>
      <c r="B489" s="22">
        <f>IFERROR(_xll.BDP(A489,"NAME"),"")</f>
        <v/>
      </c>
      <c r="C489" s="22">
        <f t="array" ref="C489">_xll.BDS(A489, "EQUITY_OFFERINGS", "sortdesc=3", "endrow=1")</f>
        <v/>
      </c>
      <c r="D489" s="16" t="n"/>
      <c r="E489" s="16" t="n"/>
      <c r="F489" s="16" t="n"/>
      <c r="G489" s="16" t="n"/>
      <c r="H489" s="16" t="n"/>
      <c r="I489" s="16">
        <f>IF(ISNUMBER(E489),IF(E489&gt;=Settings!$B$5,"Y","N"),"")</f>
        <v/>
      </c>
      <c r="J489" s="16">
        <f>IF(I489="Y","RECENT OFFERING/SPLIT/RIGHTS","")</f>
        <v/>
      </c>
    </row>
    <row r="490">
      <c r="A490" s="16">
        <f>'Rest Universe'!A491</f>
        <v/>
      </c>
      <c r="B490" s="22">
        <f>IFERROR(_xll.BDP(A490,"NAME"),"")</f>
        <v/>
      </c>
      <c r="C490" s="22">
        <f t="array" ref="C490">_xll.BDS(A490, "EQUITY_OFFERINGS", "sortdesc=3", "endrow=1")</f>
        <v/>
      </c>
      <c r="D490" s="16" t="n"/>
      <c r="E490" s="16" t="n"/>
      <c r="F490" s="16" t="n"/>
      <c r="G490" s="16" t="n"/>
      <c r="H490" s="16" t="n"/>
      <c r="I490" s="16">
        <f>IF(ISNUMBER(E490),IF(E490&gt;=Settings!$B$5,"Y","N"),"")</f>
        <v/>
      </c>
      <c r="J490" s="16">
        <f>IF(I490="Y","RECENT OFFERING/SPLIT/RIGHTS","")</f>
        <v/>
      </c>
    </row>
    <row r="491">
      <c r="A491" s="16">
        <f>'Rest Universe'!A492</f>
        <v/>
      </c>
      <c r="B491" s="22">
        <f>IFERROR(_xll.BDP(A491,"NAME"),"")</f>
        <v/>
      </c>
      <c r="C491" s="22">
        <f t="array" ref="C491">_xll.BDS(A491, "EQUITY_OFFERINGS", "sortdesc=3", "endrow=1")</f>
        <v/>
      </c>
      <c r="D491" s="16" t="n"/>
      <c r="E491" s="16" t="n"/>
      <c r="F491" s="16" t="n"/>
      <c r="G491" s="16" t="n"/>
      <c r="H491" s="16" t="n"/>
      <c r="I491" s="16">
        <f>IF(ISNUMBER(E491),IF(E491&gt;=Settings!$B$5,"Y","N"),"")</f>
        <v/>
      </c>
      <c r="J491" s="16">
        <f>IF(I491="Y","RECENT OFFERING/SPLIT/RIGHTS","")</f>
        <v/>
      </c>
    </row>
    <row r="492">
      <c r="A492" s="16">
        <f>'Rest Universe'!A493</f>
        <v/>
      </c>
      <c r="B492" s="22">
        <f>IFERROR(_xll.BDP(A492,"NAME"),"")</f>
        <v/>
      </c>
      <c r="C492" s="22">
        <f t="array" ref="C492">_xll.BDS(A492, "EQUITY_OFFERINGS", "sortdesc=3", "endrow=1")</f>
        <v/>
      </c>
      <c r="D492" s="16" t="n"/>
      <c r="E492" s="16" t="n"/>
      <c r="F492" s="16" t="n"/>
      <c r="G492" s="16" t="n"/>
      <c r="H492" s="16" t="n"/>
      <c r="I492" s="16">
        <f>IF(ISNUMBER(E492),IF(E492&gt;=Settings!$B$5,"Y","N"),"")</f>
        <v/>
      </c>
      <c r="J492" s="16">
        <f>IF(I492="Y","RECENT OFFERING/SPLIT/RIGHTS","")</f>
        <v/>
      </c>
    </row>
    <row r="493">
      <c r="A493" s="16">
        <f>'Rest Universe'!A494</f>
        <v/>
      </c>
      <c r="B493" s="22">
        <f>IFERROR(_xll.BDP(A493,"NAME"),"")</f>
        <v/>
      </c>
      <c r="C493" s="22">
        <f t="array" ref="C493">_xll.BDS(A493, "EQUITY_OFFERINGS", "sortdesc=3", "endrow=1")</f>
        <v/>
      </c>
      <c r="D493" s="16" t="n"/>
      <c r="E493" s="16" t="n"/>
      <c r="F493" s="16" t="n"/>
      <c r="G493" s="16" t="n"/>
      <c r="H493" s="16" t="n"/>
      <c r="I493" s="16">
        <f>IF(ISNUMBER(E493),IF(E493&gt;=Settings!$B$5,"Y","N"),"")</f>
        <v/>
      </c>
      <c r="J493" s="16">
        <f>IF(I493="Y","RECENT OFFERING/SPLIT/RIGHTS","")</f>
        <v/>
      </c>
    </row>
    <row r="494">
      <c r="A494" s="16">
        <f>'Rest Universe'!A495</f>
        <v/>
      </c>
      <c r="B494" s="22">
        <f>IFERROR(_xll.BDP(A494,"NAME"),"")</f>
        <v/>
      </c>
      <c r="C494" s="22">
        <f t="array" ref="C494">_xll.BDS(A494, "EQUITY_OFFERINGS", "sortdesc=3", "endrow=1")</f>
        <v/>
      </c>
      <c r="D494" s="16" t="n"/>
      <c r="E494" s="16" t="n"/>
      <c r="F494" s="16" t="n"/>
      <c r="G494" s="16" t="n"/>
      <c r="H494" s="16" t="n"/>
      <c r="I494" s="16">
        <f>IF(ISNUMBER(E494),IF(E494&gt;=Settings!$B$5,"Y","N"),"")</f>
        <v/>
      </c>
      <c r="J494" s="16">
        <f>IF(I494="Y","RECENT OFFERING/SPLIT/RIGHTS","")</f>
        <v/>
      </c>
    </row>
    <row r="495">
      <c r="A495" s="16">
        <f>'Rest Universe'!A496</f>
        <v/>
      </c>
      <c r="B495" s="22">
        <f>IFERROR(_xll.BDP(A495,"NAME"),"")</f>
        <v/>
      </c>
      <c r="C495" s="22">
        <f t="array" ref="C495">_xll.BDS(A495, "EQUITY_OFFERINGS", "sortdesc=3", "endrow=1")</f>
        <v/>
      </c>
      <c r="D495" s="16" t="n"/>
      <c r="E495" s="16" t="n"/>
      <c r="F495" s="16" t="n"/>
      <c r="G495" s="16" t="n"/>
      <c r="H495" s="16" t="n"/>
      <c r="I495" s="16">
        <f>IF(ISNUMBER(E495),IF(E495&gt;=Settings!$B$5,"Y","N"),"")</f>
        <v/>
      </c>
      <c r="J495" s="16">
        <f>IF(I495="Y","RECENT OFFERING/SPLIT/RIGHTS","")</f>
        <v/>
      </c>
    </row>
    <row r="496">
      <c r="A496" s="16">
        <f>'Rest Universe'!A497</f>
        <v/>
      </c>
      <c r="B496" s="22">
        <f>IFERROR(_xll.BDP(A496,"NAME"),"")</f>
        <v/>
      </c>
      <c r="C496" s="22">
        <f t="array" ref="C496">_xll.BDS(A496, "EQUITY_OFFERINGS", "sortdesc=3", "endrow=1")</f>
        <v/>
      </c>
      <c r="D496" s="16" t="n"/>
      <c r="E496" s="16" t="n"/>
      <c r="F496" s="16" t="n"/>
      <c r="G496" s="16" t="n"/>
      <c r="H496" s="16" t="n"/>
      <c r="I496" s="16">
        <f>IF(ISNUMBER(E496),IF(E496&gt;=Settings!$B$5,"Y","N"),"")</f>
        <v/>
      </c>
      <c r="J496" s="16">
        <f>IF(I496="Y","RECENT OFFERING/SPLIT/RIGHTS","")</f>
        <v/>
      </c>
    </row>
    <row r="497">
      <c r="A497" s="16">
        <f>'Rest Universe'!A498</f>
        <v/>
      </c>
      <c r="B497" s="22">
        <f>IFERROR(_xll.BDP(A497,"NAME"),"")</f>
        <v/>
      </c>
      <c r="C497" s="22">
        <f t="array" ref="C497">_xll.BDS(A497, "EQUITY_OFFERINGS", "sortdesc=3", "endrow=1")</f>
        <v/>
      </c>
      <c r="D497" s="16" t="n"/>
      <c r="E497" s="16" t="n"/>
      <c r="F497" s="16" t="n"/>
      <c r="G497" s="16" t="n"/>
      <c r="H497" s="16" t="n"/>
      <c r="I497" s="16">
        <f>IF(ISNUMBER(E497),IF(E497&gt;=Settings!$B$5,"Y","N"),"")</f>
        <v/>
      </c>
      <c r="J497" s="16">
        <f>IF(I497="Y","RECENT OFFERING/SPLIT/RIGHTS","")</f>
        <v/>
      </c>
    </row>
    <row r="498">
      <c r="A498" s="16">
        <f>'Rest Universe'!A499</f>
        <v/>
      </c>
      <c r="B498" s="22">
        <f>IFERROR(_xll.BDP(A498,"NAME"),"")</f>
        <v/>
      </c>
      <c r="C498" s="22">
        <f t="array" ref="C498">_xll.BDS(A498, "EQUITY_OFFERINGS", "sortdesc=3", "endrow=1")</f>
        <v/>
      </c>
      <c r="D498" s="16" t="n"/>
      <c r="E498" s="16" t="n"/>
      <c r="F498" s="16" t="n"/>
      <c r="G498" s="16" t="n"/>
      <c r="H498" s="16" t="n"/>
      <c r="I498" s="16">
        <f>IF(ISNUMBER(E498),IF(E498&gt;=Settings!$B$5,"Y","N"),"")</f>
        <v/>
      </c>
      <c r="J498" s="16">
        <f>IF(I498="Y","RECENT OFFERING/SPLIT/RIGHTS","")</f>
        <v/>
      </c>
    </row>
    <row r="499">
      <c r="A499" s="16">
        <f>'Rest Universe'!A500</f>
        <v/>
      </c>
      <c r="B499" s="22">
        <f>IFERROR(_xll.BDP(A499,"NAME"),"")</f>
        <v/>
      </c>
      <c r="C499" s="22">
        <f t="array" ref="C499">_xll.BDS(A499, "EQUITY_OFFERINGS", "sortdesc=3", "endrow=1")</f>
        <v/>
      </c>
      <c r="D499" s="16" t="n"/>
      <c r="E499" s="16" t="n"/>
      <c r="F499" s="16" t="n"/>
      <c r="G499" s="16" t="n"/>
      <c r="H499" s="16" t="n"/>
      <c r="I499" s="16">
        <f>IF(ISNUMBER(E499),IF(E499&gt;=Settings!$B$5,"Y","N"),"")</f>
        <v/>
      </c>
      <c r="J499" s="16">
        <f>IF(I499="Y","RECENT OFFERING/SPLIT/RIGHTS","")</f>
        <v/>
      </c>
    </row>
    <row r="500">
      <c r="A500" s="16">
        <f>'Rest Universe'!A501</f>
        <v/>
      </c>
      <c r="B500" s="22">
        <f>IFERROR(_xll.BDP(A500,"NAME"),"")</f>
        <v/>
      </c>
      <c r="C500" s="22">
        <f t="array" ref="C500">_xll.BDS(A500, "EQUITY_OFFERINGS", "sortdesc=3", "endrow=1")</f>
        <v/>
      </c>
      <c r="D500" s="16" t="n"/>
      <c r="E500" s="16" t="n"/>
      <c r="F500" s="16" t="n"/>
      <c r="G500" s="16" t="n"/>
      <c r="H500" s="16" t="n"/>
      <c r="I500" s="16">
        <f>IF(ISNUMBER(E500),IF(E500&gt;=Settings!$B$5,"Y","N"),"")</f>
        <v/>
      </c>
      <c r="J500" s="16">
        <f>IF(I500="Y","RECENT OFFERING/SPLIT/RIGHTS","")</f>
        <v/>
      </c>
    </row>
    <row r="501">
      <c r="A501" s="16">
        <f>'Rest Universe'!A502</f>
        <v/>
      </c>
      <c r="B501" s="22">
        <f>IFERROR(_xll.BDP(A501,"NAME"),"")</f>
        <v/>
      </c>
      <c r="C501" s="22">
        <f t="array" ref="C501">_xll.BDS(A501, "EQUITY_OFFERINGS", "sortdesc=3", "endrow=1")</f>
        <v/>
      </c>
      <c r="D501" s="16" t="n"/>
      <c r="E501" s="16" t="n"/>
      <c r="F501" s="16" t="n"/>
      <c r="G501" s="16" t="n"/>
      <c r="H501" s="16" t="n"/>
      <c r="I501" s="16">
        <f>IF(ISNUMBER(E501),IF(E501&gt;=Settings!$B$5,"Y","N"),"")</f>
        <v/>
      </c>
      <c r="J501" s="16">
        <f>IF(I501="Y","RECENT OFFERING/SPLIT/RIGHTS","")</f>
        <v/>
      </c>
    </row>
    <row r="502">
      <c r="A502" s="16">
        <f>'Rest Universe'!A503</f>
        <v/>
      </c>
      <c r="B502" s="22">
        <f>IFERROR(_xll.BDP(A502,"NAME"),"")</f>
        <v/>
      </c>
      <c r="C502" s="22">
        <f t="array" ref="C502">_xll.BDS(A502, "EQUITY_OFFERINGS", "sortdesc=3", "endrow=1")</f>
        <v/>
      </c>
      <c r="D502" s="16" t="n"/>
      <c r="E502" s="16" t="n"/>
      <c r="F502" s="16" t="n"/>
      <c r="G502" s="16" t="n"/>
      <c r="H502" s="16" t="n"/>
      <c r="I502" s="16">
        <f>IF(ISNUMBER(E502),IF(E502&gt;=Settings!$B$5,"Y","N"),"")</f>
        <v/>
      </c>
      <c r="J502" s="16">
        <f>IF(I502="Y","RECENT OFFERING/SPLIT/RIGHTS","")</f>
        <v/>
      </c>
    </row>
    <row r="503">
      <c r="A503" s="16">
        <f>'Rest Universe'!A504</f>
        <v/>
      </c>
      <c r="B503" s="22">
        <f>IFERROR(_xll.BDP(A503,"NAME"),"")</f>
        <v/>
      </c>
      <c r="C503" s="22">
        <f t="array" ref="C503">_xll.BDS(A503, "EQUITY_OFFERINGS", "sortdesc=3", "endrow=1")</f>
        <v/>
      </c>
      <c r="D503" s="16" t="n"/>
      <c r="E503" s="16" t="n"/>
      <c r="F503" s="16" t="n"/>
      <c r="G503" s="16" t="n"/>
      <c r="H503" s="16" t="n"/>
      <c r="I503" s="16">
        <f>IF(ISNUMBER(E503),IF(E503&gt;=Settings!$B$5,"Y","N"),"")</f>
        <v/>
      </c>
      <c r="J503" s="16">
        <f>IF(I503="Y","RECENT OFFERING/SPLIT/RIGHTS","")</f>
        <v/>
      </c>
    </row>
    <row r="504">
      <c r="A504" s="16">
        <f>'Rest Universe'!A505</f>
        <v/>
      </c>
      <c r="B504" s="22">
        <f>IFERROR(_xll.BDP(A504,"NAME"),"")</f>
        <v/>
      </c>
      <c r="C504" s="22">
        <f t="array" ref="C504">_xll.BDS(A504, "EQUITY_OFFERINGS", "sortdesc=3", "endrow=1")</f>
        <v/>
      </c>
      <c r="D504" s="16" t="n"/>
      <c r="E504" s="16" t="n"/>
      <c r="F504" s="16" t="n"/>
      <c r="G504" s="16" t="n"/>
      <c r="H504" s="16" t="n"/>
      <c r="I504" s="16">
        <f>IF(ISNUMBER(E504),IF(E504&gt;=Settings!$B$5,"Y","N"),"")</f>
        <v/>
      </c>
      <c r="J504" s="16">
        <f>IF(I504="Y","RECENT OFFERING/SPLIT/RIGHTS","")</f>
        <v/>
      </c>
    </row>
    <row r="505">
      <c r="A505" s="16">
        <f>'Rest Universe'!A506</f>
        <v/>
      </c>
      <c r="B505" s="22">
        <f>IFERROR(_xll.BDP(A505,"NAME"),"")</f>
        <v/>
      </c>
      <c r="C505" s="22">
        <f t="array" ref="C505">_xll.BDS(A505, "EQUITY_OFFERINGS", "sortdesc=3", "endrow=1")</f>
        <v/>
      </c>
      <c r="D505" s="16" t="n"/>
      <c r="E505" s="16" t="n"/>
      <c r="F505" s="16" t="n"/>
      <c r="G505" s="16" t="n"/>
      <c r="H505" s="16" t="n"/>
      <c r="I505" s="16">
        <f>IF(ISNUMBER(E505),IF(E505&gt;=Settings!$B$5,"Y","N"),"")</f>
        <v/>
      </c>
      <c r="J505" s="16">
        <f>IF(I505="Y","RECENT OFFERING/SPLIT/RIGHTS","")</f>
        <v/>
      </c>
    </row>
    <row r="506">
      <c r="A506" s="16">
        <f>'Rest Universe'!A507</f>
        <v/>
      </c>
      <c r="B506" s="22">
        <f>IFERROR(_xll.BDP(A506,"NAME"),"")</f>
        <v/>
      </c>
      <c r="C506" s="22">
        <f t="array" ref="C506">_xll.BDS(A506, "EQUITY_OFFERINGS", "sortdesc=3", "endrow=1")</f>
        <v/>
      </c>
      <c r="D506" s="16" t="n"/>
      <c r="E506" s="16" t="n"/>
      <c r="F506" s="16" t="n"/>
      <c r="G506" s="16" t="n"/>
      <c r="H506" s="16" t="n"/>
      <c r="I506" s="16">
        <f>IF(ISNUMBER(E506),IF(E506&gt;=Settings!$B$5,"Y","N"),"")</f>
        <v/>
      </c>
      <c r="J506" s="16">
        <f>IF(I506="Y","RECENT OFFERING/SPLIT/RIGHTS","")</f>
        <v/>
      </c>
    </row>
    <row r="507">
      <c r="A507" s="16">
        <f>'Rest Universe'!A508</f>
        <v/>
      </c>
      <c r="B507" s="22">
        <f>IFERROR(_xll.BDP(A507,"NAME"),"")</f>
        <v/>
      </c>
      <c r="C507" s="22">
        <f t="array" ref="C507">_xll.BDS(A507, "EQUITY_OFFERINGS", "sortdesc=3", "endrow=1")</f>
        <v/>
      </c>
      <c r="D507" s="16" t="n"/>
      <c r="E507" s="16" t="n"/>
      <c r="F507" s="16" t="n"/>
      <c r="G507" s="16" t="n"/>
      <c r="H507" s="16" t="n"/>
      <c r="I507" s="16">
        <f>IF(ISNUMBER(E507),IF(E507&gt;=Settings!$B$5,"Y","N"),"")</f>
        <v/>
      </c>
      <c r="J507" s="16">
        <f>IF(I507="Y","RECENT OFFERING/SPLIT/RIGHTS","")</f>
        <v/>
      </c>
    </row>
    <row r="508">
      <c r="A508" s="16">
        <f>'Rest Universe'!A509</f>
        <v/>
      </c>
      <c r="B508" s="22">
        <f>IFERROR(_xll.BDP(A508,"NAME"),"")</f>
        <v/>
      </c>
      <c r="C508" s="22">
        <f t="array" ref="C508">_xll.BDS(A508, "EQUITY_OFFERINGS", "sortdesc=3", "endrow=1")</f>
        <v/>
      </c>
      <c r="D508" s="16" t="n"/>
      <c r="E508" s="16" t="n"/>
      <c r="F508" s="16" t="n"/>
      <c r="G508" s="16" t="n"/>
      <c r="H508" s="16" t="n"/>
      <c r="I508" s="16">
        <f>IF(ISNUMBER(E508),IF(E508&gt;=Settings!$B$5,"Y","N"),"")</f>
        <v/>
      </c>
      <c r="J508" s="16">
        <f>IF(I508="Y","RECENT OFFERING/SPLIT/RIGHTS","")</f>
        <v/>
      </c>
    </row>
    <row r="509">
      <c r="A509" s="16">
        <f>'Rest Universe'!A510</f>
        <v/>
      </c>
      <c r="B509" s="22">
        <f>IFERROR(_xll.BDP(A509,"NAME"),"")</f>
        <v/>
      </c>
      <c r="C509" s="22">
        <f t="array" ref="C509">_xll.BDS(A509, "EQUITY_OFFERINGS", "sortdesc=3", "endrow=1")</f>
        <v/>
      </c>
      <c r="D509" s="16" t="n"/>
      <c r="E509" s="16" t="n"/>
      <c r="F509" s="16" t="n"/>
      <c r="G509" s="16" t="n"/>
      <c r="H509" s="16" t="n"/>
      <c r="I509" s="16">
        <f>IF(ISNUMBER(E509),IF(E509&gt;=Settings!$B$5,"Y","N"),"")</f>
        <v/>
      </c>
      <c r="J509" s="16">
        <f>IF(I509="Y","RECENT OFFERING/SPLIT/RIGHTS","")</f>
        <v/>
      </c>
    </row>
    <row r="510">
      <c r="A510" s="16">
        <f>'Rest Universe'!A511</f>
        <v/>
      </c>
      <c r="B510" s="22">
        <f>IFERROR(_xll.BDP(A510,"NAME"),"")</f>
        <v/>
      </c>
      <c r="C510" s="22">
        <f t="array" ref="C510">_xll.BDS(A510, "EQUITY_OFFERINGS", "sortdesc=3", "endrow=1")</f>
        <v/>
      </c>
      <c r="D510" s="16" t="n"/>
      <c r="E510" s="16" t="n"/>
      <c r="F510" s="16" t="n"/>
      <c r="G510" s="16" t="n"/>
      <c r="H510" s="16" t="n"/>
      <c r="I510" s="16">
        <f>IF(ISNUMBER(E510),IF(E510&gt;=Settings!$B$5,"Y","N"),"")</f>
        <v/>
      </c>
      <c r="J510" s="16">
        <f>IF(I510="Y","RECENT OFFERING/SPLIT/RIGHTS","")</f>
        <v/>
      </c>
    </row>
    <row r="511">
      <c r="A511" s="16">
        <f>'Rest Universe'!A512</f>
        <v/>
      </c>
      <c r="B511" s="22">
        <f>IFERROR(_xll.BDP(A511,"NAME"),"")</f>
        <v/>
      </c>
      <c r="C511" s="22">
        <f t="array" ref="C511">_xll.BDS(A511, "EQUITY_OFFERINGS", "sortdesc=3", "endrow=1")</f>
        <v/>
      </c>
      <c r="D511" s="16" t="n"/>
      <c r="E511" s="16" t="n"/>
      <c r="F511" s="16" t="n"/>
      <c r="G511" s="16" t="n"/>
      <c r="H511" s="16" t="n"/>
      <c r="I511" s="16">
        <f>IF(ISNUMBER(E511),IF(E511&gt;=Settings!$B$5,"Y","N"),"")</f>
        <v/>
      </c>
      <c r="J511" s="16">
        <f>IF(I511="Y","RECENT OFFERING/SPLIT/RIGHTS","")</f>
        <v/>
      </c>
    </row>
    <row r="512">
      <c r="A512" s="16">
        <f>'Rest Universe'!A513</f>
        <v/>
      </c>
      <c r="B512" s="22">
        <f>IFERROR(_xll.BDP(A512,"NAME"),"")</f>
        <v/>
      </c>
      <c r="C512" s="22">
        <f t="array" ref="C512">_xll.BDS(A512, "EQUITY_OFFERINGS", "sortdesc=3", "endrow=1")</f>
        <v/>
      </c>
      <c r="D512" s="16" t="n"/>
      <c r="E512" s="16" t="n"/>
      <c r="F512" s="16" t="n"/>
      <c r="G512" s="16" t="n"/>
      <c r="H512" s="16" t="n"/>
      <c r="I512" s="16">
        <f>IF(ISNUMBER(E512),IF(E512&gt;=Settings!$B$5,"Y","N"),"")</f>
        <v/>
      </c>
      <c r="J512" s="16">
        <f>IF(I512="Y","RECENT OFFERING/SPLIT/RIGHTS","")</f>
        <v/>
      </c>
    </row>
    <row r="513">
      <c r="A513" s="16">
        <f>'Rest Universe'!A514</f>
        <v/>
      </c>
      <c r="B513" s="22">
        <f>IFERROR(_xll.BDP(A513,"NAME"),"")</f>
        <v/>
      </c>
      <c r="C513" s="22">
        <f t="array" ref="C513">_xll.BDS(A513, "EQUITY_OFFERINGS", "sortdesc=3", "endrow=1")</f>
        <v/>
      </c>
      <c r="D513" s="16" t="n"/>
      <c r="E513" s="16" t="n"/>
      <c r="F513" s="16" t="n"/>
      <c r="G513" s="16" t="n"/>
      <c r="H513" s="16" t="n"/>
      <c r="I513" s="16">
        <f>IF(ISNUMBER(E513),IF(E513&gt;=Settings!$B$5,"Y","N"),"")</f>
        <v/>
      </c>
      <c r="J513" s="16">
        <f>IF(I513="Y","RECENT OFFERING/SPLIT/RIGHTS","")</f>
        <v/>
      </c>
    </row>
    <row r="514">
      <c r="A514" s="16">
        <f>'Rest Universe'!A515</f>
        <v/>
      </c>
      <c r="B514" s="22">
        <f>IFERROR(_xll.BDP(A514,"NAME"),"")</f>
        <v/>
      </c>
      <c r="C514" s="22">
        <f t="array" ref="C514">_xll.BDS(A514, "EQUITY_OFFERINGS", "sortdesc=3", "endrow=1")</f>
        <v/>
      </c>
      <c r="D514" s="16" t="n"/>
      <c r="E514" s="16" t="n"/>
      <c r="F514" s="16" t="n"/>
      <c r="G514" s="16" t="n"/>
      <c r="H514" s="16" t="n"/>
      <c r="I514" s="16">
        <f>IF(ISNUMBER(E514),IF(E514&gt;=Settings!$B$5,"Y","N"),"")</f>
        <v/>
      </c>
      <c r="J514" s="16">
        <f>IF(I514="Y","RECENT OFFERING/SPLIT/RIGHTS","")</f>
        <v/>
      </c>
    </row>
    <row r="515">
      <c r="A515" s="16">
        <f>'Rest Universe'!A516</f>
        <v/>
      </c>
      <c r="B515" s="22">
        <f>IFERROR(_xll.BDP(A515,"NAME"),"")</f>
        <v/>
      </c>
      <c r="C515" s="22">
        <f t="array" ref="C515">_xll.BDS(A515, "EQUITY_OFFERINGS", "sortdesc=3", "endrow=1")</f>
        <v/>
      </c>
      <c r="D515" s="16" t="n"/>
      <c r="E515" s="16" t="n"/>
      <c r="F515" s="16" t="n"/>
      <c r="G515" s="16" t="n"/>
      <c r="H515" s="16" t="n"/>
      <c r="I515" s="16">
        <f>IF(ISNUMBER(E515),IF(E515&gt;=Settings!$B$5,"Y","N"),"")</f>
        <v/>
      </c>
      <c r="J515" s="16">
        <f>IF(I515="Y","RECENT OFFERING/SPLIT/RIGHTS","")</f>
        <v/>
      </c>
    </row>
    <row r="516">
      <c r="A516" s="16">
        <f>'Rest Universe'!A517</f>
        <v/>
      </c>
      <c r="B516" s="22">
        <f>IFERROR(_xll.BDP(A516,"NAME"),"")</f>
        <v/>
      </c>
      <c r="C516" s="22">
        <f t="array" ref="C516">_xll.BDS(A516, "EQUITY_OFFERINGS", "sortdesc=3", "endrow=1")</f>
        <v/>
      </c>
      <c r="D516" s="16" t="n"/>
      <c r="E516" s="16" t="n"/>
      <c r="F516" s="16" t="n"/>
      <c r="G516" s="16" t="n"/>
      <c r="H516" s="16" t="n"/>
      <c r="I516" s="16">
        <f>IF(ISNUMBER(E516),IF(E516&gt;=Settings!$B$5,"Y","N"),"")</f>
        <v/>
      </c>
      <c r="J516" s="16">
        <f>IF(I516="Y","RECENT OFFERING/SPLIT/RIGHTS","")</f>
        <v/>
      </c>
    </row>
    <row r="517">
      <c r="A517" s="16">
        <f>'Rest Universe'!A518</f>
        <v/>
      </c>
      <c r="B517" s="22">
        <f>IFERROR(_xll.BDP(A517,"NAME"),"")</f>
        <v/>
      </c>
      <c r="C517" s="22">
        <f t="array" ref="C517">_xll.BDS(A517, "EQUITY_OFFERINGS", "sortdesc=3", "endrow=1")</f>
        <v/>
      </c>
      <c r="D517" s="16" t="n"/>
      <c r="E517" s="16" t="n"/>
      <c r="F517" s="16" t="n"/>
      <c r="G517" s="16" t="n"/>
      <c r="H517" s="16" t="n"/>
      <c r="I517" s="16">
        <f>IF(ISNUMBER(E517),IF(E517&gt;=Settings!$B$5,"Y","N"),"")</f>
        <v/>
      </c>
      <c r="J517" s="16">
        <f>IF(I517="Y","RECENT OFFERING/SPLIT/RIGHTS","")</f>
        <v/>
      </c>
    </row>
    <row r="518">
      <c r="A518" s="16">
        <f>'Rest Universe'!A519</f>
        <v/>
      </c>
      <c r="B518" s="22">
        <f>IFERROR(_xll.BDP(A518,"NAME"),"")</f>
        <v/>
      </c>
      <c r="C518" s="22">
        <f t="array" ref="C518">_xll.BDS(A518, "EQUITY_OFFERINGS", "sortdesc=3", "endrow=1")</f>
        <v/>
      </c>
      <c r="D518" s="16" t="n"/>
      <c r="E518" s="16" t="n"/>
      <c r="F518" s="16" t="n"/>
      <c r="G518" s="16" t="n"/>
      <c r="H518" s="16" t="n"/>
      <c r="I518" s="16">
        <f>IF(ISNUMBER(E518),IF(E518&gt;=Settings!$B$5,"Y","N"),"")</f>
        <v/>
      </c>
      <c r="J518" s="16">
        <f>IF(I518="Y","RECENT OFFERING/SPLIT/RIGHTS","")</f>
        <v/>
      </c>
    </row>
    <row r="519">
      <c r="A519" s="16">
        <f>'Rest Universe'!A520</f>
        <v/>
      </c>
      <c r="B519" s="22">
        <f>IFERROR(_xll.BDP(A519,"NAME"),"")</f>
        <v/>
      </c>
      <c r="C519" s="22">
        <f t="array" ref="C519">_xll.BDS(A519, "EQUITY_OFFERINGS", "sortdesc=3", "endrow=1")</f>
        <v/>
      </c>
      <c r="D519" s="16" t="n"/>
      <c r="E519" s="16" t="n"/>
      <c r="F519" s="16" t="n"/>
      <c r="G519" s="16" t="n"/>
      <c r="H519" s="16" t="n"/>
      <c r="I519" s="16">
        <f>IF(ISNUMBER(E519),IF(E519&gt;=Settings!$B$5,"Y","N"),"")</f>
        <v/>
      </c>
      <c r="J519" s="16">
        <f>IF(I519="Y","RECENT OFFERING/SPLIT/RIGHTS","")</f>
        <v/>
      </c>
    </row>
    <row r="520">
      <c r="A520" s="16">
        <f>'Rest Universe'!A521</f>
        <v/>
      </c>
      <c r="B520" s="22">
        <f>IFERROR(_xll.BDP(A520,"NAME"),"")</f>
        <v/>
      </c>
      <c r="C520" s="22">
        <f t="array" ref="C520">_xll.BDS(A520, "EQUITY_OFFERINGS", "sortdesc=3", "endrow=1")</f>
        <v/>
      </c>
      <c r="D520" s="16" t="n"/>
      <c r="E520" s="16" t="n"/>
      <c r="F520" s="16" t="n"/>
      <c r="G520" s="16" t="n"/>
      <c r="H520" s="16" t="n"/>
      <c r="I520" s="16">
        <f>IF(ISNUMBER(E520),IF(E520&gt;=Settings!$B$5,"Y","N"),"")</f>
        <v/>
      </c>
      <c r="J520" s="16">
        <f>IF(I520="Y","RECENT OFFERING/SPLIT/RIGHTS","")</f>
        <v/>
      </c>
    </row>
    <row r="521">
      <c r="A521" s="16">
        <f>'Rest Universe'!A522</f>
        <v/>
      </c>
      <c r="B521" s="22">
        <f>IFERROR(_xll.BDP(A521,"NAME"),"")</f>
        <v/>
      </c>
      <c r="C521" s="22">
        <f t="array" ref="C521">_xll.BDS(A521, "EQUITY_OFFERINGS", "sortdesc=3", "endrow=1")</f>
        <v/>
      </c>
      <c r="D521" s="16" t="n"/>
      <c r="E521" s="16" t="n"/>
      <c r="F521" s="16" t="n"/>
      <c r="G521" s="16" t="n"/>
      <c r="H521" s="16" t="n"/>
      <c r="I521" s="16">
        <f>IF(ISNUMBER(E521),IF(E521&gt;=Settings!$B$5,"Y","N"),"")</f>
        <v/>
      </c>
      <c r="J521" s="16">
        <f>IF(I521="Y","RECENT OFFERING/SPLIT/RIGHTS","")</f>
        <v/>
      </c>
    </row>
    <row r="522">
      <c r="A522" s="16">
        <f>'Rest Universe'!A523</f>
        <v/>
      </c>
      <c r="B522" s="22">
        <f>IFERROR(_xll.BDP(A522,"NAME"),"")</f>
        <v/>
      </c>
      <c r="C522" s="22">
        <f t="array" ref="C522">_xll.BDS(A522, "EQUITY_OFFERINGS", "sortdesc=3", "endrow=1")</f>
        <v/>
      </c>
      <c r="D522" s="16" t="n"/>
      <c r="E522" s="16" t="n"/>
      <c r="F522" s="16" t="n"/>
      <c r="G522" s="16" t="n"/>
      <c r="H522" s="16" t="n"/>
      <c r="I522" s="16">
        <f>IF(ISNUMBER(E522),IF(E522&gt;=Settings!$B$5,"Y","N"),"")</f>
        <v/>
      </c>
      <c r="J522" s="16">
        <f>IF(I522="Y","RECENT OFFERING/SPLIT/RIGHTS","")</f>
        <v/>
      </c>
    </row>
    <row r="523">
      <c r="A523" s="16">
        <f>'Rest Universe'!A524</f>
        <v/>
      </c>
      <c r="B523" s="22">
        <f>IFERROR(_xll.BDP(A523,"NAME"),"")</f>
        <v/>
      </c>
      <c r="C523" s="22">
        <f t="array" ref="C523">_xll.BDS(A523, "EQUITY_OFFERINGS", "sortdesc=3", "endrow=1")</f>
        <v/>
      </c>
      <c r="D523" s="16" t="n"/>
      <c r="E523" s="16" t="n"/>
      <c r="F523" s="16" t="n"/>
      <c r="G523" s="16" t="n"/>
      <c r="H523" s="16" t="n"/>
      <c r="I523" s="16">
        <f>IF(ISNUMBER(E523),IF(E523&gt;=Settings!$B$5,"Y","N"),"")</f>
        <v/>
      </c>
      <c r="J523" s="16">
        <f>IF(I523="Y","RECENT OFFERING/SPLIT/RIGHTS","")</f>
        <v/>
      </c>
    </row>
    <row r="524">
      <c r="A524" s="16">
        <f>'Rest Universe'!A525</f>
        <v/>
      </c>
      <c r="B524" s="22">
        <f>IFERROR(_xll.BDP(A524,"NAME"),"")</f>
        <v/>
      </c>
      <c r="C524" s="22">
        <f t="array" ref="C524">_xll.BDS(A524, "EQUITY_OFFERINGS", "sortdesc=3", "endrow=1")</f>
        <v/>
      </c>
      <c r="D524" s="16" t="n"/>
      <c r="E524" s="16" t="n"/>
      <c r="F524" s="16" t="n"/>
      <c r="G524" s="16" t="n"/>
      <c r="H524" s="16" t="n"/>
      <c r="I524" s="16">
        <f>IF(ISNUMBER(E524),IF(E524&gt;=Settings!$B$5,"Y","N"),"")</f>
        <v/>
      </c>
      <c r="J524" s="16">
        <f>IF(I524="Y","RECENT OFFERING/SPLIT/RIGHTS","")</f>
        <v/>
      </c>
    </row>
    <row r="525">
      <c r="A525" s="16">
        <f>'Rest Universe'!A526</f>
        <v/>
      </c>
      <c r="B525" s="22">
        <f>IFERROR(_xll.BDP(A525,"NAME"),"")</f>
        <v/>
      </c>
      <c r="C525" s="22">
        <f t="array" ref="C525">_xll.BDS(A525, "EQUITY_OFFERINGS", "sortdesc=3", "endrow=1")</f>
        <v/>
      </c>
      <c r="D525" s="16" t="n"/>
      <c r="E525" s="16" t="n"/>
      <c r="F525" s="16" t="n"/>
      <c r="G525" s="16" t="n"/>
      <c r="H525" s="16" t="n"/>
      <c r="I525" s="16">
        <f>IF(ISNUMBER(E525),IF(E525&gt;=Settings!$B$5,"Y","N"),"")</f>
        <v/>
      </c>
      <c r="J525" s="16">
        <f>IF(I525="Y","RECENT OFFERING/SPLIT/RIGHTS","")</f>
        <v/>
      </c>
    </row>
    <row r="526">
      <c r="A526" s="16">
        <f>'Rest Universe'!A527</f>
        <v/>
      </c>
      <c r="B526" s="22">
        <f>IFERROR(_xll.BDP(A526,"NAME"),"")</f>
        <v/>
      </c>
      <c r="C526" s="22">
        <f t="array" ref="C526">_xll.BDS(A526, "EQUITY_OFFERINGS", "sortdesc=3", "endrow=1")</f>
        <v/>
      </c>
      <c r="D526" s="16" t="n"/>
      <c r="E526" s="16" t="n"/>
      <c r="F526" s="16" t="n"/>
      <c r="G526" s="16" t="n"/>
      <c r="H526" s="16" t="n"/>
      <c r="I526" s="16">
        <f>IF(ISNUMBER(E526),IF(E526&gt;=Settings!$B$5,"Y","N"),"")</f>
        <v/>
      </c>
      <c r="J526" s="16">
        <f>IF(I526="Y","RECENT OFFERING/SPLIT/RIGHTS","")</f>
        <v/>
      </c>
    </row>
    <row r="527">
      <c r="A527" s="16">
        <f>'Rest Universe'!A528</f>
        <v/>
      </c>
      <c r="B527" s="22">
        <f>IFERROR(_xll.BDP(A527,"NAME"),"")</f>
        <v/>
      </c>
      <c r="C527" s="22">
        <f t="array" ref="C527">_xll.BDS(A527, "EQUITY_OFFERINGS", "sortdesc=3", "endrow=1")</f>
        <v/>
      </c>
      <c r="D527" s="16" t="n"/>
      <c r="E527" s="16" t="n"/>
      <c r="F527" s="16" t="n"/>
      <c r="G527" s="16" t="n"/>
      <c r="H527" s="16" t="n"/>
      <c r="I527" s="16">
        <f>IF(ISNUMBER(E527),IF(E527&gt;=Settings!$B$5,"Y","N"),"")</f>
        <v/>
      </c>
      <c r="J527" s="16">
        <f>IF(I527="Y","RECENT OFFERING/SPLIT/RIGHTS","")</f>
        <v/>
      </c>
    </row>
    <row r="528">
      <c r="A528" s="16">
        <f>'Rest Universe'!A529</f>
        <v/>
      </c>
      <c r="B528" s="22">
        <f>IFERROR(_xll.BDP(A528,"NAME"),"")</f>
        <v/>
      </c>
      <c r="C528" s="22">
        <f t="array" ref="C528">_xll.BDS(A528, "EQUITY_OFFERINGS", "sortdesc=3", "endrow=1")</f>
        <v/>
      </c>
      <c r="D528" s="16" t="n"/>
      <c r="E528" s="16" t="n"/>
      <c r="F528" s="16" t="n"/>
      <c r="G528" s="16" t="n"/>
      <c r="H528" s="16" t="n"/>
      <c r="I528" s="16">
        <f>IF(ISNUMBER(E528),IF(E528&gt;=Settings!$B$5,"Y","N"),"")</f>
        <v/>
      </c>
      <c r="J528" s="16">
        <f>IF(I528="Y","RECENT OFFERING/SPLIT/RIGHTS","")</f>
        <v/>
      </c>
    </row>
    <row r="529">
      <c r="A529" s="16">
        <f>'Rest Universe'!A530</f>
        <v/>
      </c>
      <c r="B529" s="22">
        <f>IFERROR(_xll.BDP(A529,"NAME"),"")</f>
        <v/>
      </c>
      <c r="C529" s="22">
        <f t="array" ref="C529">_xll.BDS(A529, "EQUITY_OFFERINGS", "sortdesc=3", "endrow=1")</f>
        <v/>
      </c>
      <c r="D529" s="16" t="n"/>
      <c r="E529" s="16" t="n"/>
      <c r="F529" s="16" t="n"/>
      <c r="G529" s="16" t="n"/>
      <c r="H529" s="16" t="n"/>
      <c r="I529" s="16">
        <f>IF(ISNUMBER(E529),IF(E529&gt;=Settings!$B$5,"Y","N"),"")</f>
        <v/>
      </c>
      <c r="J529" s="16">
        <f>IF(I529="Y","RECENT OFFERING/SPLIT/RIGHTS","")</f>
        <v/>
      </c>
    </row>
    <row r="530">
      <c r="A530" s="16">
        <f>'Rest Universe'!A531</f>
        <v/>
      </c>
      <c r="B530" s="22">
        <f>IFERROR(_xll.BDP(A530,"NAME"),"")</f>
        <v/>
      </c>
      <c r="C530" s="22">
        <f t="array" ref="C530">_xll.BDS(A530, "EQUITY_OFFERINGS", "sortdesc=3", "endrow=1")</f>
        <v/>
      </c>
      <c r="D530" s="16" t="n"/>
      <c r="E530" s="16" t="n"/>
      <c r="F530" s="16" t="n"/>
      <c r="G530" s="16" t="n"/>
      <c r="H530" s="16" t="n"/>
      <c r="I530" s="16">
        <f>IF(ISNUMBER(E530),IF(E530&gt;=Settings!$B$5,"Y","N"),"")</f>
        <v/>
      </c>
      <c r="J530" s="16">
        <f>IF(I530="Y","RECENT OFFERING/SPLIT/RIGHTS","")</f>
        <v/>
      </c>
    </row>
    <row r="531">
      <c r="A531" s="16">
        <f>'Rest Universe'!A532</f>
        <v/>
      </c>
      <c r="B531" s="22">
        <f>IFERROR(_xll.BDP(A531,"NAME"),"")</f>
        <v/>
      </c>
      <c r="C531" s="22">
        <f t="array" ref="C531">_xll.BDS(A531, "EQUITY_OFFERINGS", "sortdesc=3", "endrow=1")</f>
        <v/>
      </c>
      <c r="D531" s="16" t="n"/>
      <c r="E531" s="16" t="n"/>
      <c r="F531" s="16" t="n"/>
      <c r="G531" s="16" t="n"/>
      <c r="H531" s="16" t="n"/>
      <c r="I531" s="16">
        <f>IF(ISNUMBER(E531),IF(E531&gt;=Settings!$B$5,"Y","N"),"")</f>
        <v/>
      </c>
      <c r="J531" s="16">
        <f>IF(I531="Y","RECENT OFFERING/SPLIT/RIGHTS","")</f>
        <v/>
      </c>
    </row>
    <row r="532">
      <c r="A532" s="16">
        <f>'Rest Universe'!A533</f>
        <v/>
      </c>
      <c r="B532" s="22">
        <f>IFERROR(_xll.BDP(A532,"NAME"),"")</f>
        <v/>
      </c>
      <c r="C532" s="22">
        <f t="array" ref="C532">_xll.BDS(A532, "EQUITY_OFFERINGS", "sortdesc=3", "endrow=1")</f>
        <v/>
      </c>
      <c r="D532" s="16" t="n"/>
      <c r="E532" s="16" t="n"/>
      <c r="F532" s="16" t="n"/>
      <c r="G532" s="16" t="n"/>
      <c r="H532" s="16" t="n"/>
      <c r="I532" s="16">
        <f>IF(ISNUMBER(E532),IF(E532&gt;=Settings!$B$5,"Y","N"),"")</f>
        <v/>
      </c>
      <c r="J532" s="16">
        <f>IF(I532="Y","RECENT OFFERING/SPLIT/RIGHTS","")</f>
        <v/>
      </c>
    </row>
    <row r="533">
      <c r="A533" s="16">
        <f>'Rest Universe'!A534</f>
        <v/>
      </c>
      <c r="B533" s="22">
        <f>IFERROR(_xll.BDP(A533,"NAME"),"")</f>
        <v/>
      </c>
      <c r="C533" s="22">
        <f t="array" ref="C533">_xll.BDS(A533, "EQUITY_OFFERINGS", "sortdesc=3", "endrow=1")</f>
        <v/>
      </c>
      <c r="D533" s="16" t="n"/>
      <c r="E533" s="16" t="n"/>
      <c r="F533" s="16" t="n"/>
      <c r="G533" s="16" t="n"/>
      <c r="H533" s="16" t="n"/>
      <c r="I533" s="16">
        <f>IF(ISNUMBER(E533),IF(E533&gt;=Settings!$B$5,"Y","N"),"")</f>
        <v/>
      </c>
      <c r="J533" s="16">
        <f>IF(I533="Y","RECENT OFFERING/SPLIT/RIGHTS","")</f>
        <v/>
      </c>
    </row>
    <row r="534">
      <c r="A534" s="16">
        <f>'Rest Universe'!A535</f>
        <v/>
      </c>
      <c r="B534" s="22">
        <f>IFERROR(_xll.BDP(A534,"NAME"),"")</f>
        <v/>
      </c>
      <c r="C534" s="22">
        <f t="array" ref="C534">_xll.BDS(A534, "EQUITY_OFFERINGS", "sortdesc=3", "endrow=1")</f>
        <v/>
      </c>
      <c r="D534" s="16" t="n"/>
      <c r="E534" s="16" t="n"/>
      <c r="F534" s="16" t="n"/>
      <c r="G534" s="16" t="n"/>
      <c r="H534" s="16" t="n"/>
      <c r="I534" s="16">
        <f>IF(ISNUMBER(E534),IF(E534&gt;=Settings!$B$5,"Y","N"),"")</f>
        <v/>
      </c>
      <c r="J534" s="16">
        <f>IF(I534="Y","RECENT OFFERING/SPLIT/RIGHTS","")</f>
        <v/>
      </c>
    </row>
    <row r="535">
      <c r="A535" s="16">
        <f>'Rest Universe'!A536</f>
        <v/>
      </c>
      <c r="B535" s="22">
        <f>IFERROR(_xll.BDP(A535,"NAME"),"")</f>
        <v/>
      </c>
      <c r="C535" s="22">
        <f t="array" ref="C535">_xll.BDS(A535, "EQUITY_OFFERINGS", "sortdesc=3", "endrow=1")</f>
        <v/>
      </c>
      <c r="D535" s="16" t="n"/>
      <c r="E535" s="16" t="n"/>
      <c r="F535" s="16" t="n"/>
      <c r="G535" s="16" t="n"/>
      <c r="H535" s="16" t="n"/>
      <c r="I535" s="16">
        <f>IF(ISNUMBER(E535),IF(E535&gt;=Settings!$B$5,"Y","N"),"")</f>
        <v/>
      </c>
      <c r="J535" s="16">
        <f>IF(I535="Y","RECENT OFFERING/SPLIT/RIGHTS","")</f>
        <v/>
      </c>
    </row>
    <row r="536">
      <c r="A536" s="16">
        <f>'Rest Universe'!A537</f>
        <v/>
      </c>
      <c r="B536" s="22">
        <f>IFERROR(_xll.BDP(A536,"NAME"),"")</f>
        <v/>
      </c>
      <c r="C536" s="22">
        <f t="array" ref="C536">_xll.BDS(A536, "EQUITY_OFFERINGS", "sortdesc=3", "endrow=1")</f>
        <v/>
      </c>
      <c r="D536" s="16" t="n"/>
      <c r="E536" s="16" t="n"/>
      <c r="F536" s="16" t="n"/>
      <c r="G536" s="16" t="n"/>
      <c r="H536" s="16" t="n"/>
      <c r="I536" s="16">
        <f>IF(ISNUMBER(E536),IF(E536&gt;=Settings!$B$5,"Y","N"),"")</f>
        <v/>
      </c>
      <c r="J536" s="16">
        <f>IF(I536="Y","RECENT OFFERING/SPLIT/RIGHTS","")</f>
        <v/>
      </c>
    </row>
    <row r="537">
      <c r="A537" s="16">
        <f>'Rest Universe'!A538</f>
        <v/>
      </c>
      <c r="B537" s="22">
        <f>IFERROR(_xll.BDP(A537,"NAME"),"")</f>
        <v/>
      </c>
      <c r="C537" s="22">
        <f t="array" ref="C537">_xll.BDS(A537, "EQUITY_OFFERINGS", "sortdesc=3", "endrow=1")</f>
        <v/>
      </c>
      <c r="D537" s="16" t="n"/>
      <c r="E537" s="16" t="n"/>
      <c r="F537" s="16" t="n"/>
      <c r="G537" s="16" t="n"/>
      <c r="H537" s="16" t="n"/>
      <c r="I537" s="16">
        <f>IF(ISNUMBER(E537),IF(E537&gt;=Settings!$B$5,"Y","N"),"")</f>
        <v/>
      </c>
      <c r="J537" s="16">
        <f>IF(I537="Y","RECENT OFFERING/SPLIT/RIGHTS","")</f>
        <v/>
      </c>
    </row>
    <row r="538">
      <c r="A538" s="16">
        <f>'Rest Universe'!A539</f>
        <v/>
      </c>
      <c r="B538" s="22">
        <f>IFERROR(_xll.BDP(A538,"NAME"),"")</f>
        <v/>
      </c>
      <c r="C538" s="22">
        <f t="array" ref="C538">_xll.BDS(A538, "EQUITY_OFFERINGS", "sortdesc=3", "endrow=1")</f>
        <v/>
      </c>
      <c r="D538" s="16" t="n"/>
      <c r="E538" s="16" t="n"/>
      <c r="F538" s="16" t="n"/>
      <c r="G538" s="16" t="n"/>
      <c r="H538" s="16" t="n"/>
      <c r="I538" s="16">
        <f>IF(ISNUMBER(E538),IF(E538&gt;=Settings!$B$5,"Y","N"),"")</f>
        <v/>
      </c>
      <c r="J538" s="16">
        <f>IF(I538="Y","RECENT OFFERING/SPLIT/RIGHTS","")</f>
        <v/>
      </c>
    </row>
    <row r="539">
      <c r="A539" s="16">
        <f>'Rest Universe'!A540</f>
        <v/>
      </c>
      <c r="B539" s="22">
        <f>IFERROR(_xll.BDP(A539,"NAME"),"")</f>
        <v/>
      </c>
      <c r="C539" s="22">
        <f t="array" ref="C539">_xll.BDS(A539, "EQUITY_OFFERINGS", "sortdesc=3", "endrow=1")</f>
        <v/>
      </c>
      <c r="D539" s="16" t="n"/>
      <c r="E539" s="16" t="n"/>
      <c r="F539" s="16" t="n"/>
      <c r="G539" s="16" t="n"/>
      <c r="H539" s="16" t="n"/>
      <c r="I539" s="16">
        <f>IF(ISNUMBER(E539),IF(E539&gt;=Settings!$B$5,"Y","N"),"")</f>
        <v/>
      </c>
      <c r="J539" s="16">
        <f>IF(I539="Y","RECENT OFFERING/SPLIT/RIGHTS","")</f>
        <v/>
      </c>
    </row>
    <row r="540">
      <c r="A540" s="16">
        <f>'Rest Universe'!A541</f>
        <v/>
      </c>
      <c r="B540" s="22">
        <f>IFERROR(_xll.BDP(A540,"NAME"),"")</f>
        <v/>
      </c>
      <c r="C540" s="22">
        <f t="array" ref="C540">_xll.BDS(A540, "EQUITY_OFFERINGS", "sortdesc=3", "endrow=1")</f>
        <v/>
      </c>
      <c r="D540" s="16" t="n"/>
      <c r="E540" s="16" t="n"/>
      <c r="F540" s="16" t="n"/>
      <c r="G540" s="16" t="n"/>
      <c r="H540" s="16" t="n"/>
      <c r="I540" s="16">
        <f>IF(ISNUMBER(E540),IF(E540&gt;=Settings!$B$5,"Y","N"),"")</f>
        <v/>
      </c>
      <c r="J540" s="16">
        <f>IF(I540="Y","RECENT OFFERING/SPLIT/RIGHTS","")</f>
        <v/>
      </c>
    </row>
    <row r="541">
      <c r="A541" s="16">
        <f>'Rest Universe'!A542</f>
        <v/>
      </c>
      <c r="B541" s="22">
        <f>IFERROR(_xll.BDP(A541,"NAME"),"")</f>
        <v/>
      </c>
      <c r="C541" s="22">
        <f t="array" ref="C541">_xll.BDS(A541, "EQUITY_OFFERINGS", "sortdesc=3", "endrow=1")</f>
        <v/>
      </c>
      <c r="D541" s="16" t="n"/>
      <c r="E541" s="16" t="n"/>
      <c r="F541" s="16" t="n"/>
      <c r="G541" s="16" t="n"/>
      <c r="H541" s="16" t="n"/>
      <c r="I541" s="16">
        <f>IF(ISNUMBER(E541),IF(E541&gt;=Settings!$B$5,"Y","N"),"")</f>
        <v/>
      </c>
      <c r="J541" s="16">
        <f>IF(I541="Y","RECENT OFFERING/SPLIT/RIGHTS","")</f>
        <v/>
      </c>
    </row>
    <row r="542">
      <c r="A542" s="16">
        <f>'Rest Universe'!A543</f>
        <v/>
      </c>
      <c r="B542" s="22">
        <f>IFERROR(_xll.BDP(A542,"NAME"),"")</f>
        <v/>
      </c>
      <c r="C542" s="22">
        <f t="array" ref="C542">_xll.BDS(A542, "EQUITY_OFFERINGS", "sortdesc=3", "endrow=1")</f>
        <v/>
      </c>
      <c r="D542" s="16" t="n"/>
      <c r="E542" s="16" t="n"/>
      <c r="F542" s="16" t="n"/>
      <c r="G542" s="16" t="n"/>
      <c r="H542" s="16" t="n"/>
      <c r="I542" s="16">
        <f>IF(ISNUMBER(E542),IF(E542&gt;=Settings!$B$5,"Y","N"),"")</f>
        <v/>
      </c>
      <c r="J542" s="16">
        <f>IF(I542="Y","RECENT OFFERING/SPLIT/RIGHTS","")</f>
        <v/>
      </c>
    </row>
    <row r="543">
      <c r="A543" s="16">
        <f>'Rest Universe'!A544</f>
        <v/>
      </c>
      <c r="B543" s="22">
        <f>IFERROR(_xll.BDP(A543,"NAME"),"")</f>
        <v/>
      </c>
      <c r="C543" s="22">
        <f t="array" ref="C543">_xll.BDS(A543, "EQUITY_OFFERINGS", "sortdesc=3", "endrow=1")</f>
        <v/>
      </c>
      <c r="D543" s="16" t="n"/>
      <c r="E543" s="16" t="n"/>
      <c r="F543" s="16" t="n"/>
      <c r="G543" s="16" t="n"/>
      <c r="H543" s="16" t="n"/>
      <c r="I543" s="16">
        <f>IF(ISNUMBER(E543),IF(E543&gt;=Settings!$B$5,"Y","N"),"")</f>
        <v/>
      </c>
      <c r="J543" s="16">
        <f>IF(I543="Y","RECENT OFFERING/SPLIT/RIGHTS","")</f>
        <v/>
      </c>
    </row>
    <row r="544">
      <c r="A544" s="16">
        <f>'Rest Universe'!A545</f>
        <v/>
      </c>
      <c r="B544" s="22">
        <f>IFERROR(_xll.BDP(A544,"NAME"),"")</f>
        <v/>
      </c>
      <c r="C544" s="22">
        <f t="array" ref="C544">_xll.BDS(A544, "EQUITY_OFFERINGS", "sortdesc=3", "endrow=1")</f>
        <v/>
      </c>
      <c r="D544" s="16" t="n"/>
      <c r="E544" s="16" t="n"/>
      <c r="F544" s="16" t="n"/>
      <c r="G544" s="16" t="n"/>
      <c r="H544" s="16" t="n"/>
      <c r="I544" s="16">
        <f>IF(ISNUMBER(E544),IF(E544&gt;=Settings!$B$5,"Y","N"),"")</f>
        <v/>
      </c>
      <c r="J544" s="16">
        <f>IF(I544="Y","RECENT OFFERING/SPLIT/RIGHTS","")</f>
        <v/>
      </c>
    </row>
    <row r="545">
      <c r="A545" s="16">
        <f>'Rest Universe'!A546</f>
        <v/>
      </c>
      <c r="B545" s="22">
        <f>IFERROR(_xll.BDP(A545,"NAME"),"")</f>
        <v/>
      </c>
      <c r="C545" s="22">
        <f t="array" ref="C545">_xll.BDS(A545, "EQUITY_OFFERINGS", "sortdesc=3", "endrow=1")</f>
        <v/>
      </c>
      <c r="D545" s="16" t="n"/>
      <c r="E545" s="16" t="n"/>
      <c r="F545" s="16" t="n"/>
      <c r="G545" s="16" t="n"/>
      <c r="H545" s="16" t="n"/>
      <c r="I545" s="16">
        <f>IF(ISNUMBER(E545),IF(E545&gt;=Settings!$B$5,"Y","N"),"")</f>
        <v/>
      </c>
      <c r="J545" s="16">
        <f>IF(I545="Y","RECENT OFFERING/SPLIT/RIGHTS","")</f>
        <v/>
      </c>
    </row>
    <row r="546">
      <c r="A546" s="16">
        <f>'Rest Universe'!A547</f>
        <v/>
      </c>
      <c r="B546" s="22">
        <f>IFERROR(_xll.BDP(A546,"NAME"),"")</f>
        <v/>
      </c>
      <c r="C546" s="22">
        <f t="array" ref="C546">_xll.BDS(A546, "EQUITY_OFFERINGS", "sortdesc=3", "endrow=1")</f>
        <v/>
      </c>
      <c r="D546" s="16" t="n"/>
      <c r="E546" s="16" t="n"/>
      <c r="F546" s="16" t="n"/>
      <c r="G546" s="16" t="n"/>
      <c r="H546" s="16" t="n"/>
      <c r="I546" s="16">
        <f>IF(ISNUMBER(E546),IF(E546&gt;=Settings!$B$5,"Y","N"),"")</f>
        <v/>
      </c>
      <c r="J546" s="16">
        <f>IF(I546="Y","RECENT OFFERING/SPLIT/RIGHTS","")</f>
        <v/>
      </c>
    </row>
    <row r="547">
      <c r="A547" s="16">
        <f>'Rest Universe'!A548</f>
        <v/>
      </c>
      <c r="B547" s="22">
        <f>IFERROR(_xll.BDP(A547,"NAME"),"")</f>
        <v/>
      </c>
      <c r="C547" s="22">
        <f t="array" ref="C547">_xll.BDS(A547, "EQUITY_OFFERINGS", "sortdesc=3", "endrow=1")</f>
        <v/>
      </c>
      <c r="D547" s="16" t="n"/>
      <c r="E547" s="16" t="n"/>
      <c r="F547" s="16" t="n"/>
      <c r="G547" s="16" t="n"/>
      <c r="H547" s="16" t="n"/>
      <c r="I547" s="16">
        <f>IF(ISNUMBER(E547),IF(E547&gt;=Settings!$B$5,"Y","N"),"")</f>
        <v/>
      </c>
      <c r="J547" s="16">
        <f>IF(I547="Y","RECENT OFFERING/SPLIT/RIGHTS","")</f>
        <v/>
      </c>
    </row>
    <row r="548">
      <c r="A548" s="16">
        <f>'Rest Universe'!A549</f>
        <v/>
      </c>
      <c r="B548" s="22">
        <f>IFERROR(_xll.BDP(A548,"NAME"),"")</f>
        <v/>
      </c>
      <c r="C548" s="22">
        <f t="array" ref="C548">_xll.BDS(A548, "EQUITY_OFFERINGS", "sortdesc=3", "endrow=1")</f>
        <v/>
      </c>
      <c r="D548" s="16" t="n"/>
      <c r="E548" s="16" t="n"/>
      <c r="F548" s="16" t="n"/>
      <c r="G548" s="16" t="n"/>
      <c r="H548" s="16" t="n"/>
      <c r="I548" s="16">
        <f>IF(ISNUMBER(E548),IF(E548&gt;=Settings!$B$5,"Y","N"),"")</f>
        <v/>
      </c>
      <c r="J548" s="16">
        <f>IF(I548="Y","RECENT OFFERING/SPLIT/RIGHTS","")</f>
        <v/>
      </c>
    </row>
    <row r="549">
      <c r="A549" s="16">
        <f>'Rest Universe'!A550</f>
        <v/>
      </c>
      <c r="B549" s="22">
        <f>IFERROR(_xll.BDP(A549,"NAME"),"")</f>
        <v/>
      </c>
      <c r="C549" s="22">
        <f t="array" ref="C549">_xll.BDS(A549, "EQUITY_OFFERINGS", "sortdesc=3", "endrow=1")</f>
        <v/>
      </c>
      <c r="D549" s="16" t="n"/>
      <c r="E549" s="16" t="n"/>
      <c r="F549" s="16" t="n"/>
      <c r="G549" s="16" t="n"/>
      <c r="H549" s="16" t="n"/>
      <c r="I549" s="16">
        <f>IF(ISNUMBER(E549),IF(E549&gt;=Settings!$B$5,"Y","N"),"")</f>
        <v/>
      </c>
      <c r="J549" s="16">
        <f>IF(I549="Y","RECENT OFFERING/SPLIT/RIGHTS","")</f>
        <v/>
      </c>
    </row>
    <row r="550">
      <c r="A550" s="16">
        <f>'Rest Universe'!A551</f>
        <v/>
      </c>
      <c r="B550" s="22">
        <f>IFERROR(_xll.BDP(A550,"NAME"),"")</f>
        <v/>
      </c>
      <c r="C550" s="22">
        <f t="array" ref="C550">_xll.BDS(A550, "EQUITY_OFFERINGS", "sortdesc=3", "endrow=1")</f>
        <v/>
      </c>
      <c r="D550" s="16" t="n"/>
      <c r="E550" s="16" t="n"/>
      <c r="F550" s="16" t="n"/>
      <c r="G550" s="16" t="n"/>
      <c r="H550" s="16" t="n"/>
      <c r="I550" s="16">
        <f>IF(ISNUMBER(E550),IF(E550&gt;=Settings!$B$5,"Y","N"),"")</f>
        <v/>
      </c>
      <c r="J550" s="16">
        <f>IF(I550="Y","RECENT OFFERING/SPLIT/RIGHTS","")</f>
        <v/>
      </c>
    </row>
    <row r="551">
      <c r="A551" s="16">
        <f>'Rest Universe'!A552</f>
        <v/>
      </c>
      <c r="B551" s="22">
        <f>IFERROR(_xll.BDP(A551,"NAME"),"")</f>
        <v/>
      </c>
      <c r="C551" s="22">
        <f t="array" ref="C551">_xll.BDS(A551, "EQUITY_OFFERINGS", "sortdesc=3", "endrow=1")</f>
        <v/>
      </c>
      <c r="D551" s="16" t="n"/>
      <c r="E551" s="16" t="n"/>
      <c r="F551" s="16" t="n"/>
      <c r="G551" s="16" t="n"/>
      <c r="H551" s="16" t="n"/>
      <c r="I551" s="16">
        <f>IF(ISNUMBER(E551),IF(E551&gt;=Settings!$B$5,"Y","N"),"")</f>
        <v/>
      </c>
      <c r="J551" s="16">
        <f>IF(I551="Y","RECENT OFFERING/SPLIT/RIGHTS","")</f>
        <v/>
      </c>
    </row>
    <row r="552">
      <c r="A552" s="16">
        <f>'Rest Universe'!A553</f>
        <v/>
      </c>
      <c r="B552" s="22">
        <f>IFERROR(_xll.BDP(A552,"NAME"),"")</f>
        <v/>
      </c>
      <c r="C552" s="22">
        <f t="array" ref="C552">_xll.BDS(A552, "EQUITY_OFFERINGS", "sortdesc=3", "endrow=1")</f>
        <v/>
      </c>
      <c r="D552" s="16" t="n"/>
      <c r="E552" s="16" t="n"/>
      <c r="F552" s="16" t="n"/>
      <c r="G552" s="16" t="n"/>
      <c r="H552" s="16" t="n"/>
      <c r="I552" s="16">
        <f>IF(ISNUMBER(E552),IF(E552&gt;=Settings!$B$5,"Y","N"),"")</f>
        <v/>
      </c>
      <c r="J552" s="16">
        <f>IF(I552="Y","RECENT OFFERING/SPLIT/RIGHTS","")</f>
        <v/>
      </c>
    </row>
    <row r="553">
      <c r="A553" s="16">
        <f>'Rest Universe'!A554</f>
        <v/>
      </c>
      <c r="B553" s="22">
        <f>IFERROR(_xll.BDP(A553,"NAME"),"")</f>
        <v/>
      </c>
      <c r="C553" s="22">
        <f t="array" ref="C553">_xll.BDS(A553, "EQUITY_OFFERINGS", "sortdesc=3", "endrow=1")</f>
        <v/>
      </c>
      <c r="D553" s="16" t="n"/>
      <c r="E553" s="16" t="n"/>
      <c r="F553" s="16" t="n"/>
      <c r="G553" s="16" t="n"/>
      <c r="H553" s="16" t="n"/>
      <c r="I553" s="16">
        <f>IF(ISNUMBER(E553),IF(E553&gt;=Settings!$B$5,"Y","N"),"")</f>
        <v/>
      </c>
      <c r="J553" s="16">
        <f>IF(I553="Y","RECENT OFFERING/SPLIT/RIGHTS","")</f>
        <v/>
      </c>
    </row>
    <row r="554">
      <c r="A554" s="16">
        <f>'Rest Universe'!A555</f>
        <v/>
      </c>
      <c r="B554" s="22">
        <f>IFERROR(_xll.BDP(A554,"NAME"),"")</f>
        <v/>
      </c>
      <c r="C554" s="22">
        <f t="array" ref="C554">_xll.BDS(A554, "EQUITY_OFFERINGS", "sortdesc=3", "endrow=1")</f>
        <v/>
      </c>
      <c r="D554" s="16" t="n"/>
      <c r="E554" s="16" t="n"/>
      <c r="F554" s="16" t="n"/>
      <c r="G554" s="16" t="n"/>
      <c r="H554" s="16" t="n"/>
      <c r="I554" s="16">
        <f>IF(ISNUMBER(E554),IF(E554&gt;=Settings!$B$5,"Y","N"),"")</f>
        <v/>
      </c>
      <c r="J554" s="16">
        <f>IF(I554="Y","RECENT OFFERING/SPLIT/RIGHTS","")</f>
        <v/>
      </c>
    </row>
    <row r="555">
      <c r="A555" s="16">
        <f>'Rest Universe'!A556</f>
        <v/>
      </c>
      <c r="B555" s="22">
        <f>IFERROR(_xll.BDP(A555,"NAME"),"")</f>
        <v/>
      </c>
      <c r="C555" s="22">
        <f t="array" ref="C555">_xll.BDS(A555, "EQUITY_OFFERINGS", "sortdesc=3", "endrow=1")</f>
        <v/>
      </c>
      <c r="D555" s="16" t="n"/>
      <c r="E555" s="16" t="n"/>
      <c r="F555" s="16" t="n"/>
      <c r="G555" s="16" t="n"/>
      <c r="H555" s="16" t="n"/>
      <c r="I555" s="16">
        <f>IF(ISNUMBER(E555),IF(E555&gt;=Settings!$B$5,"Y","N"),"")</f>
        <v/>
      </c>
      <c r="J555" s="16">
        <f>IF(I555="Y","RECENT OFFERING/SPLIT/RIGHTS","")</f>
        <v/>
      </c>
    </row>
    <row r="556">
      <c r="A556" s="16">
        <f>'Rest Universe'!A557</f>
        <v/>
      </c>
      <c r="B556" s="22">
        <f>IFERROR(_xll.BDP(A556,"NAME"),"")</f>
        <v/>
      </c>
      <c r="C556" s="22">
        <f t="array" ref="C556">_xll.BDS(A556, "EQUITY_OFFERINGS", "sortdesc=3", "endrow=1")</f>
        <v/>
      </c>
      <c r="D556" s="16" t="n"/>
      <c r="E556" s="16" t="n"/>
      <c r="F556" s="16" t="n"/>
      <c r="G556" s="16" t="n"/>
      <c r="H556" s="16" t="n"/>
      <c r="I556" s="16">
        <f>IF(ISNUMBER(E556),IF(E556&gt;=Settings!$B$5,"Y","N"),"")</f>
        <v/>
      </c>
      <c r="J556" s="16">
        <f>IF(I556="Y","RECENT OFFERING/SPLIT/RIGHTS","")</f>
        <v/>
      </c>
    </row>
    <row r="557">
      <c r="A557" s="16">
        <f>'Rest Universe'!A558</f>
        <v/>
      </c>
      <c r="B557" s="22">
        <f>IFERROR(_xll.BDP(A557,"NAME"),"")</f>
        <v/>
      </c>
      <c r="C557" s="22">
        <f t="array" ref="C557">_xll.BDS(A557, "EQUITY_OFFERINGS", "sortdesc=3", "endrow=1")</f>
        <v/>
      </c>
      <c r="D557" s="16" t="n"/>
      <c r="E557" s="16" t="n"/>
      <c r="F557" s="16" t="n"/>
      <c r="G557" s="16" t="n"/>
      <c r="H557" s="16" t="n"/>
      <c r="I557" s="16">
        <f>IF(ISNUMBER(E557),IF(E557&gt;=Settings!$B$5,"Y","N"),"")</f>
        <v/>
      </c>
      <c r="J557" s="16">
        <f>IF(I557="Y","RECENT OFFERING/SPLIT/RIGHTS","")</f>
        <v/>
      </c>
    </row>
    <row r="558">
      <c r="A558" s="16">
        <f>'Rest Universe'!A559</f>
        <v/>
      </c>
      <c r="B558" s="22">
        <f>IFERROR(_xll.BDP(A558,"NAME"),"")</f>
        <v/>
      </c>
      <c r="C558" s="22">
        <f t="array" ref="C558">_xll.BDS(A558, "EQUITY_OFFERINGS", "sortdesc=3", "endrow=1")</f>
        <v/>
      </c>
      <c r="D558" s="16" t="n"/>
      <c r="E558" s="16" t="n"/>
      <c r="F558" s="16" t="n"/>
      <c r="G558" s="16" t="n"/>
      <c r="H558" s="16" t="n"/>
      <c r="I558" s="16">
        <f>IF(ISNUMBER(E558),IF(E558&gt;=Settings!$B$5,"Y","N"),"")</f>
        <v/>
      </c>
      <c r="J558" s="16">
        <f>IF(I558="Y","RECENT OFFERING/SPLIT/RIGHTS","")</f>
        <v/>
      </c>
    </row>
    <row r="559">
      <c r="A559" s="16">
        <f>'Rest Universe'!A560</f>
        <v/>
      </c>
      <c r="B559" s="22">
        <f>IFERROR(_xll.BDP(A559,"NAME"),"")</f>
        <v/>
      </c>
      <c r="C559" s="22">
        <f t="array" ref="C559">_xll.BDS(A559, "EQUITY_OFFERINGS", "sortdesc=3", "endrow=1")</f>
        <v/>
      </c>
      <c r="D559" s="16" t="n"/>
      <c r="E559" s="16" t="n"/>
      <c r="F559" s="16" t="n"/>
      <c r="G559" s="16" t="n"/>
      <c r="H559" s="16" t="n"/>
      <c r="I559" s="16">
        <f>IF(ISNUMBER(E559),IF(E559&gt;=Settings!$B$5,"Y","N"),"")</f>
        <v/>
      </c>
      <c r="J559" s="16">
        <f>IF(I559="Y","RECENT OFFERING/SPLIT/RIGHTS","")</f>
        <v/>
      </c>
    </row>
    <row r="560">
      <c r="A560" s="16">
        <f>'Rest Universe'!A561</f>
        <v/>
      </c>
      <c r="B560" s="22">
        <f>IFERROR(_xll.BDP(A560,"NAME"),"")</f>
        <v/>
      </c>
      <c r="C560" s="22">
        <f t="array" ref="C560">_xll.BDS(A560, "EQUITY_OFFERINGS", "sortdesc=3", "endrow=1")</f>
        <v/>
      </c>
      <c r="D560" s="16" t="n"/>
      <c r="E560" s="16" t="n"/>
      <c r="F560" s="16" t="n"/>
      <c r="G560" s="16" t="n"/>
      <c r="H560" s="16" t="n"/>
      <c r="I560" s="16">
        <f>IF(ISNUMBER(E560),IF(E560&gt;=Settings!$B$5,"Y","N"),"")</f>
        <v/>
      </c>
      <c r="J560" s="16">
        <f>IF(I560="Y","RECENT OFFERING/SPLIT/RIGHTS","")</f>
        <v/>
      </c>
    </row>
    <row r="561">
      <c r="A561" s="16">
        <f>'Rest Universe'!A562</f>
        <v/>
      </c>
      <c r="B561" s="22">
        <f>IFERROR(_xll.BDP(A561,"NAME"),"")</f>
        <v/>
      </c>
      <c r="C561" s="22">
        <f t="array" ref="C561">_xll.BDS(A561, "EQUITY_OFFERINGS", "sortdesc=3", "endrow=1")</f>
        <v/>
      </c>
      <c r="D561" s="16" t="n"/>
      <c r="E561" s="16" t="n"/>
      <c r="F561" s="16" t="n"/>
      <c r="G561" s="16" t="n"/>
      <c r="H561" s="16" t="n"/>
      <c r="I561" s="16">
        <f>IF(ISNUMBER(E561),IF(E561&gt;=Settings!$B$5,"Y","N"),"")</f>
        <v/>
      </c>
      <c r="J561" s="16">
        <f>IF(I561="Y","RECENT OFFERING/SPLIT/RIGHTS","")</f>
        <v/>
      </c>
    </row>
    <row r="562">
      <c r="A562" s="16">
        <f>'Rest Universe'!A563</f>
        <v/>
      </c>
      <c r="B562" s="22">
        <f>IFERROR(_xll.BDP(A562,"NAME"),"")</f>
        <v/>
      </c>
      <c r="C562" s="22">
        <f t="array" ref="C562">_xll.BDS(A562, "EQUITY_OFFERINGS", "sortdesc=3", "endrow=1")</f>
        <v/>
      </c>
      <c r="D562" s="16" t="n"/>
      <c r="E562" s="16" t="n"/>
      <c r="F562" s="16" t="n"/>
      <c r="G562" s="16" t="n"/>
      <c r="H562" s="16" t="n"/>
      <c r="I562" s="16">
        <f>IF(ISNUMBER(E562),IF(E562&gt;=Settings!$B$5,"Y","N"),"")</f>
        <v/>
      </c>
      <c r="J562" s="16">
        <f>IF(I562="Y","RECENT OFFERING/SPLIT/RIGHTS","")</f>
        <v/>
      </c>
    </row>
    <row r="563">
      <c r="A563" s="16">
        <f>'Rest Universe'!A564</f>
        <v/>
      </c>
      <c r="B563" s="22">
        <f>IFERROR(_xll.BDP(A563,"NAME"),"")</f>
        <v/>
      </c>
      <c r="C563" s="22">
        <f t="array" ref="C563">_xll.BDS(A563, "EQUITY_OFFERINGS", "sortdesc=3", "endrow=1")</f>
        <v/>
      </c>
      <c r="D563" s="16" t="n"/>
      <c r="E563" s="16" t="n"/>
      <c r="F563" s="16" t="n"/>
      <c r="G563" s="16" t="n"/>
      <c r="H563" s="16" t="n"/>
      <c r="I563" s="16">
        <f>IF(ISNUMBER(E563),IF(E563&gt;=Settings!$B$5,"Y","N"),"")</f>
        <v/>
      </c>
      <c r="J563" s="16">
        <f>IF(I563="Y","RECENT OFFERING/SPLIT/RIGHTS","")</f>
        <v/>
      </c>
    </row>
    <row r="564">
      <c r="A564" s="16">
        <f>'Rest Universe'!A565</f>
        <v/>
      </c>
      <c r="B564" s="22">
        <f>IFERROR(_xll.BDP(A564,"NAME"),"")</f>
        <v/>
      </c>
      <c r="C564" s="22">
        <f t="array" ref="C564">_xll.BDS(A564, "EQUITY_OFFERINGS", "sortdesc=3", "endrow=1")</f>
        <v/>
      </c>
      <c r="D564" s="16" t="n"/>
      <c r="E564" s="16" t="n"/>
      <c r="F564" s="16" t="n"/>
      <c r="G564" s="16" t="n"/>
      <c r="H564" s="16" t="n"/>
      <c r="I564" s="16">
        <f>IF(ISNUMBER(E564),IF(E564&gt;=Settings!$B$5,"Y","N"),"")</f>
        <v/>
      </c>
      <c r="J564" s="16">
        <f>IF(I564="Y","RECENT OFFERING/SPLIT/RIGHTS","")</f>
        <v/>
      </c>
    </row>
    <row r="565">
      <c r="A565" s="16">
        <f>'Rest Universe'!A566</f>
        <v/>
      </c>
      <c r="B565" s="22">
        <f>IFERROR(_xll.BDP(A565,"NAME"),"")</f>
        <v/>
      </c>
      <c r="C565" s="22">
        <f t="array" ref="C565">_xll.BDS(A565, "EQUITY_OFFERINGS", "sortdesc=3", "endrow=1")</f>
        <v/>
      </c>
      <c r="D565" s="16" t="n"/>
      <c r="E565" s="16" t="n"/>
      <c r="F565" s="16" t="n"/>
      <c r="G565" s="16" t="n"/>
      <c r="H565" s="16" t="n"/>
      <c r="I565" s="16">
        <f>IF(ISNUMBER(E565),IF(E565&gt;=Settings!$B$5,"Y","N"),"")</f>
        <v/>
      </c>
      <c r="J565" s="16">
        <f>IF(I565="Y","RECENT OFFERING/SPLIT/RIGHTS","")</f>
        <v/>
      </c>
    </row>
    <row r="566">
      <c r="A566" s="16">
        <f>'Rest Universe'!A567</f>
        <v/>
      </c>
      <c r="B566" s="22">
        <f>IFERROR(_xll.BDP(A566,"NAME"),"")</f>
        <v/>
      </c>
      <c r="C566" s="22">
        <f t="array" ref="C566">_xll.BDS(A566, "EQUITY_OFFERINGS", "sortdesc=3", "endrow=1")</f>
        <v/>
      </c>
      <c r="D566" s="16" t="n"/>
      <c r="E566" s="16" t="n"/>
      <c r="F566" s="16" t="n"/>
      <c r="G566" s="16" t="n"/>
      <c r="H566" s="16" t="n"/>
      <c r="I566" s="16">
        <f>IF(ISNUMBER(E566),IF(E566&gt;=Settings!$B$5,"Y","N"),"")</f>
        <v/>
      </c>
      <c r="J566" s="16">
        <f>IF(I566="Y","RECENT OFFERING/SPLIT/RIGHTS","")</f>
        <v/>
      </c>
    </row>
    <row r="567">
      <c r="A567" s="16">
        <f>'Rest Universe'!A568</f>
        <v/>
      </c>
      <c r="B567" s="22">
        <f>IFERROR(_xll.BDP(A567,"NAME"),"")</f>
        <v/>
      </c>
      <c r="C567" s="22">
        <f t="array" ref="C567">_xll.BDS(A567, "EQUITY_OFFERINGS", "sortdesc=3", "endrow=1")</f>
        <v/>
      </c>
      <c r="D567" s="16" t="n"/>
      <c r="E567" s="16" t="n"/>
      <c r="F567" s="16" t="n"/>
      <c r="G567" s="16" t="n"/>
      <c r="H567" s="16" t="n"/>
      <c r="I567" s="16">
        <f>IF(ISNUMBER(E567),IF(E567&gt;=Settings!$B$5,"Y","N"),"")</f>
        <v/>
      </c>
      <c r="J567" s="16">
        <f>IF(I567="Y","RECENT OFFERING/SPLIT/RIGHTS","")</f>
        <v/>
      </c>
    </row>
    <row r="568">
      <c r="A568" s="16">
        <f>'Rest Universe'!A569</f>
        <v/>
      </c>
      <c r="B568" s="22">
        <f>IFERROR(_xll.BDP(A568,"NAME"),"")</f>
        <v/>
      </c>
      <c r="C568" s="22">
        <f t="array" ref="C568">_xll.BDS(A568, "EQUITY_OFFERINGS", "sortdesc=3", "endrow=1")</f>
        <v/>
      </c>
      <c r="D568" s="16" t="n"/>
      <c r="E568" s="16" t="n"/>
      <c r="F568" s="16" t="n"/>
      <c r="G568" s="16" t="n"/>
      <c r="H568" s="16" t="n"/>
      <c r="I568" s="16">
        <f>IF(ISNUMBER(E568),IF(E568&gt;=Settings!$B$5,"Y","N"),"")</f>
        <v/>
      </c>
      <c r="J568" s="16">
        <f>IF(I568="Y","RECENT OFFERING/SPLIT/RIGHTS","")</f>
        <v/>
      </c>
    </row>
    <row r="569">
      <c r="A569" s="16">
        <f>'Rest Universe'!A570</f>
        <v/>
      </c>
      <c r="B569" s="22">
        <f>IFERROR(_xll.BDP(A569,"NAME"),"")</f>
        <v/>
      </c>
      <c r="C569" s="22">
        <f t="array" ref="C569">_xll.BDS(A569, "EQUITY_OFFERINGS", "sortdesc=3", "endrow=1")</f>
        <v/>
      </c>
      <c r="D569" s="16" t="n"/>
      <c r="E569" s="16" t="n"/>
      <c r="F569" s="16" t="n"/>
      <c r="G569" s="16" t="n"/>
      <c r="H569" s="16" t="n"/>
      <c r="I569" s="16">
        <f>IF(ISNUMBER(E569),IF(E569&gt;=Settings!$B$5,"Y","N"),"")</f>
        <v/>
      </c>
      <c r="J569" s="16">
        <f>IF(I569="Y","RECENT OFFERING/SPLIT/RIGHTS","")</f>
        <v/>
      </c>
    </row>
    <row r="570">
      <c r="A570" s="16">
        <f>'Rest Universe'!A571</f>
        <v/>
      </c>
      <c r="B570" s="22">
        <f>IFERROR(_xll.BDP(A570,"NAME"),"")</f>
        <v/>
      </c>
      <c r="C570" s="22">
        <f t="array" ref="C570">_xll.BDS(A570, "EQUITY_OFFERINGS", "sortdesc=3", "endrow=1")</f>
        <v/>
      </c>
      <c r="D570" s="16" t="n"/>
      <c r="E570" s="16" t="n"/>
      <c r="F570" s="16" t="n"/>
      <c r="G570" s="16" t="n"/>
      <c r="H570" s="16" t="n"/>
      <c r="I570" s="16">
        <f>IF(ISNUMBER(E570),IF(E570&gt;=Settings!$B$5,"Y","N"),"")</f>
        <v/>
      </c>
      <c r="J570" s="16">
        <f>IF(I570="Y","RECENT OFFERING/SPLIT/RIGHTS","")</f>
        <v/>
      </c>
    </row>
    <row r="571">
      <c r="A571" s="16">
        <f>'Rest Universe'!A572</f>
        <v/>
      </c>
      <c r="B571" s="22">
        <f>IFERROR(_xll.BDP(A571,"NAME"),"")</f>
        <v/>
      </c>
      <c r="C571" s="22">
        <f t="array" ref="C571">_xll.BDS(A571, "EQUITY_OFFERINGS", "sortdesc=3", "endrow=1")</f>
        <v/>
      </c>
      <c r="D571" s="16" t="n"/>
      <c r="E571" s="16" t="n"/>
      <c r="F571" s="16" t="n"/>
      <c r="G571" s="16" t="n"/>
      <c r="H571" s="16" t="n"/>
      <c r="I571" s="16">
        <f>IF(ISNUMBER(E571),IF(E571&gt;=Settings!$B$5,"Y","N"),"")</f>
        <v/>
      </c>
      <c r="J571" s="16">
        <f>IF(I571="Y","RECENT OFFERING/SPLIT/RIGHTS","")</f>
        <v/>
      </c>
    </row>
    <row r="572">
      <c r="A572" s="16">
        <f>'Rest Universe'!A573</f>
        <v/>
      </c>
      <c r="B572" s="22">
        <f>IFERROR(_xll.BDP(A572,"NAME"),"")</f>
        <v/>
      </c>
      <c r="C572" s="22">
        <f t="array" ref="C572">_xll.BDS(A572, "EQUITY_OFFERINGS", "sortdesc=3", "endrow=1")</f>
        <v/>
      </c>
      <c r="D572" s="16" t="n"/>
      <c r="E572" s="16" t="n"/>
      <c r="F572" s="16" t="n"/>
      <c r="G572" s="16" t="n"/>
      <c r="H572" s="16" t="n"/>
      <c r="I572" s="16">
        <f>IF(ISNUMBER(E572),IF(E572&gt;=Settings!$B$5,"Y","N"),"")</f>
        <v/>
      </c>
      <c r="J572" s="16">
        <f>IF(I572="Y","RECENT OFFERING/SPLIT/RIGHTS","")</f>
        <v/>
      </c>
    </row>
    <row r="573">
      <c r="A573" s="16">
        <f>'Rest Universe'!A574</f>
        <v/>
      </c>
      <c r="B573" s="22">
        <f>IFERROR(_xll.BDP(A573,"NAME"),"")</f>
        <v/>
      </c>
      <c r="C573" s="22">
        <f t="array" ref="C573">_xll.BDS(A573, "EQUITY_OFFERINGS", "sortdesc=3", "endrow=1")</f>
        <v/>
      </c>
      <c r="D573" s="16" t="n"/>
      <c r="E573" s="16" t="n"/>
      <c r="F573" s="16" t="n"/>
      <c r="G573" s="16" t="n"/>
      <c r="H573" s="16" t="n"/>
      <c r="I573" s="16">
        <f>IF(ISNUMBER(E573),IF(E573&gt;=Settings!$B$5,"Y","N"),"")</f>
        <v/>
      </c>
      <c r="J573" s="16">
        <f>IF(I573="Y","RECENT OFFERING/SPLIT/RIGHTS","")</f>
        <v/>
      </c>
    </row>
    <row r="574">
      <c r="A574" s="16">
        <f>'Rest Universe'!A575</f>
        <v/>
      </c>
      <c r="B574" s="22">
        <f>IFERROR(_xll.BDP(A574,"NAME"),"")</f>
        <v/>
      </c>
      <c r="C574" s="22">
        <f t="array" ref="C574">_xll.BDS(A574, "EQUITY_OFFERINGS", "sortdesc=3", "endrow=1")</f>
        <v/>
      </c>
      <c r="D574" s="16" t="n"/>
      <c r="E574" s="16" t="n"/>
      <c r="F574" s="16" t="n"/>
      <c r="G574" s="16" t="n"/>
      <c r="H574" s="16" t="n"/>
      <c r="I574" s="16">
        <f>IF(ISNUMBER(E574),IF(E574&gt;=Settings!$B$5,"Y","N"),"")</f>
        <v/>
      </c>
      <c r="J574" s="16">
        <f>IF(I574="Y","RECENT OFFERING/SPLIT/RIGHTS","")</f>
        <v/>
      </c>
    </row>
    <row r="575">
      <c r="A575" s="16">
        <f>'Rest Universe'!A576</f>
        <v/>
      </c>
      <c r="B575" s="22">
        <f>IFERROR(_xll.BDP(A575,"NAME"),"")</f>
        <v/>
      </c>
      <c r="C575" s="22">
        <f t="array" ref="C575">_xll.BDS(A575, "EQUITY_OFFERINGS", "sortdesc=3", "endrow=1")</f>
        <v/>
      </c>
      <c r="D575" s="16" t="n"/>
      <c r="E575" s="16" t="n"/>
      <c r="F575" s="16" t="n"/>
      <c r="G575" s="16" t="n"/>
      <c r="H575" s="16" t="n"/>
      <c r="I575" s="16">
        <f>IF(ISNUMBER(E575),IF(E575&gt;=Settings!$B$5,"Y","N"),"")</f>
        <v/>
      </c>
      <c r="J575" s="16">
        <f>IF(I575="Y","RECENT OFFERING/SPLIT/RIGHTS","")</f>
        <v/>
      </c>
    </row>
    <row r="576">
      <c r="A576" s="16">
        <f>'Rest Universe'!A577</f>
        <v/>
      </c>
      <c r="B576" s="22">
        <f>IFERROR(_xll.BDP(A576,"NAME"),"")</f>
        <v/>
      </c>
      <c r="C576" s="22">
        <f t="array" ref="C576">_xll.BDS(A576, "EQUITY_OFFERINGS", "sortdesc=3", "endrow=1")</f>
        <v/>
      </c>
      <c r="D576" s="16" t="n"/>
      <c r="E576" s="16" t="n"/>
      <c r="F576" s="16" t="n"/>
      <c r="G576" s="16" t="n"/>
      <c r="H576" s="16" t="n"/>
      <c r="I576" s="16">
        <f>IF(ISNUMBER(E576),IF(E576&gt;=Settings!$B$5,"Y","N"),"")</f>
        <v/>
      </c>
      <c r="J576" s="16">
        <f>IF(I576="Y","RECENT OFFERING/SPLIT/RIGHTS","")</f>
        <v/>
      </c>
    </row>
    <row r="577">
      <c r="A577" s="16">
        <f>'Rest Universe'!A578</f>
        <v/>
      </c>
      <c r="B577" s="22">
        <f>IFERROR(_xll.BDP(A577,"NAME"),"")</f>
        <v/>
      </c>
      <c r="C577" s="22">
        <f t="array" ref="C577">_xll.BDS(A577, "EQUITY_OFFERINGS", "sortdesc=3", "endrow=1")</f>
        <v/>
      </c>
      <c r="D577" s="16" t="n"/>
      <c r="E577" s="16" t="n"/>
      <c r="F577" s="16" t="n"/>
      <c r="G577" s="16" t="n"/>
      <c r="H577" s="16" t="n"/>
      <c r="I577" s="16">
        <f>IF(ISNUMBER(E577),IF(E577&gt;=Settings!$B$5,"Y","N"),"")</f>
        <v/>
      </c>
      <c r="J577" s="16">
        <f>IF(I577="Y","RECENT OFFERING/SPLIT/RIGHTS","")</f>
        <v/>
      </c>
    </row>
    <row r="578">
      <c r="A578" s="16">
        <f>'Rest Universe'!A579</f>
        <v/>
      </c>
      <c r="B578" s="22">
        <f>IFERROR(_xll.BDP(A578,"NAME"),"")</f>
        <v/>
      </c>
      <c r="C578" s="22">
        <f t="array" ref="C578">_xll.BDS(A578, "EQUITY_OFFERINGS", "sortdesc=3", "endrow=1")</f>
        <v/>
      </c>
      <c r="D578" s="16" t="n"/>
      <c r="E578" s="16" t="n"/>
      <c r="F578" s="16" t="n"/>
      <c r="G578" s="16" t="n"/>
      <c r="H578" s="16" t="n"/>
      <c r="I578" s="16">
        <f>IF(ISNUMBER(E578),IF(E578&gt;=Settings!$B$5,"Y","N"),"")</f>
        <v/>
      </c>
      <c r="J578" s="16">
        <f>IF(I578="Y","RECENT OFFERING/SPLIT/RIGHTS","")</f>
        <v/>
      </c>
    </row>
    <row r="579">
      <c r="A579" s="16">
        <f>'Rest Universe'!A580</f>
        <v/>
      </c>
      <c r="B579" s="22">
        <f>IFERROR(_xll.BDP(A579,"NAME"),"")</f>
        <v/>
      </c>
      <c r="C579" s="22">
        <f t="array" ref="C579">_xll.BDS(A579, "EQUITY_OFFERINGS", "sortdesc=3", "endrow=1")</f>
        <v/>
      </c>
      <c r="D579" s="16" t="n"/>
      <c r="E579" s="16" t="n"/>
      <c r="F579" s="16" t="n"/>
      <c r="G579" s="16" t="n"/>
      <c r="H579" s="16" t="n"/>
      <c r="I579" s="16">
        <f>IF(ISNUMBER(E579),IF(E579&gt;=Settings!$B$5,"Y","N"),"")</f>
        <v/>
      </c>
      <c r="J579" s="16">
        <f>IF(I579="Y","RECENT OFFERING/SPLIT/RIGHTS","")</f>
        <v/>
      </c>
    </row>
    <row r="580">
      <c r="A580" s="16">
        <f>'Rest Universe'!A581</f>
        <v/>
      </c>
      <c r="B580" s="22">
        <f>IFERROR(_xll.BDP(A580,"NAME"),"")</f>
        <v/>
      </c>
      <c r="C580" s="22">
        <f t="array" ref="C580">_xll.BDS(A580, "EQUITY_OFFERINGS", "sortdesc=3", "endrow=1")</f>
        <v/>
      </c>
      <c r="D580" s="16" t="n"/>
      <c r="E580" s="16" t="n"/>
      <c r="F580" s="16" t="n"/>
      <c r="G580" s="16" t="n"/>
      <c r="H580" s="16" t="n"/>
      <c r="I580" s="16">
        <f>IF(ISNUMBER(E580),IF(E580&gt;=Settings!$B$5,"Y","N"),"")</f>
        <v/>
      </c>
      <c r="J580" s="16">
        <f>IF(I580="Y","RECENT OFFERING/SPLIT/RIGHTS","")</f>
        <v/>
      </c>
    </row>
    <row r="581">
      <c r="A581" s="16">
        <f>'Rest Universe'!A582</f>
        <v/>
      </c>
      <c r="B581" s="22">
        <f>IFERROR(_xll.BDP(A581,"NAME"),"")</f>
        <v/>
      </c>
      <c r="C581" s="22">
        <f t="array" ref="C581">_xll.BDS(A581, "EQUITY_OFFERINGS", "sortdesc=3", "endrow=1")</f>
        <v/>
      </c>
      <c r="D581" s="16" t="n"/>
      <c r="E581" s="16" t="n"/>
      <c r="F581" s="16" t="n"/>
      <c r="G581" s="16" t="n"/>
      <c r="H581" s="16" t="n"/>
      <c r="I581" s="16">
        <f>IF(ISNUMBER(E581),IF(E581&gt;=Settings!$B$5,"Y","N"),"")</f>
        <v/>
      </c>
      <c r="J581" s="16">
        <f>IF(I581="Y","RECENT OFFERING/SPLIT/RIGHTS","")</f>
        <v/>
      </c>
    </row>
    <row r="582">
      <c r="A582" s="16">
        <f>'Rest Universe'!A583</f>
        <v/>
      </c>
      <c r="B582" s="22">
        <f>IFERROR(_xll.BDP(A582,"NAME"),"")</f>
        <v/>
      </c>
      <c r="C582" s="22">
        <f t="array" ref="C582">_xll.BDS(A582, "EQUITY_OFFERINGS", "sortdesc=3", "endrow=1")</f>
        <v/>
      </c>
      <c r="D582" s="16" t="n"/>
      <c r="E582" s="16" t="n"/>
      <c r="F582" s="16" t="n"/>
      <c r="G582" s="16" t="n"/>
      <c r="H582" s="16" t="n"/>
      <c r="I582" s="16">
        <f>IF(ISNUMBER(E582),IF(E582&gt;=Settings!$B$5,"Y","N"),"")</f>
        <v/>
      </c>
      <c r="J582" s="16">
        <f>IF(I582="Y","RECENT OFFERING/SPLIT/RIGHTS","")</f>
        <v/>
      </c>
    </row>
    <row r="583">
      <c r="A583" s="16">
        <f>'Rest Universe'!A584</f>
        <v/>
      </c>
      <c r="B583" s="22">
        <f>IFERROR(_xll.BDP(A583,"NAME"),"")</f>
        <v/>
      </c>
      <c r="C583" s="22">
        <f t="array" ref="C583">_xll.BDS(A583, "EQUITY_OFFERINGS", "sortdesc=3", "endrow=1")</f>
        <v/>
      </c>
      <c r="D583" s="16" t="n"/>
      <c r="E583" s="16" t="n"/>
      <c r="F583" s="16" t="n"/>
      <c r="G583" s="16" t="n"/>
      <c r="H583" s="16" t="n"/>
      <c r="I583" s="16">
        <f>IF(ISNUMBER(E583),IF(E583&gt;=Settings!$B$5,"Y","N"),"")</f>
        <v/>
      </c>
      <c r="J583" s="16">
        <f>IF(I583="Y","RECENT OFFERING/SPLIT/RIGHTS","")</f>
        <v/>
      </c>
    </row>
    <row r="584">
      <c r="A584" s="16">
        <f>'Rest Universe'!A585</f>
        <v/>
      </c>
      <c r="B584" s="22">
        <f>IFERROR(_xll.BDP(A584,"NAME"),"")</f>
        <v/>
      </c>
      <c r="C584" s="22">
        <f t="array" ref="C584">_xll.BDS(A584, "EQUITY_OFFERINGS", "sortdesc=3", "endrow=1")</f>
        <v/>
      </c>
      <c r="D584" s="16" t="n"/>
      <c r="E584" s="16" t="n"/>
      <c r="F584" s="16" t="n"/>
      <c r="G584" s="16" t="n"/>
      <c r="H584" s="16" t="n"/>
      <c r="I584" s="16">
        <f>IF(ISNUMBER(E584),IF(E584&gt;=Settings!$B$5,"Y","N"),"")</f>
        <v/>
      </c>
      <c r="J584" s="16">
        <f>IF(I584="Y","RECENT OFFERING/SPLIT/RIGHTS","")</f>
        <v/>
      </c>
    </row>
    <row r="585">
      <c r="A585" s="16">
        <f>'Rest Universe'!A586</f>
        <v/>
      </c>
      <c r="B585" s="22">
        <f>IFERROR(_xll.BDP(A585,"NAME"),"")</f>
        <v/>
      </c>
      <c r="C585" s="22">
        <f t="array" ref="C585">_xll.BDS(A585, "EQUITY_OFFERINGS", "sortdesc=3", "endrow=1")</f>
        <v/>
      </c>
      <c r="D585" s="16" t="n"/>
      <c r="E585" s="16" t="n"/>
      <c r="F585" s="16" t="n"/>
      <c r="G585" s="16" t="n"/>
      <c r="H585" s="16" t="n"/>
      <c r="I585" s="16">
        <f>IF(ISNUMBER(E585),IF(E585&gt;=Settings!$B$5,"Y","N"),"")</f>
        <v/>
      </c>
      <c r="J585" s="16">
        <f>IF(I585="Y","RECENT OFFERING/SPLIT/RIGHTS","")</f>
        <v/>
      </c>
    </row>
    <row r="586">
      <c r="A586" s="16">
        <f>'Rest Universe'!A587</f>
        <v/>
      </c>
      <c r="B586" s="22">
        <f>IFERROR(_xll.BDP(A586,"NAME"),"")</f>
        <v/>
      </c>
      <c r="C586" s="22">
        <f t="array" ref="C586">_xll.BDS(A586, "EQUITY_OFFERINGS", "sortdesc=3", "endrow=1")</f>
        <v/>
      </c>
      <c r="D586" s="16" t="n"/>
      <c r="E586" s="16" t="n"/>
      <c r="F586" s="16" t="n"/>
      <c r="G586" s="16" t="n"/>
      <c r="H586" s="16" t="n"/>
      <c r="I586" s="16">
        <f>IF(ISNUMBER(E586),IF(E586&gt;=Settings!$B$5,"Y","N"),"")</f>
        <v/>
      </c>
      <c r="J586" s="16">
        <f>IF(I586="Y","RECENT OFFERING/SPLIT/RIGHTS","")</f>
        <v/>
      </c>
    </row>
    <row r="587">
      <c r="A587" s="16">
        <f>'Rest Universe'!A588</f>
        <v/>
      </c>
      <c r="B587" s="22">
        <f>IFERROR(_xll.BDP(A587,"NAME"),"")</f>
        <v/>
      </c>
      <c r="C587" s="22">
        <f t="array" ref="C587">_xll.BDS(A587, "EQUITY_OFFERINGS", "sortdesc=3", "endrow=1")</f>
        <v/>
      </c>
      <c r="D587" s="16" t="n"/>
      <c r="E587" s="16" t="n"/>
      <c r="F587" s="16" t="n"/>
      <c r="G587" s="16" t="n"/>
      <c r="H587" s="16" t="n"/>
      <c r="I587" s="16">
        <f>IF(ISNUMBER(E587),IF(E587&gt;=Settings!$B$5,"Y","N"),"")</f>
        <v/>
      </c>
      <c r="J587" s="16">
        <f>IF(I587="Y","RECENT OFFERING/SPLIT/RIGHTS","")</f>
        <v/>
      </c>
    </row>
    <row r="588">
      <c r="A588" s="16">
        <f>'Rest Universe'!A589</f>
        <v/>
      </c>
      <c r="B588" s="22">
        <f>IFERROR(_xll.BDP(A588,"NAME"),"")</f>
        <v/>
      </c>
      <c r="C588" s="22">
        <f t="array" ref="C588">_xll.BDS(A588, "EQUITY_OFFERINGS", "sortdesc=3", "endrow=1")</f>
        <v/>
      </c>
      <c r="D588" s="16" t="n"/>
      <c r="E588" s="16" t="n"/>
      <c r="F588" s="16" t="n"/>
      <c r="G588" s="16" t="n"/>
      <c r="H588" s="16" t="n"/>
      <c r="I588" s="16">
        <f>IF(ISNUMBER(E588),IF(E588&gt;=Settings!$B$5,"Y","N"),"")</f>
        <v/>
      </c>
      <c r="J588" s="16">
        <f>IF(I588="Y","RECENT OFFERING/SPLIT/RIGHTS","")</f>
        <v/>
      </c>
    </row>
    <row r="589">
      <c r="A589" s="16">
        <f>'Rest Universe'!A590</f>
        <v/>
      </c>
      <c r="B589" s="22">
        <f>IFERROR(_xll.BDP(A589,"NAME"),"")</f>
        <v/>
      </c>
      <c r="C589" s="22">
        <f t="array" ref="C589">_xll.BDS(A589, "EQUITY_OFFERINGS", "sortdesc=3", "endrow=1")</f>
        <v/>
      </c>
      <c r="D589" s="16" t="n"/>
      <c r="E589" s="16" t="n"/>
      <c r="F589" s="16" t="n"/>
      <c r="G589" s="16" t="n"/>
      <c r="H589" s="16" t="n"/>
      <c r="I589" s="16">
        <f>IF(ISNUMBER(E589),IF(E589&gt;=Settings!$B$5,"Y","N"),"")</f>
        <v/>
      </c>
      <c r="J589" s="16">
        <f>IF(I589="Y","RECENT OFFERING/SPLIT/RIGHTS","")</f>
        <v/>
      </c>
    </row>
    <row r="590">
      <c r="A590" s="16">
        <f>'Rest Universe'!A591</f>
        <v/>
      </c>
      <c r="B590" s="22">
        <f>IFERROR(_xll.BDP(A590,"NAME"),"")</f>
        <v/>
      </c>
      <c r="C590" s="22">
        <f t="array" ref="C590">_xll.BDS(A590, "EQUITY_OFFERINGS", "sortdesc=3", "endrow=1")</f>
        <v/>
      </c>
      <c r="D590" s="16" t="n"/>
      <c r="E590" s="16" t="n"/>
      <c r="F590" s="16" t="n"/>
      <c r="G590" s="16" t="n"/>
      <c r="H590" s="16" t="n"/>
      <c r="I590" s="16">
        <f>IF(ISNUMBER(E590),IF(E590&gt;=Settings!$B$5,"Y","N"),"")</f>
        <v/>
      </c>
      <c r="J590" s="16">
        <f>IF(I590="Y","RECENT OFFERING/SPLIT/RIGHTS","")</f>
        <v/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2026-09-14T08:56:43Z</dcterms:created>
  <dcterms:modified xmlns:dcterms="http://purl.org/dc/terms/" xmlns:xsi="http://www.w3.org/2001/XMLSchema-instance" xsi:type="dcterms:W3CDTF">2026-09-14T08:56:45Z</dcterms:modified>
</cp:coreProperties>
</file>